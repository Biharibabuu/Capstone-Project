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loomberg 4\Downloads\"/>
    </mc:Choice>
  </mc:AlternateContent>
  <xr:revisionPtr revIDLastSave="0" documentId="13_ncr:1_{976AF973-990C-4BCB-AD70-9424CD3AA8F2}" xr6:coauthVersionLast="47" xr6:coauthVersionMax="47" xr10:uidLastSave="{00000000-0000-0000-0000-000000000000}"/>
  <bookViews>
    <workbookView xWindow="-120" yWindow="-120" windowWidth="29040" windowHeight="15720" xr2:uid="{EAB46CAE-BFFC-4A75-B2A9-FAE1BAB2C948}"/>
  </bookViews>
  <sheets>
    <sheet name="IS" sheetId="6" r:id="rId1"/>
    <sheet name="usd inr" sheetId="1" r:id="rId2"/>
    <sheet name="cpi" sheetId="4" r:id="rId3"/>
    <sheet name="wpi" sheetId="5" r:id="rId4"/>
    <sheet name="co new" sheetId="7" r:id="rId5"/>
    <sheet name="co new monthly" sheetId="8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N58" i="6" l="1"/>
  <c r="L58" i="6"/>
  <c r="V57" i="6"/>
  <c r="AF56" i="6"/>
  <c r="D56" i="6"/>
  <c r="N55" i="6"/>
  <c r="X54" i="6"/>
  <c r="AH53" i="6"/>
  <c r="F53" i="6"/>
  <c r="P52" i="6"/>
  <c r="Z51" i="6"/>
  <c r="AJ50" i="6"/>
  <c r="H50" i="6"/>
  <c r="R49" i="6"/>
  <c r="AB45" i="6"/>
  <c r="AL44" i="6"/>
  <c r="J44" i="6"/>
  <c r="T43" i="6"/>
  <c r="AD42" i="6"/>
  <c r="AN40" i="6"/>
  <c r="L40" i="6"/>
  <c r="V39" i="6"/>
  <c r="AF38" i="6"/>
  <c r="D38" i="6"/>
  <c r="N37" i="6"/>
  <c r="X35" i="6"/>
  <c r="AH34" i="6"/>
  <c r="F34" i="6"/>
  <c r="P33" i="6"/>
  <c r="Z31" i="6"/>
  <c r="AJ30" i="6"/>
  <c r="H30" i="6"/>
  <c r="R29" i="6"/>
  <c r="AB28" i="6"/>
  <c r="AL27" i="6"/>
  <c r="J27" i="6"/>
  <c r="T26" i="6"/>
  <c r="AD25" i="6"/>
  <c r="AN24" i="6"/>
  <c r="L24" i="6"/>
  <c r="AM58" i="6"/>
  <c r="K58" i="6"/>
  <c r="U57" i="6"/>
  <c r="AE56" i="6"/>
  <c r="C56" i="6"/>
  <c r="M55" i="6"/>
  <c r="W54" i="6"/>
  <c r="AG53" i="6"/>
  <c r="E53" i="6"/>
  <c r="O52" i="6"/>
  <c r="Y51" i="6"/>
  <c r="AI50" i="6"/>
  <c r="G50" i="6"/>
  <c r="Q49" i="6"/>
  <c r="AA45" i="6"/>
  <c r="AK44" i="6"/>
  <c r="I44" i="6"/>
  <c r="S43" i="6"/>
  <c r="AC42" i="6"/>
  <c r="AM40" i="6"/>
  <c r="K40" i="6"/>
  <c r="U39" i="6"/>
  <c r="AE38" i="6"/>
  <c r="C38" i="6"/>
  <c r="M37" i="6"/>
  <c r="W35" i="6"/>
  <c r="AG34" i="6"/>
  <c r="E34" i="6"/>
  <c r="O33" i="6"/>
  <c r="Y31" i="6"/>
  <c r="AI30" i="6"/>
  <c r="G30" i="6"/>
  <c r="Q29" i="6"/>
  <c r="AA28" i="6"/>
  <c r="AK27" i="6"/>
  <c r="I27" i="6"/>
  <c r="S26" i="6"/>
  <c r="AC25" i="6"/>
  <c r="AM24" i="6"/>
  <c r="K24" i="6"/>
  <c r="U23" i="6"/>
  <c r="AE22" i="6"/>
  <c r="C22" i="6"/>
  <c r="M21" i="6"/>
  <c r="W20" i="6"/>
  <c r="AG19" i="6"/>
  <c r="E19" i="6"/>
  <c r="O18" i="6"/>
  <c r="Y17" i="6"/>
  <c r="AI16" i="6"/>
  <c r="G16" i="6"/>
  <c r="Q15" i="6"/>
  <c r="AA14" i="6"/>
  <c r="AK13" i="6"/>
  <c r="I13" i="6"/>
  <c r="S12" i="6"/>
  <c r="AC11" i="6"/>
  <c r="AM10" i="6"/>
  <c r="K10" i="6"/>
  <c r="U9" i="6"/>
  <c r="AE8" i="6"/>
  <c r="C8" i="6"/>
  <c r="M7" i="6"/>
  <c r="W6" i="6"/>
  <c r="AL58" i="6"/>
  <c r="J58" i="6"/>
  <c r="T57" i="6"/>
  <c r="AD56" i="6"/>
  <c r="AN55" i="6"/>
  <c r="L55" i="6"/>
  <c r="V54" i="6"/>
  <c r="AF53" i="6"/>
  <c r="D53" i="6"/>
  <c r="N52" i="6"/>
  <c r="X51" i="6"/>
  <c r="AH50" i="6"/>
  <c r="F50" i="6"/>
  <c r="P49" i="6"/>
  <c r="Z45" i="6"/>
  <c r="AJ44" i="6"/>
  <c r="H44" i="6"/>
  <c r="R43" i="6"/>
  <c r="AB42" i="6"/>
  <c r="AL40" i="6"/>
  <c r="J40" i="6"/>
  <c r="T39" i="6"/>
  <c r="AD38" i="6"/>
  <c r="AN37" i="6"/>
  <c r="L37" i="6"/>
  <c r="V35" i="6"/>
  <c r="AF34" i="6"/>
  <c r="D34" i="6"/>
  <c r="N33" i="6"/>
  <c r="X31" i="6"/>
  <c r="AH30" i="6"/>
  <c r="F30" i="6"/>
  <c r="P29" i="6"/>
  <c r="Z28" i="6"/>
  <c r="AJ27" i="6"/>
  <c r="AK58" i="6"/>
  <c r="I58" i="6"/>
  <c r="S57" i="6"/>
  <c r="AC56" i="6"/>
  <c r="AM55" i="6"/>
  <c r="K55" i="6"/>
  <c r="U54" i="6"/>
  <c r="AE53" i="6"/>
  <c r="C53" i="6"/>
  <c r="M52" i="6"/>
  <c r="W51" i="6"/>
  <c r="AG50" i="6"/>
  <c r="E50" i="6"/>
  <c r="O49" i="6"/>
  <c r="Y45" i="6"/>
  <c r="AI44" i="6"/>
  <c r="G44" i="6"/>
  <c r="Q43" i="6"/>
  <c r="AA42" i="6"/>
  <c r="AK40" i="6"/>
  <c r="I40" i="6"/>
  <c r="S39" i="6"/>
  <c r="AC38" i="6"/>
  <c r="AM37" i="6"/>
  <c r="K37" i="6"/>
  <c r="U35" i="6"/>
  <c r="AE34" i="6"/>
  <c r="C34" i="6"/>
  <c r="M33" i="6"/>
  <c r="W31" i="6"/>
  <c r="AG30" i="6"/>
  <c r="E30" i="6"/>
  <c r="O29" i="6"/>
  <c r="Y28" i="6"/>
  <c r="AI27" i="6"/>
  <c r="G27" i="6"/>
  <c r="Q26" i="6"/>
  <c r="AA25" i="6"/>
  <c r="AK24" i="6"/>
  <c r="I24" i="6"/>
  <c r="S23" i="6"/>
  <c r="AC22" i="6"/>
  <c r="AM21" i="6"/>
  <c r="K21" i="6"/>
  <c r="U20" i="6"/>
  <c r="AE19" i="6"/>
  <c r="C19" i="6"/>
  <c r="M18" i="6"/>
  <c r="W17" i="6"/>
  <c r="AG16" i="6"/>
  <c r="E16" i="6"/>
  <c r="O15" i="6"/>
  <c r="Y14" i="6"/>
  <c r="AI13" i="6"/>
  <c r="G13" i="6"/>
  <c r="Q12" i="6"/>
  <c r="AA11" i="6"/>
  <c r="AK10" i="6"/>
  <c r="I10" i="6"/>
  <c r="S9" i="6"/>
  <c r="AC8" i="6"/>
  <c r="AM7" i="6"/>
  <c r="K7" i="6"/>
  <c r="U6" i="6"/>
  <c r="AJ58" i="6"/>
  <c r="H58" i="6"/>
  <c r="R57" i="6"/>
  <c r="AB56" i="6"/>
  <c r="AL55" i="6"/>
  <c r="J55" i="6"/>
  <c r="T54" i="6"/>
  <c r="AD53" i="6"/>
  <c r="AN52" i="6"/>
  <c r="L52" i="6"/>
  <c r="V51" i="6"/>
  <c r="AF50" i="6"/>
  <c r="D50" i="6"/>
  <c r="N49" i="6"/>
  <c r="X45" i="6"/>
  <c r="AH44" i="6"/>
  <c r="F44" i="6"/>
  <c r="P43" i="6"/>
  <c r="Z42" i="6"/>
  <c r="AJ40" i="6"/>
  <c r="H40" i="6"/>
  <c r="R39" i="6"/>
  <c r="AB38" i="6"/>
  <c r="AL37" i="6"/>
  <c r="J37" i="6"/>
  <c r="T35" i="6"/>
  <c r="AD34" i="6"/>
  <c r="AN33" i="6"/>
  <c r="L33" i="6"/>
  <c r="V31" i="6"/>
  <c r="AF30" i="6"/>
  <c r="D30" i="6"/>
  <c r="N29" i="6"/>
  <c r="X28" i="6"/>
  <c r="AH27" i="6"/>
  <c r="F27" i="6"/>
  <c r="P26" i="6"/>
  <c r="Z25" i="6"/>
  <c r="AJ24" i="6"/>
  <c r="H24" i="6"/>
  <c r="R23" i="6"/>
  <c r="AB22" i="6"/>
  <c r="AL21" i="6"/>
  <c r="J21" i="6"/>
  <c r="T20" i="6"/>
  <c r="AD19" i="6"/>
  <c r="AN18" i="6"/>
  <c r="L18" i="6"/>
  <c r="V17" i="6"/>
  <c r="AF16" i="6"/>
  <c r="D16" i="6"/>
  <c r="N15" i="6"/>
  <c r="X14" i="6"/>
  <c r="AH13" i="6"/>
  <c r="F13" i="6"/>
  <c r="P12" i="6"/>
  <c r="Z11" i="6"/>
  <c r="AJ10" i="6"/>
  <c r="H10" i="6"/>
  <c r="R9" i="6"/>
  <c r="AB8" i="6"/>
  <c r="AL7" i="6"/>
  <c r="J7" i="6"/>
  <c r="AA58" i="6"/>
  <c r="AK57" i="6"/>
  <c r="I57" i="6"/>
  <c r="S56" i="6"/>
  <c r="AC55" i="6"/>
  <c r="AM54" i="6"/>
  <c r="K54" i="6"/>
  <c r="U53" i="6"/>
  <c r="AE52" i="6"/>
  <c r="C52" i="6"/>
  <c r="M51" i="6"/>
  <c r="W50" i="6"/>
  <c r="AG49" i="6"/>
  <c r="E49" i="6"/>
  <c r="O45" i="6"/>
  <c r="Y44" i="6"/>
  <c r="AI43" i="6"/>
  <c r="G43" i="6"/>
  <c r="Q42" i="6"/>
  <c r="AA40" i="6"/>
  <c r="AK39" i="6"/>
  <c r="I39" i="6"/>
  <c r="S38" i="6"/>
  <c r="AC37" i="6"/>
  <c r="AM35" i="6"/>
  <c r="K35" i="6"/>
  <c r="U34" i="6"/>
  <c r="AE33" i="6"/>
  <c r="C33" i="6"/>
  <c r="M31" i="6"/>
  <c r="W30" i="6"/>
  <c r="AG29" i="6"/>
  <c r="E29" i="6"/>
  <c r="O28" i="6"/>
  <c r="Y27" i="6"/>
  <c r="AI26" i="6"/>
  <c r="G26" i="6"/>
  <c r="Q25" i="6"/>
  <c r="AA24" i="6"/>
  <c r="AK23" i="6"/>
  <c r="X58" i="6"/>
  <c r="AH57" i="6"/>
  <c r="F57" i="6"/>
  <c r="P56" i="6"/>
  <c r="Z55" i="6"/>
  <c r="AJ54" i="6"/>
  <c r="H54" i="6"/>
  <c r="R53" i="6"/>
  <c r="AB52" i="6"/>
  <c r="AL51" i="6"/>
  <c r="J51" i="6"/>
  <c r="T50" i="6"/>
  <c r="AD49" i="6"/>
  <c r="AN45" i="6"/>
  <c r="L45" i="6"/>
  <c r="V44" i="6"/>
  <c r="AF43" i="6"/>
  <c r="D43" i="6"/>
  <c r="N42" i="6"/>
  <c r="X40" i="6"/>
  <c r="AH39" i="6"/>
  <c r="F39" i="6"/>
  <c r="P38" i="6"/>
  <c r="Z37" i="6"/>
  <c r="AJ35" i="6"/>
  <c r="H35" i="6"/>
  <c r="R34" i="6"/>
  <c r="AB33" i="6"/>
  <c r="AL31" i="6"/>
  <c r="J31" i="6"/>
  <c r="T30" i="6"/>
  <c r="AD29" i="6"/>
  <c r="AN28" i="6"/>
  <c r="L28" i="6"/>
  <c r="V27" i="6"/>
  <c r="AF26" i="6"/>
  <c r="D26" i="6"/>
  <c r="N25" i="6"/>
  <c r="X24" i="6"/>
  <c r="AH23" i="6"/>
  <c r="F23" i="6"/>
  <c r="P22" i="6"/>
  <c r="Z21" i="6"/>
  <c r="AJ20" i="6"/>
  <c r="H20" i="6"/>
  <c r="R19" i="6"/>
  <c r="AB18" i="6"/>
  <c r="AL17" i="6"/>
  <c r="J17" i="6"/>
  <c r="T16" i="6"/>
  <c r="AD15" i="6"/>
  <c r="AN14" i="6"/>
  <c r="L14" i="6"/>
  <c r="V13" i="6"/>
  <c r="AF12" i="6"/>
  <c r="D12" i="6"/>
  <c r="N11" i="6"/>
  <c r="X10" i="6"/>
  <c r="AH9" i="6"/>
  <c r="F9" i="6"/>
  <c r="P8" i="6"/>
  <c r="Z7" i="6"/>
  <c r="AJ6" i="6"/>
  <c r="H6" i="6"/>
  <c r="W58" i="6"/>
  <c r="AG57" i="6"/>
  <c r="E57" i="6"/>
  <c r="O56" i="6"/>
  <c r="Y55" i="6"/>
  <c r="AI54" i="6"/>
  <c r="G54" i="6"/>
  <c r="Q53" i="6"/>
  <c r="AA52" i="6"/>
  <c r="AK51" i="6"/>
  <c r="I51" i="6"/>
  <c r="S50" i="6"/>
  <c r="AC49" i="6"/>
  <c r="AM45" i="6"/>
  <c r="K45" i="6"/>
  <c r="U44" i="6"/>
  <c r="AE43" i="6"/>
  <c r="C43" i="6"/>
  <c r="M42" i="6"/>
  <c r="W40" i="6"/>
  <c r="AG39" i="6"/>
  <c r="E39" i="6"/>
  <c r="O38" i="6"/>
  <c r="Y37" i="6"/>
  <c r="AI35" i="6"/>
  <c r="G35" i="6"/>
  <c r="Q34" i="6"/>
  <c r="AA33" i="6"/>
  <c r="AK31" i="6"/>
  <c r="I31" i="6"/>
  <c r="S30" i="6"/>
  <c r="AC29" i="6"/>
  <c r="AM28" i="6"/>
  <c r="AI58" i="6"/>
  <c r="AJ57" i="6"/>
  <c r="AJ56" i="6"/>
  <c r="AG55" i="6"/>
  <c r="AF54" i="6"/>
  <c r="AC53" i="6"/>
  <c r="AD52" i="6"/>
  <c r="AD51" i="6"/>
  <c r="AA50" i="6"/>
  <c r="Z49" i="6"/>
  <c r="W45" i="6"/>
  <c r="X44" i="6"/>
  <c r="X43" i="6"/>
  <c r="U42" i="6"/>
  <c r="T40" i="6"/>
  <c r="Q39" i="6"/>
  <c r="R38" i="6"/>
  <c r="R37" i="6"/>
  <c r="O35" i="6"/>
  <c r="N34" i="6"/>
  <c r="K33" i="6"/>
  <c r="L31" i="6"/>
  <c r="L30" i="6"/>
  <c r="I29" i="6"/>
  <c r="I28" i="6"/>
  <c r="L27" i="6"/>
  <c r="L26" i="6"/>
  <c r="O25" i="6"/>
  <c r="R24" i="6"/>
  <c r="V23" i="6"/>
  <c r="Y22" i="6"/>
  <c r="AE21" i="6"/>
  <c r="AK20" i="6"/>
  <c r="D20" i="6"/>
  <c r="J19" i="6"/>
  <c r="P18" i="6"/>
  <c r="S17" i="6"/>
  <c r="Y16" i="6"/>
  <c r="AE15" i="6"/>
  <c r="AJ14" i="6"/>
  <c r="D14" i="6"/>
  <c r="J13" i="6"/>
  <c r="M12" i="6"/>
  <c r="S11" i="6"/>
  <c r="Y10" i="6"/>
  <c r="AD9" i="6"/>
  <c r="AJ8" i="6"/>
  <c r="D8" i="6"/>
  <c r="G7" i="6"/>
  <c r="N6" i="6"/>
  <c r="H13" i="6"/>
  <c r="W10" i="6"/>
  <c r="AI8" i="6"/>
  <c r="F7" i="6"/>
  <c r="AG58" i="6"/>
  <c r="AH56" i="6"/>
  <c r="AE55" i="6"/>
  <c r="AA53" i="6"/>
  <c r="AB51" i="6"/>
  <c r="X49" i="6"/>
  <c r="V43" i="6"/>
  <c r="S42" i="6"/>
  <c r="O39" i="6"/>
  <c r="P37" i="6"/>
  <c r="I33" i="6"/>
  <c r="J30" i="6"/>
  <c r="G28" i="6"/>
  <c r="H27" i="6"/>
  <c r="L25" i="6"/>
  <c r="Q23" i="6"/>
  <c r="AC21" i="6"/>
  <c r="AN19" i="6"/>
  <c r="K18" i="6"/>
  <c r="Q17" i="6"/>
  <c r="AB15" i="6"/>
  <c r="AN13" i="6"/>
  <c r="K12" i="6"/>
  <c r="AB9" i="6"/>
  <c r="AK7" i="6"/>
  <c r="L6" i="6"/>
  <c r="N23" i="6"/>
  <c r="D19" i="6"/>
  <c r="AE14" i="6"/>
  <c r="H12" i="6"/>
  <c r="AH7" i="6"/>
  <c r="AB57" i="6"/>
  <c r="Z54" i="6"/>
  <c r="R50" i="6"/>
  <c r="P44" i="6"/>
  <c r="K39" i="6"/>
  <c r="G37" i="6"/>
  <c r="E33" i="6"/>
  <c r="C28" i="6"/>
  <c r="M23" i="6"/>
  <c r="AM18" i="6"/>
  <c r="X15" i="6"/>
  <c r="G12" i="6"/>
  <c r="AA8" i="6"/>
  <c r="AB58" i="6"/>
  <c r="V53" i="6"/>
  <c r="S49" i="6"/>
  <c r="K42" i="6"/>
  <c r="J39" i="6"/>
  <c r="G34" i="6"/>
  <c r="C31" i="6"/>
  <c r="C26" i="6"/>
  <c r="W21" i="6"/>
  <c r="Q16" i="6"/>
  <c r="AL12" i="6"/>
  <c r="Q10" i="6"/>
  <c r="AL6" i="6"/>
  <c r="Z57" i="6"/>
  <c r="T52" i="6"/>
  <c r="N45" i="6"/>
  <c r="G40" i="6"/>
  <c r="E37" i="6"/>
  <c r="AL26" i="6"/>
  <c r="Q22" i="6"/>
  <c r="AK18" i="6"/>
  <c r="AE13" i="6"/>
  <c r="J11" i="6"/>
  <c r="Y8" i="6"/>
  <c r="Y58" i="6"/>
  <c r="S53" i="6"/>
  <c r="M45" i="6"/>
  <c r="G39" i="6"/>
  <c r="C35" i="6"/>
  <c r="AH58" i="6"/>
  <c r="AI57" i="6"/>
  <c r="AI56" i="6"/>
  <c r="AF55" i="6"/>
  <c r="AE54" i="6"/>
  <c r="AB53" i="6"/>
  <c r="AC52" i="6"/>
  <c r="AC51" i="6"/>
  <c r="Z50" i="6"/>
  <c r="Y49" i="6"/>
  <c r="V45" i="6"/>
  <c r="W44" i="6"/>
  <c r="W43" i="6"/>
  <c r="T42" i="6"/>
  <c r="S40" i="6"/>
  <c r="P39" i="6"/>
  <c r="Q38" i="6"/>
  <c r="Q37" i="6"/>
  <c r="N35" i="6"/>
  <c r="M34" i="6"/>
  <c r="J33" i="6"/>
  <c r="K31" i="6"/>
  <c r="K30" i="6"/>
  <c r="H29" i="6"/>
  <c r="H28" i="6"/>
  <c r="K27" i="6"/>
  <c r="K26" i="6"/>
  <c r="M25" i="6"/>
  <c r="Q24" i="6"/>
  <c r="T23" i="6"/>
  <c r="X22" i="6"/>
  <c r="AD21" i="6"/>
  <c r="AI20" i="6"/>
  <c r="C20" i="6"/>
  <c r="I19" i="6"/>
  <c r="N18" i="6"/>
  <c r="R17" i="6"/>
  <c r="X16" i="6"/>
  <c r="AC15" i="6"/>
  <c r="AI14" i="6"/>
  <c r="C14" i="6"/>
  <c r="L12" i="6"/>
  <c r="R11" i="6"/>
  <c r="AC9" i="6"/>
  <c r="AN7" i="6"/>
  <c r="M6" i="6"/>
  <c r="AF57" i="6"/>
  <c r="AD54" i="6"/>
  <c r="Z52" i="6"/>
  <c r="Y50" i="6"/>
  <c r="U45" i="6"/>
  <c r="T44" i="6"/>
  <c r="R40" i="6"/>
  <c r="N38" i="6"/>
  <c r="M35" i="6"/>
  <c r="L34" i="6"/>
  <c r="H31" i="6"/>
  <c r="G29" i="6"/>
  <c r="J26" i="6"/>
  <c r="P24" i="6"/>
  <c r="W22" i="6"/>
  <c r="AH20" i="6"/>
  <c r="H19" i="6"/>
  <c r="W16" i="6"/>
  <c r="AH14" i="6"/>
  <c r="E13" i="6"/>
  <c r="Q11" i="6"/>
  <c r="V10" i="6"/>
  <c r="AH8" i="6"/>
  <c r="E7" i="6"/>
  <c r="AE20" i="6"/>
  <c r="Y15" i="6"/>
  <c r="Y9" i="6"/>
  <c r="AC58" i="6"/>
  <c r="S51" i="6"/>
  <c r="Q45" i="6"/>
  <c r="M43" i="6"/>
  <c r="J38" i="6"/>
  <c r="H34" i="6"/>
  <c r="D31" i="6"/>
  <c r="AN26" i="6"/>
  <c r="J24" i="6"/>
  <c r="X21" i="6"/>
  <c r="G18" i="6"/>
  <c r="R16" i="6"/>
  <c r="AM12" i="6"/>
  <c r="X9" i="6"/>
  <c r="AM6" i="6"/>
  <c r="X56" i="6"/>
  <c r="U52" i="6"/>
  <c r="P45" i="6"/>
  <c r="F37" i="6"/>
  <c r="AL29" i="6"/>
  <c r="G24" i="6"/>
  <c r="AC20" i="6"/>
  <c r="F18" i="6"/>
  <c r="AC14" i="6"/>
  <c r="Z8" i="6"/>
  <c r="W56" i="6"/>
  <c r="Q51" i="6"/>
  <c r="K43" i="6"/>
  <c r="H38" i="6"/>
  <c r="AN30" i="6"/>
  <c r="AM27" i="6"/>
  <c r="F24" i="6"/>
  <c r="AB20" i="6"/>
  <c r="E18" i="6"/>
  <c r="V15" i="6"/>
  <c r="E12" i="6"/>
  <c r="AK6" i="6"/>
  <c r="U55" i="6"/>
  <c r="O50" i="6"/>
  <c r="J43" i="6"/>
  <c r="G38" i="6"/>
  <c r="AM31" i="6"/>
  <c r="O44" i="6"/>
  <c r="W9" i="6"/>
  <c r="D35" i="6"/>
  <c r="P16" i="6"/>
  <c r="R54" i="6"/>
  <c r="AF58" i="6"/>
  <c r="AE57" i="6"/>
  <c r="AG56" i="6"/>
  <c r="AD55" i="6"/>
  <c r="AC54" i="6"/>
  <c r="Z53" i="6"/>
  <c r="Y52" i="6"/>
  <c r="AA51" i="6"/>
  <c r="X50" i="6"/>
  <c r="W49" i="6"/>
  <c r="T45" i="6"/>
  <c r="S44" i="6"/>
  <c r="U43" i="6"/>
  <c r="R42" i="6"/>
  <c r="Q40" i="6"/>
  <c r="N39" i="6"/>
  <c r="M38" i="6"/>
  <c r="O37" i="6"/>
  <c r="L35" i="6"/>
  <c r="K34" i="6"/>
  <c r="H33" i="6"/>
  <c r="G31" i="6"/>
  <c r="I30" i="6"/>
  <c r="F29" i="6"/>
  <c r="F28" i="6"/>
  <c r="E27" i="6"/>
  <c r="I26" i="6"/>
  <c r="K25" i="6"/>
  <c r="O24" i="6"/>
  <c r="P23" i="6"/>
  <c r="V22" i="6"/>
  <c r="AB21" i="6"/>
  <c r="AG20" i="6"/>
  <c r="AM19" i="6"/>
  <c r="G19" i="6"/>
  <c r="J18" i="6"/>
  <c r="P17" i="6"/>
  <c r="V16" i="6"/>
  <c r="AA15" i="6"/>
  <c r="AG14" i="6"/>
  <c r="AM13" i="6"/>
  <c r="D13" i="6"/>
  <c r="J12" i="6"/>
  <c r="P11" i="6"/>
  <c r="U10" i="6"/>
  <c r="AA9" i="6"/>
  <c r="AG8" i="6"/>
  <c r="AJ7" i="6"/>
  <c r="D7" i="6"/>
  <c r="K6" i="6"/>
  <c r="C13" i="6"/>
  <c r="T10" i="6"/>
  <c r="Z9" i="6"/>
  <c r="AI7" i="6"/>
  <c r="C7" i="6"/>
  <c r="AC57" i="6"/>
  <c r="AA55" i="6"/>
  <c r="X53" i="6"/>
  <c r="T51" i="6"/>
  <c r="U49" i="6"/>
  <c r="Q44" i="6"/>
  <c r="O42" i="6"/>
  <c r="L39" i="6"/>
  <c r="I35" i="6"/>
  <c r="F33" i="6"/>
  <c r="AN29" i="6"/>
  <c r="D28" i="6"/>
  <c r="F26" i="6"/>
  <c r="M24" i="6"/>
  <c r="Y21" i="6"/>
  <c r="AK19" i="6"/>
  <c r="N17" i="6"/>
  <c r="S16" i="6"/>
  <c r="AN12" i="6"/>
  <c r="S10" i="6"/>
  <c r="AN6" i="6"/>
  <c r="Y56" i="6"/>
  <c r="W53" i="6"/>
  <c r="L42" i="6"/>
  <c r="F35" i="6"/>
  <c r="AM29" i="6"/>
  <c r="E26" i="6"/>
  <c r="AD20" i="6"/>
  <c r="M17" i="6"/>
  <c r="AG13" i="6"/>
  <c r="L11" i="6"/>
  <c r="AG7" i="6"/>
  <c r="W55" i="6"/>
  <c r="R51" i="6"/>
  <c r="M40" i="6"/>
  <c r="I38" i="6"/>
  <c r="D33" i="6"/>
  <c r="AK28" i="6"/>
  <c r="AM26" i="6"/>
  <c r="G25" i="6"/>
  <c r="R22" i="6"/>
  <c r="AL18" i="6"/>
  <c r="W15" i="6"/>
  <c r="F12" i="6"/>
  <c r="F6" i="6"/>
  <c r="V55" i="6"/>
  <c r="T53" i="6"/>
  <c r="M49" i="6"/>
  <c r="J42" i="6"/>
  <c r="AM33" i="6"/>
  <c r="AK29" i="6"/>
  <c r="AN25" i="6"/>
  <c r="K23" i="6"/>
  <c r="AH19" i="6"/>
  <c r="K17" i="6"/>
  <c r="AK12" i="6"/>
  <c r="V9" i="6"/>
  <c r="E6" i="6"/>
  <c r="V56" i="6"/>
  <c r="P51" i="6"/>
  <c r="F40" i="6"/>
  <c r="AL33" i="6"/>
  <c r="AI28" i="6"/>
  <c r="AE58" i="6"/>
  <c r="AD57" i="6"/>
  <c r="AA56" i="6"/>
  <c r="AB55" i="6"/>
  <c r="AB54" i="6"/>
  <c r="Y53" i="6"/>
  <c r="X52" i="6"/>
  <c r="U51" i="6"/>
  <c r="V50" i="6"/>
  <c r="V49" i="6"/>
  <c r="S45" i="6"/>
  <c r="R44" i="6"/>
  <c r="O43" i="6"/>
  <c r="P42" i="6"/>
  <c r="P40" i="6"/>
  <c r="M39" i="6"/>
  <c r="L38" i="6"/>
  <c r="I37" i="6"/>
  <c r="J35" i="6"/>
  <c r="J34" i="6"/>
  <c r="G33" i="6"/>
  <c r="F31" i="6"/>
  <c r="C30" i="6"/>
  <c r="D29" i="6"/>
  <c r="E28" i="6"/>
  <c r="D27" i="6"/>
  <c r="H26" i="6"/>
  <c r="J25" i="6"/>
  <c r="N24" i="6"/>
  <c r="O23" i="6"/>
  <c r="U22" i="6"/>
  <c r="AA21" i="6"/>
  <c r="AF20" i="6"/>
  <c r="AL19" i="6"/>
  <c r="F19" i="6"/>
  <c r="I18" i="6"/>
  <c r="O17" i="6"/>
  <c r="U16" i="6"/>
  <c r="Z15" i="6"/>
  <c r="AF14" i="6"/>
  <c r="AL13" i="6"/>
  <c r="I12" i="6"/>
  <c r="O11" i="6"/>
  <c r="AF8" i="6"/>
  <c r="J6" i="6"/>
  <c r="AD58" i="6"/>
  <c r="Z56" i="6"/>
  <c r="AA54" i="6"/>
  <c r="W52" i="6"/>
  <c r="U50" i="6"/>
  <c r="R45" i="6"/>
  <c r="N43" i="6"/>
  <c r="O40" i="6"/>
  <c r="K38" i="6"/>
  <c r="H37" i="6"/>
  <c r="I34" i="6"/>
  <c r="E31" i="6"/>
  <c r="C29" i="6"/>
  <c r="C27" i="6"/>
  <c r="I25" i="6"/>
  <c r="T22" i="6"/>
  <c r="H18" i="6"/>
  <c r="AJ13" i="6"/>
  <c r="M11" i="6"/>
  <c r="AD8" i="6"/>
  <c r="I6" i="6"/>
  <c r="X55" i="6"/>
  <c r="V52" i="6"/>
  <c r="T49" i="6"/>
  <c r="N40" i="6"/>
  <c r="AL28" i="6"/>
  <c r="H25" i="6"/>
  <c r="S22" i="6"/>
  <c r="AJ19" i="6"/>
  <c r="AD14" i="6"/>
  <c r="R10" i="6"/>
  <c r="G6" i="6"/>
  <c r="Y54" i="6"/>
  <c r="Q50" i="6"/>
  <c r="L43" i="6"/>
  <c r="E35" i="6"/>
  <c r="AN27" i="6"/>
  <c r="L23" i="6"/>
  <c r="AI19" i="6"/>
  <c r="L17" i="6"/>
  <c r="AF13" i="6"/>
  <c r="K11" i="6"/>
  <c r="AF7" i="6"/>
  <c r="Z58" i="6"/>
  <c r="S54" i="6"/>
  <c r="P50" i="6"/>
  <c r="N44" i="6"/>
  <c r="H39" i="6"/>
  <c r="AN31" i="6"/>
  <c r="AJ28" i="6"/>
  <c r="F25" i="6"/>
  <c r="V21" i="6"/>
  <c r="AB14" i="6"/>
  <c r="P10" i="6"/>
  <c r="AE7" i="6"/>
  <c r="Y57" i="6"/>
  <c r="S52" i="6"/>
  <c r="L49" i="6"/>
  <c r="I42" i="6"/>
  <c r="D37" i="6"/>
  <c r="AM30" i="6"/>
  <c r="AA57" i="6"/>
  <c r="P58" i="6"/>
  <c r="M57" i="6"/>
  <c r="L56" i="6"/>
  <c r="I55" i="6"/>
  <c r="J54" i="6"/>
  <c r="J53" i="6"/>
  <c r="G52" i="6"/>
  <c r="F51" i="6"/>
  <c r="C50" i="6"/>
  <c r="D49" i="6"/>
  <c r="D45" i="6"/>
  <c r="AM43" i="6"/>
  <c r="AL42" i="6"/>
  <c r="AI40" i="6"/>
  <c r="AJ39" i="6"/>
  <c r="AJ38" i="6"/>
  <c r="AG37" i="6"/>
  <c r="AF35" i="6"/>
  <c r="AC34" i="6"/>
  <c r="AD33" i="6"/>
  <c r="AD31" i="6"/>
  <c r="AA30" i="6"/>
  <c r="Z29" i="6"/>
  <c r="W28" i="6"/>
  <c r="Z27" i="6"/>
  <c r="AB26" i="6"/>
  <c r="AF25" i="6"/>
  <c r="AF24" i="6"/>
  <c r="AI23" i="6"/>
  <c r="AN22" i="6"/>
  <c r="H22" i="6"/>
  <c r="N21" i="6"/>
  <c r="Q20" i="6"/>
  <c r="W19" i="6"/>
  <c r="AC18" i="6"/>
  <c r="AH17" i="6"/>
  <c r="AN16" i="6"/>
  <c r="H16" i="6"/>
  <c r="K15" i="6"/>
  <c r="Q14" i="6"/>
  <c r="W13" i="6"/>
  <c r="AB12" i="6"/>
  <c r="AH11" i="6"/>
  <c r="AN10" i="6"/>
  <c r="E10" i="6"/>
  <c r="K9" i="6"/>
  <c r="Q8" i="6"/>
  <c r="V7" i="6"/>
  <c r="AB6" i="6"/>
  <c r="O58" i="6"/>
  <c r="L57" i="6"/>
  <c r="K56" i="6"/>
  <c r="H55" i="6"/>
  <c r="I54" i="6"/>
  <c r="I53" i="6"/>
  <c r="F52" i="6"/>
  <c r="E51" i="6"/>
  <c r="AN49" i="6"/>
  <c r="C49" i="6"/>
  <c r="C45" i="6"/>
  <c r="AL43" i="6"/>
  <c r="AK42" i="6"/>
  <c r="AH40" i="6"/>
  <c r="AI39" i="6"/>
  <c r="AI38" i="6"/>
  <c r="AF37" i="6"/>
  <c r="AE35" i="6"/>
  <c r="AB34" i="6"/>
  <c r="AC33" i="6"/>
  <c r="AC31" i="6"/>
  <c r="Z30" i="6"/>
  <c r="Y29" i="6"/>
  <c r="V28" i="6"/>
  <c r="X27" i="6"/>
  <c r="AA26" i="6"/>
  <c r="AE25" i="6"/>
  <c r="AE24" i="6"/>
  <c r="AG23" i="6"/>
  <c r="AM22" i="6"/>
  <c r="G22" i="6"/>
  <c r="L21" i="6"/>
  <c r="P20" i="6"/>
  <c r="V19" i="6"/>
  <c r="AA18" i="6"/>
  <c r="AG17" i="6"/>
  <c r="AM16" i="6"/>
  <c r="F16" i="6"/>
  <c r="J15" i="6"/>
  <c r="P14" i="6"/>
  <c r="U13" i="6"/>
  <c r="AA12" i="6"/>
  <c r="AG11" i="6"/>
  <c r="AL10" i="6"/>
  <c r="D10" i="6"/>
  <c r="V58" i="6"/>
  <c r="AN56" i="6"/>
  <c r="E55" i="6"/>
  <c r="L53" i="6"/>
  <c r="O51" i="6"/>
  <c r="AF49" i="6"/>
  <c r="AG44" i="6"/>
  <c r="E43" i="6"/>
  <c r="U40" i="6"/>
  <c r="X38" i="6"/>
  <c r="AC35" i="6"/>
  <c r="AH33" i="6"/>
  <c r="N31" i="6"/>
  <c r="T29" i="6"/>
  <c r="AA27" i="6"/>
  <c r="AM25" i="6"/>
  <c r="Y24" i="6"/>
  <c r="D23" i="6"/>
  <c r="AF21" i="6"/>
  <c r="L20" i="6"/>
  <c r="AF18" i="6"/>
  <c r="U17" i="6"/>
  <c r="AM15" i="6"/>
  <c r="U14" i="6"/>
  <c r="M13" i="6"/>
  <c r="AE11" i="6"/>
  <c r="M10" i="6"/>
  <c r="C9" i="6"/>
  <c r="X7" i="6"/>
  <c r="Q6" i="6"/>
  <c r="AL15" i="6"/>
  <c r="L13" i="6"/>
  <c r="L10" i="6"/>
  <c r="W7" i="6"/>
  <c r="T58" i="6"/>
  <c r="C55" i="6"/>
  <c r="L51" i="6"/>
  <c r="AE44" i="6"/>
  <c r="D40" i="6"/>
  <c r="AA35" i="6"/>
  <c r="AF33" i="6"/>
  <c r="M29" i="6"/>
  <c r="AK25" i="6"/>
  <c r="AL22" i="6"/>
  <c r="J20" i="6"/>
  <c r="I17" i="6"/>
  <c r="S14" i="6"/>
  <c r="AB11" i="6"/>
  <c r="AM8" i="6"/>
  <c r="O6" i="6"/>
  <c r="AH25" i="6"/>
  <c r="AH15" i="6"/>
  <c r="W11" i="6"/>
  <c r="N58" i="6"/>
  <c r="D51" i="6"/>
  <c r="AG42" i="6"/>
  <c r="R35" i="6"/>
  <c r="Q27" i="6"/>
  <c r="AH22" i="6"/>
  <c r="W18" i="6"/>
  <c r="M14" i="6"/>
  <c r="W8" i="6"/>
  <c r="Q56" i="6"/>
  <c r="Z44" i="6"/>
  <c r="AK37" i="6"/>
  <c r="AG28" i="6"/>
  <c r="AG22" i="6"/>
  <c r="V18" i="6"/>
  <c r="AE12" i="6"/>
  <c r="V8" i="6"/>
  <c r="N56" i="6"/>
  <c r="AE42" i="6"/>
  <c r="U33" i="6"/>
  <c r="Y25" i="6"/>
  <c r="AC19" i="6"/>
  <c r="J14" i="6"/>
  <c r="U8" i="6"/>
  <c r="P54" i="6"/>
  <c r="AD39" i="6"/>
  <c r="T33" i="6"/>
  <c r="X25" i="6"/>
  <c r="H21" i="6"/>
  <c r="I14" i="6"/>
  <c r="N7" i="6"/>
  <c r="O54" i="6"/>
  <c r="AL45" i="6"/>
  <c r="H11" i="6"/>
  <c r="AF52" i="6"/>
  <c r="W42" i="6"/>
  <c r="V25" i="6"/>
  <c r="R15" i="6"/>
  <c r="R8" i="6"/>
  <c r="R52" i="6"/>
  <c r="D44" i="6"/>
  <c r="AD37" i="6"/>
  <c r="U28" i="6"/>
  <c r="O22" i="6"/>
  <c r="AH16" i="6"/>
  <c r="AG9" i="6"/>
  <c r="L54" i="6"/>
  <c r="AJ34" i="6"/>
  <c r="N22" i="6"/>
  <c r="AE16" i="6"/>
  <c r="E11" i="6"/>
  <c r="C21" i="6"/>
  <c r="AH6" i="6"/>
  <c r="J52" i="6"/>
  <c r="AK43" i="6"/>
  <c r="AA34" i="6"/>
  <c r="R28" i="6"/>
  <c r="L22" i="6"/>
  <c r="I15" i="6"/>
  <c r="T9" i="6"/>
  <c r="S37" i="6"/>
  <c r="AF17" i="6"/>
  <c r="AK53" i="6"/>
  <c r="U58" i="6"/>
  <c r="AM56" i="6"/>
  <c r="D55" i="6"/>
  <c r="K53" i="6"/>
  <c r="N51" i="6"/>
  <c r="AE49" i="6"/>
  <c r="AF44" i="6"/>
  <c r="AN42" i="6"/>
  <c r="E40" i="6"/>
  <c r="W38" i="6"/>
  <c r="AB35" i="6"/>
  <c r="AG33" i="6"/>
  <c r="AL30" i="6"/>
  <c r="S29" i="6"/>
  <c r="W27" i="6"/>
  <c r="AL25" i="6"/>
  <c r="W24" i="6"/>
  <c r="C23" i="6"/>
  <c r="U21" i="6"/>
  <c r="K20" i="6"/>
  <c r="AE18" i="6"/>
  <c r="T17" i="6"/>
  <c r="T14" i="6"/>
  <c r="AD11" i="6"/>
  <c r="AN8" i="6"/>
  <c r="P6" i="6"/>
  <c r="AL56" i="6"/>
  <c r="H53" i="6"/>
  <c r="AB49" i="6"/>
  <c r="AM42" i="6"/>
  <c r="V38" i="6"/>
  <c r="AK30" i="6"/>
  <c r="U27" i="6"/>
  <c r="V24" i="6"/>
  <c r="T21" i="6"/>
  <c r="AD18" i="6"/>
  <c r="AK15" i="6"/>
  <c r="K13" i="6"/>
  <c r="J10" i="6"/>
  <c r="U7" i="6"/>
  <c r="R27" i="6"/>
  <c r="F20" i="6"/>
  <c r="N14" i="6"/>
  <c r="C10" i="6"/>
  <c r="AH54" i="6"/>
  <c r="I49" i="6"/>
  <c r="AB30" i="6"/>
  <c r="E24" i="6"/>
  <c r="E20" i="6"/>
  <c r="AG15" i="6"/>
  <c r="V11" i="6"/>
  <c r="Q7" i="6"/>
  <c r="AG54" i="6"/>
  <c r="C51" i="6"/>
  <c r="AF42" i="6"/>
  <c r="Q35" i="6"/>
  <c r="Y30" i="6"/>
  <c r="AB25" i="6"/>
  <c r="AF19" i="6"/>
  <c r="K14" i="6"/>
  <c r="AM9" i="6"/>
  <c r="G58" i="6"/>
  <c r="AN50" i="6"/>
  <c r="AE39" i="6"/>
  <c r="X30" i="6"/>
  <c r="AF22" i="6"/>
  <c r="C17" i="6"/>
  <c r="AD12" i="6"/>
  <c r="O7" i="6"/>
  <c r="AH52" i="6"/>
  <c r="L44" i="6"/>
  <c r="AI37" i="6"/>
  <c r="AE28" i="6"/>
  <c r="AN23" i="6"/>
  <c r="AB19" i="6"/>
  <c r="T15" i="6"/>
  <c r="AK9" i="6"/>
  <c r="AG52" i="6"/>
  <c r="K44" i="6"/>
  <c r="AH37" i="6"/>
  <c r="M27" i="6"/>
  <c r="AA22" i="6"/>
  <c r="S18" i="6"/>
  <c r="Z12" i="6"/>
  <c r="L7" i="6"/>
  <c r="N54" i="6"/>
  <c r="AB39" i="6"/>
  <c r="AK26" i="6"/>
  <c r="F21" i="6"/>
  <c r="AJ16" i="6"/>
  <c r="G11" i="6"/>
  <c r="H56" i="6"/>
  <c r="V42" i="6"/>
  <c r="Q30" i="6"/>
  <c r="AJ23" i="6"/>
  <c r="Q18" i="6"/>
  <c r="F11" i="6"/>
  <c r="Q52" i="6"/>
  <c r="Z39" i="6"/>
  <c r="T28" i="6"/>
  <c r="T25" i="6"/>
  <c r="X19" i="6"/>
  <c r="E14" i="6"/>
  <c r="N8" i="6"/>
  <c r="AD16" i="6"/>
  <c r="D11" i="6"/>
  <c r="AB50" i="6"/>
  <c r="X39" i="6"/>
  <c r="AD23" i="6"/>
  <c r="AC16" i="6"/>
  <c r="V34" i="6"/>
  <c r="E22" i="6"/>
  <c r="M9" i="6"/>
  <c r="R30" i="6"/>
  <c r="U25" i="6"/>
  <c r="P15" i="6"/>
  <c r="H7" i="6"/>
  <c r="AD50" i="6"/>
  <c r="AH26" i="6"/>
  <c r="D18" i="6"/>
  <c r="L15" i="6"/>
  <c r="E56" i="6"/>
  <c r="N30" i="6"/>
  <c r="T19" i="6"/>
  <c r="L8" i="6"/>
  <c r="X26" i="6"/>
  <c r="D15" i="6"/>
  <c r="AA6" i="6"/>
  <c r="S58" i="6"/>
  <c r="AK56" i="6"/>
  <c r="AN54" i="6"/>
  <c r="G53" i="6"/>
  <c r="K51" i="6"/>
  <c r="AA49" i="6"/>
  <c r="AD44" i="6"/>
  <c r="AJ42" i="6"/>
  <c r="C40" i="6"/>
  <c r="U38" i="6"/>
  <c r="Z35" i="6"/>
  <c r="Z33" i="6"/>
  <c r="AE30" i="6"/>
  <c r="L29" i="6"/>
  <c r="T27" i="6"/>
  <c r="AJ25" i="6"/>
  <c r="U24" i="6"/>
  <c r="AK22" i="6"/>
  <c r="S21" i="6"/>
  <c r="I20" i="6"/>
  <c r="Z18" i="6"/>
  <c r="H17" i="6"/>
  <c r="AJ15" i="6"/>
  <c r="R14" i="6"/>
  <c r="AJ12" i="6"/>
  <c r="Y11" i="6"/>
  <c r="G10" i="6"/>
  <c r="AL8" i="6"/>
  <c r="T7" i="6"/>
  <c r="D6" i="6"/>
  <c r="T56" i="6"/>
  <c r="AK54" i="6"/>
  <c r="AL52" i="6"/>
  <c r="G51" i="6"/>
  <c r="J49" i="6"/>
  <c r="AB44" i="6"/>
  <c r="AH42" i="6"/>
  <c r="AM39" i="6"/>
  <c r="F38" i="6"/>
  <c r="X33" i="6"/>
  <c r="AC30" i="6"/>
  <c r="J29" i="6"/>
  <c r="AI22" i="6"/>
  <c r="X18" i="6"/>
  <c r="X8" i="6"/>
  <c r="AK52" i="6"/>
  <c r="AA44" i="6"/>
  <c r="E38" i="6"/>
  <c r="AH28" i="6"/>
  <c r="H49" i="6"/>
  <c r="V33" i="6"/>
  <c r="D24" i="6"/>
  <c r="D17" i="6"/>
  <c r="U11" i="6"/>
  <c r="AI52" i="6"/>
  <c r="M44" i="6"/>
  <c r="P35" i="6"/>
  <c r="O27" i="6"/>
  <c r="I21" i="6"/>
  <c r="U15" i="6"/>
  <c r="AL9" i="6"/>
  <c r="M56" i="6"/>
  <c r="AM50" i="6"/>
  <c r="Y42" i="6"/>
  <c r="AN34" i="6"/>
  <c r="N27" i="6"/>
  <c r="T18" i="6"/>
  <c r="I11" i="6"/>
  <c r="E58" i="6"/>
  <c r="AL50" i="6"/>
  <c r="AC39" i="6"/>
  <c r="S33" i="6"/>
  <c r="AD28" i="6"/>
  <c r="AM23" i="6"/>
  <c r="AA19" i="6"/>
  <c r="S15" i="6"/>
  <c r="S8" i="6"/>
  <c r="I56" i="6"/>
  <c r="AK50" i="6"/>
  <c r="E44" i="6"/>
  <c r="AL34" i="6"/>
  <c r="AC28" i="6"/>
  <c r="Z22" i="6"/>
  <c r="R18" i="6"/>
  <c r="Y12" i="6"/>
  <c r="I7" i="6"/>
  <c r="C58" i="6"/>
  <c r="AA39" i="6"/>
  <c r="Q33" i="6"/>
  <c r="E21" i="6"/>
  <c r="F14" i="6"/>
  <c r="AN57" i="6"/>
  <c r="C44" i="6"/>
  <c r="AB37" i="6"/>
  <c r="AF23" i="6"/>
  <c r="W12" i="6"/>
  <c r="U19" i="6"/>
  <c r="AE9" i="6"/>
  <c r="E54" i="6"/>
  <c r="F42" i="6"/>
  <c r="AE26" i="6"/>
  <c r="AN17" i="6"/>
  <c r="C11" i="6"/>
  <c r="AA31" i="6"/>
  <c r="N16" i="6"/>
  <c r="G8" i="6"/>
  <c r="R58" i="6"/>
  <c r="U56" i="6"/>
  <c r="AL54" i="6"/>
  <c r="AM52" i="6"/>
  <c r="H51" i="6"/>
  <c r="K49" i="6"/>
  <c r="AC44" i="6"/>
  <c r="AI42" i="6"/>
  <c r="AN39" i="6"/>
  <c r="T38" i="6"/>
  <c r="Y35" i="6"/>
  <c r="Y33" i="6"/>
  <c r="AD30" i="6"/>
  <c r="K29" i="6"/>
  <c r="S27" i="6"/>
  <c r="AI25" i="6"/>
  <c r="T24" i="6"/>
  <c r="AJ22" i="6"/>
  <c r="R21" i="6"/>
  <c r="G20" i="6"/>
  <c r="Y18" i="6"/>
  <c r="G17" i="6"/>
  <c r="AI15" i="6"/>
  <c r="O14" i="6"/>
  <c r="AI12" i="6"/>
  <c r="X11" i="6"/>
  <c r="F10" i="6"/>
  <c r="AK8" i="6"/>
  <c r="S7" i="6"/>
  <c r="C6" i="6"/>
  <c r="Q58" i="6"/>
  <c r="S35" i="6"/>
  <c r="S24" i="6"/>
  <c r="Q21" i="6"/>
  <c r="F17" i="6"/>
  <c r="AH12" i="6"/>
  <c r="R7" i="6"/>
  <c r="R56" i="6"/>
  <c r="AL39" i="6"/>
  <c r="W33" i="6"/>
  <c r="AG25" i="6"/>
  <c r="P21" i="6"/>
  <c r="E17" i="6"/>
  <c r="AG12" i="6"/>
  <c r="AN9" i="6"/>
  <c r="M58" i="6"/>
  <c r="AJ52" i="6"/>
  <c r="AF39" i="6"/>
  <c r="P27" i="6"/>
  <c r="O21" i="6"/>
  <c r="AF15" i="6"/>
  <c r="P7" i="6"/>
  <c r="Q54" i="6"/>
  <c r="G49" i="6"/>
  <c r="AJ37" i="6"/>
  <c r="AF28" i="6"/>
  <c r="C24" i="6"/>
  <c r="U18" i="6"/>
  <c r="T11" i="6"/>
  <c r="F58" i="6"/>
  <c r="F49" i="6"/>
  <c r="V30" i="6"/>
  <c r="AD22" i="6"/>
  <c r="AL16" i="6"/>
  <c r="AC12" i="6"/>
  <c r="T8" i="6"/>
  <c r="J56" i="6"/>
  <c r="X42" i="6"/>
  <c r="AM34" i="6"/>
  <c r="U30" i="6"/>
  <c r="W25" i="6"/>
  <c r="G21" i="6"/>
  <c r="AK16" i="6"/>
  <c r="H14" i="6"/>
  <c r="AJ9" i="6"/>
  <c r="D58" i="6"/>
  <c r="AK45" i="6"/>
  <c r="AE37" i="6"/>
  <c r="R33" i="6"/>
  <c r="AL23" i="6"/>
  <c r="Z19" i="6"/>
  <c r="G14" i="6"/>
  <c r="AI9" i="6"/>
  <c r="M54" i="6"/>
  <c r="AJ45" i="6"/>
  <c r="AK34" i="6"/>
  <c r="AJ26" i="6"/>
  <c r="Y19" i="6"/>
  <c r="X12" i="6"/>
  <c r="G56" i="6"/>
  <c r="AI45" i="6"/>
  <c r="H42" i="6"/>
  <c r="P30" i="6"/>
  <c r="D21" i="6"/>
  <c r="AF9" i="6"/>
  <c r="C18" i="6"/>
  <c r="V12" i="6"/>
  <c r="AL57" i="6"/>
  <c r="X37" i="6"/>
  <c r="R25" i="6"/>
  <c r="U12" i="6"/>
  <c r="AM38" i="6"/>
  <c r="Y23" i="6"/>
  <c r="C12" i="6"/>
  <c r="S55" i="6"/>
  <c r="AE50" i="6"/>
  <c r="O8" i="6"/>
  <c r="AJ31" i="6"/>
  <c r="M15" i="6"/>
  <c r="AI6" i="6"/>
  <c r="AD13" i="6"/>
  <c r="AG45" i="6"/>
  <c r="AH31" i="6"/>
  <c r="AN20" i="6"/>
  <c r="AC13" i="6"/>
  <c r="AF29" i="6"/>
  <c r="N19" i="6"/>
  <c r="AE10" i="6"/>
  <c r="AM57" i="6"/>
  <c r="F56" i="6"/>
  <c r="F54" i="6"/>
  <c r="K52" i="6"/>
  <c r="AC50" i="6"/>
  <c r="AH45" i="6"/>
  <c r="AN43" i="6"/>
  <c r="G42" i="6"/>
  <c r="Y39" i="6"/>
  <c r="AA37" i="6"/>
  <c r="AI34" i="6"/>
  <c r="AI31" i="6"/>
  <c r="O30" i="6"/>
  <c r="S28" i="6"/>
  <c r="AG26" i="6"/>
  <c r="S25" i="6"/>
  <c r="AE23" i="6"/>
  <c r="M22" i="6"/>
  <c r="M8" i="6"/>
  <c r="AG6" i="6"/>
  <c r="Y20" i="6"/>
  <c r="X57" i="6"/>
  <c r="AK55" i="6"/>
  <c r="D54" i="6"/>
  <c r="I52" i="6"/>
  <c r="N50" i="6"/>
  <c r="AF45" i="6"/>
  <c r="AJ43" i="6"/>
  <c r="E42" i="6"/>
  <c r="W39" i="6"/>
  <c r="W37" i="6"/>
  <c r="Z34" i="6"/>
  <c r="AG31" i="6"/>
  <c r="M30" i="6"/>
  <c r="Q28" i="6"/>
  <c r="AD26" i="6"/>
  <c r="P25" i="6"/>
  <c r="AC23" i="6"/>
  <c r="K22" i="6"/>
  <c r="AM20" i="6"/>
  <c r="S19" i="6"/>
  <c r="AM17" i="6"/>
  <c r="AB16" i="6"/>
  <c r="H15" i="6"/>
  <c r="AB13" i="6"/>
  <c r="T12" i="6"/>
  <c r="AI10" i="6"/>
  <c r="Q9" i="6"/>
  <c r="K8" i="6"/>
  <c r="AF6" i="6"/>
  <c r="W57" i="6"/>
  <c r="AJ55" i="6"/>
  <c r="C54" i="6"/>
  <c r="H52" i="6"/>
  <c r="M50" i="6"/>
  <c r="AE45" i="6"/>
  <c r="AH43" i="6"/>
  <c r="D42" i="6"/>
  <c r="D39" i="6"/>
  <c r="V37" i="6"/>
  <c r="Y34" i="6"/>
  <c r="AF31" i="6"/>
  <c r="AJ29" i="6"/>
  <c r="P28" i="6"/>
  <c r="AC26" i="6"/>
  <c r="E25" i="6"/>
  <c r="AB23" i="6"/>
  <c r="J22" i="6"/>
  <c r="AL20" i="6"/>
  <c r="Q19" i="6"/>
  <c r="AK17" i="6"/>
  <c r="AA16" i="6"/>
  <c r="G15" i="6"/>
  <c r="AA13" i="6"/>
  <c r="R12" i="6"/>
  <c r="AH10" i="6"/>
  <c r="P9" i="6"/>
  <c r="J8" i="6"/>
  <c r="AE6" i="6"/>
  <c r="Q57" i="6"/>
  <c r="AI55" i="6"/>
  <c r="AN53" i="6"/>
  <c r="E52" i="6"/>
  <c r="L50" i="6"/>
  <c r="AD45" i="6"/>
  <c r="AG43" i="6"/>
  <c r="C42" i="6"/>
  <c r="C39" i="6"/>
  <c r="U37" i="6"/>
  <c r="X34" i="6"/>
  <c r="AE31" i="6"/>
  <c r="AI29" i="6"/>
  <c r="N28" i="6"/>
  <c r="Z26" i="6"/>
  <c r="D25" i="6"/>
  <c r="AA23" i="6"/>
  <c r="I22" i="6"/>
  <c r="AA20" i="6"/>
  <c r="P19" i="6"/>
  <c r="AJ17" i="6"/>
  <c r="Z16" i="6"/>
  <c r="F15" i="6"/>
  <c r="Z13" i="6"/>
  <c r="O12" i="6"/>
  <c r="AG10" i="6"/>
  <c r="O9" i="6"/>
  <c r="I8" i="6"/>
  <c r="AD6" i="6"/>
  <c r="P57" i="6"/>
  <c r="AH55" i="6"/>
  <c r="AM53" i="6"/>
  <c r="D52" i="6"/>
  <c r="K50" i="6"/>
  <c r="AC45" i="6"/>
  <c r="AD43" i="6"/>
  <c r="AG40" i="6"/>
  <c r="AN38" i="6"/>
  <c r="T37" i="6"/>
  <c r="W34" i="6"/>
  <c r="AB31" i="6"/>
  <c r="AH29" i="6"/>
  <c r="M28" i="6"/>
  <c r="Y26" i="6"/>
  <c r="C25" i="6"/>
  <c r="Z23" i="6"/>
  <c r="F22" i="6"/>
  <c r="Z20" i="6"/>
  <c r="O19" i="6"/>
  <c r="AI17" i="6"/>
  <c r="O16" i="6"/>
  <c r="E15" i="6"/>
  <c r="Y13" i="6"/>
  <c r="N12" i="6"/>
  <c r="AF10" i="6"/>
  <c r="N9" i="6"/>
  <c r="H8" i="6"/>
  <c r="AC6" i="6"/>
  <c r="O57" i="6"/>
  <c r="T55" i="6"/>
  <c r="AL53" i="6"/>
  <c r="AN51" i="6"/>
  <c r="J50" i="6"/>
  <c r="J45" i="6"/>
  <c r="AC43" i="6"/>
  <c r="AF40" i="6"/>
  <c r="K28" i="6"/>
  <c r="AL24" i="6"/>
  <c r="X13" i="6"/>
  <c r="N57" i="6"/>
  <c r="AL49" i="6"/>
  <c r="AH38" i="6"/>
  <c r="AA29" i="6"/>
  <c r="J23" i="6"/>
  <c r="AC17" i="6"/>
  <c r="AL11" i="6"/>
  <c r="X6" i="6"/>
  <c r="V6" i="6"/>
  <c r="J57" i="6"/>
  <c r="W29" i="6"/>
  <c r="H23" i="6"/>
  <c r="AJ11" i="6"/>
  <c r="T6" i="6"/>
  <c r="C37" i="6"/>
  <c r="M16" i="6"/>
  <c r="AN35" i="6"/>
  <c r="L16" i="6"/>
  <c r="AF27" i="6"/>
  <c r="Q55" i="6"/>
  <c r="AJ21" i="6"/>
  <c r="AI21" i="6"/>
  <c r="Z10" i="6"/>
  <c r="AN44" i="6"/>
  <c r="C16" i="6"/>
  <c r="AB27" i="6"/>
  <c r="AN15" i="6"/>
  <c r="F55" i="6"/>
  <c r="S34" i="6"/>
  <c r="V20" i="6"/>
  <c r="Z43" i="6"/>
  <c r="AL14" i="6"/>
  <c r="Y43" i="6"/>
  <c r="R20" i="6"/>
  <c r="AK33" i="6"/>
  <c r="N20" i="6"/>
  <c r="M53" i="6"/>
  <c r="U31" i="6"/>
  <c r="AJ51" i="6"/>
  <c r="S13" i="6"/>
  <c r="AG24" i="6"/>
  <c r="AD7" i="6"/>
  <c r="AB40" i="6"/>
  <c r="AC7" i="6"/>
  <c r="Q31" i="6"/>
  <c r="AF51" i="6"/>
  <c r="AB24" i="6"/>
  <c r="V40" i="6"/>
  <c r="Y7" i="6"/>
  <c r="X23" i="6"/>
  <c r="W23" i="6"/>
  <c r="Y6" i="6"/>
  <c r="K57" i="6"/>
  <c r="AK49" i="6"/>
  <c r="AG38" i="6"/>
  <c r="X29" i="6"/>
  <c r="I23" i="6"/>
  <c r="AB17" i="6"/>
  <c r="AK11" i="6"/>
  <c r="AJ49" i="6"/>
  <c r="AA38" i="6"/>
  <c r="AA17" i="6"/>
  <c r="R6" i="6"/>
  <c r="J28" i="6"/>
  <c r="AD10" i="6"/>
  <c r="AG27" i="6"/>
  <c r="AC10" i="6"/>
  <c r="AL35" i="6"/>
  <c r="AB10" i="6"/>
  <c r="AE27" i="6"/>
  <c r="P55" i="6"/>
  <c r="AD27" i="6"/>
  <c r="AC27" i="6"/>
  <c r="O10" i="6"/>
  <c r="AM44" i="6"/>
  <c r="N10" i="6"/>
  <c r="W26" i="6"/>
  <c r="C15" i="6"/>
  <c r="V26" i="6"/>
  <c r="AI53" i="6"/>
  <c r="S20" i="6"/>
  <c r="O34" i="6"/>
  <c r="H9" i="6"/>
  <c r="O20" i="6"/>
  <c r="N53" i="6"/>
  <c r="N26" i="6"/>
  <c r="AI33" i="6"/>
  <c r="AM51" i="6"/>
  <c r="M19" i="6"/>
  <c r="L19" i="6"/>
  <c r="AD24" i="6"/>
  <c r="Z40" i="6"/>
  <c r="P13" i="6"/>
  <c r="Y40" i="6"/>
  <c r="O13" i="6"/>
  <c r="AG18" i="6"/>
  <c r="AE17" i="6"/>
  <c r="AM49" i="6"/>
  <c r="H57" i="6"/>
  <c r="AI49" i="6"/>
  <c r="Z38" i="6"/>
  <c r="V29" i="6"/>
  <c r="G23" i="6"/>
  <c r="Z17" i="6"/>
  <c r="AI11" i="6"/>
  <c r="S6" i="6"/>
  <c r="D57" i="6"/>
  <c r="C57" i="6"/>
  <c r="AN21" i="6"/>
  <c r="R55" i="6"/>
  <c r="AK21" i="6"/>
  <c r="F45" i="6"/>
  <c r="AA10" i="6"/>
  <c r="AH35" i="6"/>
  <c r="I16" i="6"/>
  <c r="AG35" i="6"/>
  <c r="AD35" i="6"/>
  <c r="AB43" i="6"/>
  <c r="X20" i="6"/>
  <c r="L9" i="6"/>
  <c r="AA43" i="6"/>
  <c r="J9" i="6"/>
  <c r="U26" i="6"/>
  <c r="P53" i="6"/>
  <c r="AK14" i="6"/>
  <c r="O26" i="6"/>
  <c r="H43" i="6"/>
  <c r="E9" i="6"/>
  <c r="M26" i="6"/>
  <c r="AE40" i="6"/>
  <c r="T31" i="6"/>
  <c r="AC40" i="6"/>
  <c r="K19" i="6"/>
  <c r="R31" i="6"/>
  <c r="P31" i="6"/>
  <c r="N13" i="6"/>
  <c r="AL38" i="6"/>
  <c r="Z6" i="6"/>
  <c r="AD17" i="6"/>
  <c r="G57" i="6"/>
  <c r="AH49" i="6"/>
  <c r="Y38" i="6"/>
  <c r="U29" i="6"/>
  <c r="E23" i="6"/>
  <c r="X17" i="6"/>
  <c r="AF11" i="6"/>
  <c r="I45" i="6"/>
  <c r="D22" i="6"/>
  <c r="H45" i="6"/>
  <c r="G45" i="6"/>
  <c r="K16" i="6"/>
  <c r="AK35" i="6"/>
  <c r="J16" i="6"/>
  <c r="E45" i="6"/>
  <c r="O55" i="6"/>
  <c r="AH21" i="6"/>
  <c r="G55" i="6"/>
  <c r="AG21" i="6"/>
  <c r="T34" i="6"/>
  <c r="AJ53" i="6"/>
  <c r="AM14" i="6"/>
  <c r="P34" i="6"/>
  <c r="I9" i="6"/>
  <c r="R26" i="6"/>
  <c r="I43" i="6"/>
  <c r="Z14" i="6"/>
  <c r="AJ33" i="6"/>
  <c r="W14" i="6"/>
  <c r="F43" i="6"/>
  <c r="V14" i="6"/>
  <c r="AI24" i="6"/>
  <c r="T13" i="6"/>
  <c r="AD40" i="6"/>
  <c r="E8" i="6"/>
  <c r="S31" i="6"/>
  <c r="AH51" i="6"/>
  <c r="Q13" i="6"/>
  <c r="AC24" i="6"/>
  <c r="AB7" i="6"/>
  <c r="AA7" i="6"/>
  <c r="O31" i="6"/>
  <c r="I50" i="6"/>
  <c r="AB29" i="6"/>
  <c r="AE51" i="6"/>
  <c r="O53" i="6"/>
  <c r="G9" i="6"/>
  <c r="M20" i="6"/>
  <c r="D9" i="6"/>
  <c r="F8" i="6"/>
  <c r="AH24" i="6"/>
  <c r="AI51" i="6"/>
  <c r="R13" i="6"/>
  <c r="AJ18" i="6"/>
  <c r="AG51" i="6"/>
  <c r="AI18" i="6"/>
  <c r="AH18" i="6"/>
  <c r="Z24" i="6"/>
  <c r="AE29" i="6"/>
  <c r="AN11" i="6"/>
  <c r="AK38" i="6"/>
  <c r="AM11" i="6"/>
  <c r="A7" i="5"/>
  <c r="A7" i="4"/>
  <c r="A8" i="1"/>
  <c r="A8" i="8"/>
  <c r="A8" i="7"/>
</calcChain>
</file>

<file path=xl/sharedStrings.xml><?xml version="1.0" encoding="utf-8"?>
<sst xmlns="http://schemas.openxmlformats.org/spreadsheetml/2006/main" count="3786" uniqueCount="197">
  <si>
    <t>Security</t>
  </si>
  <si>
    <t>USDINR REGN Curncy</t>
  </si>
  <si>
    <t>Start Date</t>
  </si>
  <si>
    <t>End Date</t>
  </si>
  <si>
    <t>Period</t>
  </si>
  <si>
    <t>M</t>
  </si>
  <si>
    <t>Pricing Source</t>
  </si>
  <si>
    <t>REGN</t>
  </si>
  <si>
    <t>Date</t>
  </si>
  <si>
    <t>PX_LAST</t>
  </si>
  <si>
    <t>PX_BID</t>
  </si>
  <si>
    <t>D</t>
  </si>
  <si>
    <t>Currency</t>
  </si>
  <si>
    <t>USD</t>
  </si>
  <si>
    <t>#N/A N/A</t>
  </si>
  <si>
    <t>INFUTOTY Index</t>
  </si>
  <si>
    <t>INBGWPIY Index</t>
  </si>
  <si>
    <t>InterGlobe Aviation Ltd (INDIGO IN) - BBG GAAP</t>
  </si>
  <si>
    <t>In Millions of INR except Per Share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</si>
  <si>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</si>
  <si>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</si>
  <si>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</si>
  <si>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</si>
  <si>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</si>
  <si>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</si>
  <si>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</si>
  <si>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</si>
  <si>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</si>
  <si>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</si>
  <si>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</si>
  <si>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</si>
  <si>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</si>
  <si>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</si>
  <si>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</si>
  <si>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</si>
  <si>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</si>
  <si>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</si>
  <si>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</si>
  <si>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</si>
  <si>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</si>
  <si>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</si>
  <si>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</si>
  <si>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</si>
  <si>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</si>
  <si>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</si>
  <si>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</si>
  <si>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</si>
  <si>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</si>
  <si>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</si>
  <si>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</si>
  <si>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</si>
  <si>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Q4 2025</t>
  </si>
  <si>
    <t>Q1 2026</t>
  </si>
  <si>
    <t>Q2 2026</t>
  </si>
  <si>
    <t>Q3 2026</t>
  </si>
  <si>
    <t>Q4 2026</t>
  </si>
  <si>
    <t>Q1 2027</t>
  </si>
  <si>
    <t>Q2 2027 Est</t>
  </si>
  <si>
    <t>Q3 2027 Est</t>
  </si>
  <si>
    <t>3 Months Ending</t>
  </si>
  <si>
    <t>03/31/2017</t>
  </si>
  <si>
    <t>06/30/2017</t>
  </si>
  <si>
    <t>09/30/2017</t>
  </si>
  <si>
    <t>12/31/2017</t>
  </si>
  <si>
    <t>03/31/2018</t>
  </si>
  <si>
    <t>06/30/2018</t>
  </si>
  <si>
    <t>09/30/2018</t>
  </si>
  <si>
    <t>12/31/2018</t>
  </si>
  <si>
    <t>03/31/2019</t>
  </si>
  <si>
    <t>06/30/2019</t>
  </si>
  <si>
    <t>09/30/2019</t>
  </si>
  <si>
    <t>12/31/2019</t>
  </si>
  <si>
    <t>03/31/2020</t>
  </si>
  <si>
    <t>06/30/2020</t>
  </si>
  <si>
    <t>09/30/2020</t>
  </si>
  <si>
    <t>12/31/2020</t>
  </si>
  <si>
    <t>03/31/2021</t>
  </si>
  <si>
    <t>06/30/2021</t>
  </si>
  <si>
    <t>09/30/2021</t>
  </si>
  <si>
    <t>12/31/2021</t>
  </si>
  <si>
    <t>03/31/2022</t>
  </si>
  <si>
    <t>06/30/2022</t>
  </si>
  <si>
    <t>09/30/2022</t>
  </si>
  <si>
    <t>12/31/2022</t>
  </si>
  <si>
    <t>03/31/2023</t>
  </si>
  <si>
    <t>06/30/2023</t>
  </si>
  <si>
    <t>09/30/2023</t>
  </si>
  <si>
    <t>12/31/2023</t>
  </si>
  <si>
    <t>03/31/2024</t>
  </si>
  <si>
    <t>06/30/2024</t>
  </si>
  <si>
    <t>09/30/2024</t>
  </si>
  <si>
    <t>12/31/2024</t>
  </si>
  <si>
    <t>03/31/2025</t>
  </si>
  <si>
    <t>06/30/2025</t>
  </si>
  <si>
    <t>09/30/2025</t>
  </si>
  <si>
    <t>12/31/2025</t>
  </si>
  <si>
    <t>03/31/2026</t>
  </si>
  <si>
    <t>06/30/2026</t>
  </si>
  <si>
    <t>09/30/2026</t>
  </si>
  <si>
    <t>12/31/2026</t>
  </si>
  <si>
    <t>Revenue</t>
  </si>
  <si>
    <t>SALES_REV_TURN</t>
  </si>
  <si>
    <t xml:space="preserve">    + Sales &amp; Services Revenue</t>
  </si>
  <si>
    <t>IS_SALES_AND_SERVICES_REVENUES</t>
  </si>
  <si>
    <t xml:space="preserve">  + Other Operating Income</t>
  </si>
  <si>
    <t>IS_OTHER_OPER_INC</t>
  </si>
  <si>
    <t xml:space="preserve">  - Operating Expenses</t>
  </si>
  <si>
    <t>IS_OPERATING_EXPN</t>
  </si>
  <si>
    <t xml:space="preserve">    + Research &amp; Development</t>
  </si>
  <si>
    <t>IS_OPER_EXPENSES_RD_GAAP</t>
  </si>
  <si>
    <t xml:space="preserve">    + Depreciation &amp; Amortization</t>
  </si>
  <si>
    <t>IS_DEPRECIATION_AND_AMORTIZATION</t>
  </si>
  <si>
    <t xml:space="preserve">    + Other Operating Expense</t>
  </si>
  <si>
    <t>OTHER_OPERATING_EXPENSES_RATIO</t>
  </si>
  <si>
    <t>Operating Income (Loss)</t>
  </si>
  <si>
    <t>IS_OPER_INC</t>
  </si>
  <si>
    <t xml:space="preserve">  - Non-Operating (Income) Loss</t>
  </si>
  <si>
    <t>NONOP_INCOME_LOSS</t>
  </si>
  <si>
    <t xml:space="preserve">    + Foreign Exch (Gain) Loss</t>
  </si>
  <si>
    <t>IS_FOREIGN_EXCH_LOSS</t>
  </si>
  <si>
    <t xml:space="preserve">    + Other Non-Op (Income) Loss</t>
  </si>
  <si>
    <t>OTHER_NONOP_INCOME_LOSS</t>
  </si>
  <si>
    <t>Pretax Income</t>
  </si>
  <si>
    <t>PRETAX_INC</t>
  </si>
  <si>
    <t xml:space="preserve">  - Income Tax Expense (Benefit)</t>
  </si>
  <si>
    <t>IS_INC_TAX_EXP</t>
  </si>
  <si>
    <t xml:space="preserve">    + Current Income Tax</t>
  </si>
  <si>
    <t>IS_CURRENT_INCOME_TAX_BENEFIT</t>
  </si>
  <si>
    <t xml:space="preserve">    + Deferred Income Tax</t>
  </si>
  <si>
    <t>IS_DEFERRED_INCOME_TAX_BENEFIT</t>
  </si>
  <si>
    <t xml:space="preserve">  - (Income) Loss from Affiliates</t>
  </si>
  <si>
    <t>IS_SH_PRO_EQY_MT_INV_NET_OF_TAX</t>
  </si>
  <si>
    <t>Income (Loss) from Cont Ops</t>
  </si>
  <si>
    <t>IS_INC_BEF_XO_ITEM</t>
  </si>
  <si>
    <t xml:space="preserve">  - Net Extraordinary Losses (Gains)</t>
  </si>
  <si>
    <t>XO_GL_NET_OF_TAX</t>
  </si>
  <si>
    <t xml:space="preserve">    + Discontinued Operations</t>
  </si>
  <si>
    <t>IS_DISCONTINUED_OPERATIONS</t>
  </si>
  <si>
    <t xml:space="preserve">    + XO &amp; Accounting Changes</t>
  </si>
  <si>
    <t>EXTRAORD_ITEMS_ACCOUNTING_CHANGS</t>
  </si>
  <si>
    <t>Income (Loss) Incl. MI</t>
  </si>
  <si>
    <t>NI_INCLUDING_MINORITY_INT_RATIO</t>
  </si>
  <si>
    <t xml:space="preserve">  - Minority Interest</t>
  </si>
  <si>
    <t>MIN_NONCONTROL_INTEREST_CREDITS</t>
  </si>
  <si>
    <t>Net Income, GAAP</t>
  </si>
  <si>
    <t>NET_INCOME</t>
  </si>
  <si>
    <t xml:space="preserve">  - Preferred Dividends</t>
  </si>
  <si>
    <t>IS_TOT_CASH_PFD_DVD</t>
  </si>
  <si>
    <t xml:space="preserve">  - Other Adjustments</t>
  </si>
  <si>
    <t>OTHER_ADJUSTMENTS</t>
  </si>
  <si>
    <t>Net Income Avail to Common, GAAP</t>
  </si>
  <si>
    <t>EARN_FOR_COMMON</t>
  </si>
  <si>
    <t>Net Income Avail to Common, Adj</t>
  </si>
  <si>
    <t xml:space="preserve">  Net Abnormal Losses (Gains)</t>
  </si>
  <si>
    <t>IS_NET_ABNORMAL_ITEMS</t>
  </si>
  <si>
    <t xml:space="preserve">  Net Extraordinary Losses (Gains)</t>
  </si>
  <si>
    <t>Basic Weighted Avg Shares</t>
  </si>
  <si>
    <t>IS_AVG_NUM_SH_FOR_EPS</t>
  </si>
  <si>
    <t>Basic EPS, GAAP</t>
  </si>
  <si>
    <t>IS_EPS</t>
  </si>
  <si>
    <t>Basic EPS from Cont Ops, GAAP</t>
  </si>
  <si>
    <t>IS_EARN_BEF_XO_ITEMS_PER_SH</t>
  </si>
  <si>
    <t>Basic EPS from Cont Ops, Adjusted</t>
  </si>
  <si>
    <t>IS_BASIC_EPS_CONT_OPS</t>
  </si>
  <si>
    <t>Diluted Weighted Avg Shares</t>
  </si>
  <si>
    <t>IS_SH_FOR_DILUTED_EPS</t>
  </si>
  <si>
    <t>Diluted EPS, GAAP</t>
  </si>
  <si>
    <t>IS_DILUTED_EPS</t>
  </si>
  <si>
    <t>Diluted EPS from Cont Ops, GAAP</t>
  </si>
  <si>
    <t>IS_DIL_EPS_BEF_XO</t>
  </si>
  <si>
    <t>Diluted EPS from Cont Ops, Adjusted</t>
  </si>
  <si>
    <t>IS_DIL_EPS_CONT_OPS</t>
  </si>
  <si>
    <t>Reference Items</t>
  </si>
  <si>
    <t>Accounting Standard</t>
  </si>
  <si>
    <t>ACCOUNTING_STANDARD</t>
  </si>
  <si>
    <t>IN GAAP</t>
  </si>
  <si>
    <t>EBITDA</t>
  </si>
  <si>
    <t>EBITDA Margin (T12M)</t>
  </si>
  <si>
    <t>EBITDA_MARGIN</t>
  </si>
  <si>
    <t>EBIT</t>
  </si>
  <si>
    <t>Operating Margin</t>
  </si>
  <si>
    <t>OPER_MARGIN</t>
  </si>
  <si>
    <t>Profit Margin</t>
  </si>
  <si>
    <t>PROF_MARGIN</t>
  </si>
  <si>
    <t>Sales per Employee</t>
  </si>
  <si>
    <t>ACTUAL_SALES_PER_EMPL</t>
  </si>
  <si>
    <t>Dividends per Share</t>
  </si>
  <si>
    <t>EQY_DPS</t>
  </si>
  <si>
    <t>Total Cash Common Dividends</t>
  </si>
  <si>
    <t>IS_TOT_CASH_COM_DVD</t>
  </si>
  <si>
    <t>Personnel Expenses</t>
  </si>
  <si>
    <t>IS_PERSONNEL_EXP</t>
  </si>
  <si>
    <t>Rental Expense</t>
  </si>
  <si>
    <t>BS_CURR_RENTAL_EXPENSE</t>
  </si>
  <si>
    <t>Source: Bloomberg</t>
  </si>
  <si>
    <t>Right click to show data transparency (not supported for all values)</t>
  </si>
  <si>
    <t>EUCRBRDT Index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</si>
</sst>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,##0.0"/>
  </numFmts>
  <fonts count="10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b/>
      <sz val="11"/>
      <color indexed="9"/>
      <name val="Calibri"/>
      <family val="2"/>
    </font>
    <font>
      <b/>
      <sz val="16"/>
      <color indexed="9"/>
      <name val="Arial"/>
      <family val="2"/>
    </font>
    <font>
      <sz val="10"/>
      <name val="Calibri"/>
      <family val="2"/>
    </font>
    <font>
      <b/>
      <sz val="10"/>
      <color indexed="9"/>
      <name val="Arial"/>
      <family val="2"/>
    </font>
    <font>
      <b/>
      <sz val="10"/>
      <color indexed="8"/>
      <name val="Arial"/>
      <family val="2"/>
    </font>
    <font>
      <sz val="10"/>
      <color indexed="63"/>
      <name val="Arial"/>
      <family val="2"/>
    </font>
    <font>
      <sz val="10"/>
      <color indexed="8"/>
      <name val="Arial"/>
      <family val="2"/>
    </font>
    <font>
      <i/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4F81B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F2F2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</borders>
  <cellStyleXfs count="18">
    <xf numFmtId="0" fontId="0" fillId="0" borderId="0"/>
    <xf numFmtId="22" fontId="1" fillId="0" borderId="0"/>
    <xf numFmtId="0" fontId="2" fillId="2" borderId="0"/>
    <xf numFmtId="0" fontId="3" fillId="2" borderId="1" applyNumberFormat="0" applyProtection="0">
      <alignment horizontal="left" vertical="center" readingOrder="1"/>
    </xf>
    <xf numFmtId="0" fontId="4" fillId="3" borderId="0" applyNumberFormat="0" applyBorder="0" applyProtection="0">
      <alignment horizontal="center"/>
    </xf>
    <xf numFmtId="0" fontId="5" fillId="2" borderId="2">
      <alignment horizontal="left"/>
    </xf>
    <xf numFmtId="0" fontId="5" fillId="2" borderId="2">
      <alignment horizontal="right"/>
    </xf>
    <xf numFmtId="0" fontId="5" fillId="2" borderId="3">
      <alignment horizontal="left"/>
    </xf>
    <xf numFmtId="0" fontId="5" fillId="2" borderId="3">
      <alignment horizontal="right"/>
    </xf>
    <xf numFmtId="0" fontId="6" fillId="3" borderId="4"/>
    <xf numFmtId="165" fontId="6" fillId="3" borderId="5">
      <alignment horizontal="right"/>
    </xf>
    <xf numFmtId="0" fontId="7" fillId="3" borderId="4"/>
    <xf numFmtId="165" fontId="8" fillId="3" borderId="5">
      <alignment horizontal="right"/>
    </xf>
    <xf numFmtId="3" fontId="6" fillId="3" borderId="5">
      <alignment horizontal="right"/>
    </xf>
    <xf numFmtId="4" fontId="6" fillId="3" borderId="5">
      <alignment horizontal="right"/>
    </xf>
    <xf numFmtId="3" fontId="8" fillId="3" borderId="5">
      <alignment horizontal="right"/>
    </xf>
    <xf numFmtId="4" fontId="8" fillId="3" borderId="5">
      <alignment horizontal="right"/>
    </xf>
    <xf numFmtId="0" fontId="9" fillId="4" borderId="6" applyNumberFormat="0" applyAlignment="0" applyProtection="0"/>
  </cellStyleXfs>
  <cellXfs count="19">
    <xf numFmtId="0" fontId="0" fillId="0" borderId="0" xfId="0"/>
    <xf numFmtId="22" fontId="1" fillId="0" borderId="0" xfId="1"/>
    <xf numFmtId="164" fontId="0" fillId="0" borderId="0" xfId="0" applyNumberFormat="1"/>
    <xf numFmtId="0" fontId="2" fillId="2" borderId="0" xfId="2"/>
    <xf numFmtId="0" fontId="3" fillId="2" borderId="1" xfId="3">
      <alignment horizontal="left" vertical="center" readingOrder="1"/>
    </xf>
    <xf numFmtId="0" fontId="4" fillId="3" borderId="0" xfId="4">
      <alignment horizontal="center"/>
    </xf>
    <xf numFmtId="0" fontId="5" fillId="2" borderId="2" xfId="5">
      <alignment horizontal="left"/>
    </xf>
    <xf numFmtId="0" fontId="5" fillId="2" borderId="2" xfId="6">
      <alignment horizontal="right"/>
    </xf>
    <xf numFmtId="0" fontId="5" fillId="2" borderId="3" xfId="7">
      <alignment horizontal="left"/>
    </xf>
    <xf numFmtId="0" fontId="5" fillId="2" borderId="3" xfId="8">
      <alignment horizontal="right"/>
    </xf>
    <xf numFmtId="0" fontId="6" fillId="3" borderId="4" xfId="9"/>
    <xf numFmtId="165" fontId="6" fillId="3" borderId="5" xfId="10">
      <alignment horizontal="right"/>
    </xf>
    <xf numFmtId="0" fontId="7" fillId="3" borderId="4" xfId="11"/>
    <xf numFmtId="165" fontId="8" fillId="3" borderId="5" xfId="12">
      <alignment horizontal="right"/>
    </xf>
    <xf numFmtId="3" fontId="6" fillId="3" borderId="5" xfId="13">
      <alignment horizontal="right"/>
    </xf>
    <xf numFmtId="4" fontId="6" fillId="3" borderId="5" xfId="14">
      <alignment horizontal="right"/>
    </xf>
    <xf numFmtId="3" fontId="8" fillId="3" borderId="5" xfId="15">
      <alignment horizontal="right"/>
    </xf>
    <xf numFmtId="4" fontId="8" fillId="3" borderId="5" xfId="16">
      <alignment horizontal="right"/>
    </xf>
    <xf numFmtId="0" fontId="9" fillId="4" borderId="6" xfId="17"/>
  </cellXfs>
  <cellStyles count="18">
    <cellStyle name="blp_column_header" xfId="2" xr:uid="{5D815AAC-081F-4990-AB6D-B22559CFCE35}"/>
    <cellStyle name="blp_datetime" xfId="1" xr:uid="{0DE85E27-9589-4F1F-886C-8D88702853E0}"/>
    <cellStyle name="blp_title_header_row_left" xfId="3" xr:uid="{B16C3F49-0D80-4865-B09B-B1E23691DE4E}"/>
    <cellStyle name="fa_column_header_bottom" xfId="8" xr:uid="{BBFEE402-A887-4CE9-BB69-5E5BB7E11B6D}"/>
    <cellStyle name="fa_column_header_bottom_left" xfId="7" xr:uid="{34578203-65D7-4180-BCE0-7047E26B87D5}"/>
    <cellStyle name="fa_column_header_empty" xfId="4" xr:uid="{08D6D1D6-9C6D-48F7-A456-58E3EE3133F9}"/>
    <cellStyle name="fa_column_header_top" xfId="6" xr:uid="{A699A7CF-DAA9-4AB4-9239-E2A62E990F58}"/>
    <cellStyle name="fa_column_header_top_left" xfId="5" xr:uid="{A35685DE-C36A-4FEA-9427-AB5C2BD75A81}"/>
    <cellStyle name="fa_data_bold_0_grouped" xfId="13" xr:uid="{E98E7651-4CE6-4E2B-B4C6-B51AD1F53D19}"/>
    <cellStyle name="fa_data_bold_1_grouped" xfId="10" xr:uid="{B430F12A-E2FC-4B33-8164-422D2AE3CD0E}"/>
    <cellStyle name="fa_data_bold_2_grouped" xfId="14" xr:uid="{562FBDE6-54E5-48E7-8D2F-70007723442E}"/>
    <cellStyle name="fa_data_standard_0_grouped" xfId="15" xr:uid="{A60D9EB3-2320-4EBC-B7DD-FFC0492CBBCE}"/>
    <cellStyle name="fa_data_standard_1_grouped" xfId="12" xr:uid="{28FB8C25-5AD5-4154-B218-1598D519887A}"/>
    <cellStyle name="fa_data_standard_2_grouped" xfId="16" xr:uid="{C3A594C7-446B-49E6-81B3-44F561073CA7}"/>
    <cellStyle name="fa_footer_italic" xfId="17" xr:uid="{DDBC511E-AC86-47A9-B144-C702D641D60D}"/>
    <cellStyle name="fa_row_header_bold" xfId="9" xr:uid="{32953DE8-C070-44DD-B146-8BA5652730A1}"/>
    <cellStyle name="fa_row_header_standard" xfId="11" xr:uid="{9F0A94CA-DE97-4602-8C79-71F344E62F03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bofaddin.rtdserver">
      <tp t="e">
        <v>#N/A</v>
        <stp/>
        <stp>BDH|15377661959689867559</stp>
        <tr r="AD45" s="6"/>
      </tp>
      <tp t="e">
        <v>#N/A</v>
        <stp/>
        <stp>BDH|16236909696474387865</stp>
        <tr r="AB51" s="6"/>
      </tp>
      <tp t="e">
        <v>#N/A</v>
        <stp/>
        <stp>BDH|16314165886385326016</stp>
        <tr r="T26" s="6"/>
      </tp>
      <tp t="e">
        <v>#N/A</v>
        <stp/>
        <stp>BDH|15206062254589488358</stp>
        <tr r="AC52" s="6"/>
      </tp>
      <tp t="e">
        <v>#N/A</v>
        <stp/>
        <stp>BDH|10001730414049636504</stp>
        <tr r="J43" s="6"/>
      </tp>
      <tp t="e">
        <v>#N/A</v>
        <stp/>
        <stp>BDH|15806935289477223917</stp>
        <tr r="W34" s="6"/>
      </tp>
      <tp t="e">
        <v>#N/A</v>
        <stp/>
        <stp>BDH|14204399684916792385</stp>
        <tr r="L57" s="6"/>
      </tp>
      <tp t="e">
        <v>#N/A</v>
        <stp/>
        <stp>BDH|17370893200490303595</stp>
        <tr r="AM26" s="6"/>
      </tp>
      <tp t="e">
        <v>#N/A</v>
        <stp/>
        <stp>BDH|10864936157311812777</stp>
        <tr r="AI8" s="6"/>
      </tp>
      <tp t="e">
        <v>#N/A</v>
        <stp/>
        <stp>BDH|16150302696180405614</stp>
        <tr r="AJ18" s="6"/>
      </tp>
      <tp t="e">
        <v>#N/A</v>
        <stp/>
        <stp>BDH|11494801234742432216</stp>
        <tr r="O25" s="6"/>
      </tp>
      <tp t="e">
        <v>#N/A</v>
        <stp/>
        <stp>BDH|18064827805168192236</stp>
        <tr r="AG54" s="6"/>
      </tp>
      <tp t="e">
        <v>#N/A</v>
        <stp/>
        <stp>BDH|11444933793393374820</stp>
        <tr r="AJ35" s="6"/>
        <tr r="AJ23" s="6"/>
      </tp>
      <tp t="e">
        <v>#N/A</v>
        <stp/>
        <stp>BDH|14344192610546900866</stp>
        <tr r="E14" s="6"/>
      </tp>
      <tp t="e">
        <v>#N/A</v>
        <stp/>
        <stp>BDH|14739573096476139430</stp>
        <tr r="X15" s="6"/>
      </tp>
      <tp t="e">
        <v>#N/A</v>
        <stp/>
        <stp>BDH|13254007693730505001</stp>
        <tr r="U57" s="6"/>
      </tp>
      <tp t="e">
        <v>#N/A</v>
        <stp/>
        <stp>BDH|18225998497296377483</stp>
        <tr r="H31" s="6"/>
      </tp>
      <tp t="e">
        <v>#N/A</v>
        <stp/>
        <stp>BDH|15608283088277421256</stp>
        <tr r="AH55" s="6"/>
      </tp>
      <tp t="e">
        <v>#N/A</v>
        <stp/>
        <stp>BDH|11184839636065762542</stp>
        <tr r="W35" s="6"/>
        <tr r="W23" s="6"/>
      </tp>
      <tp t="e">
        <v>#N/A</v>
        <stp/>
        <stp>BDH|16748992347827828669</stp>
        <tr r="AH21" s="6"/>
      </tp>
      <tp t="e">
        <v>#N/A</v>
        <stp/>
        <stp>BDH|12409278932698122178</stp>
        <tr r="AD8" s="6"/>
      </tp>
      <tp t="e">
        <v>#N/A</v>
        <stp/>
        <stp>BDH|13722800953376327207</stp>
        <tr r="T25" s="6"/>
      </tp>
      <tp t="e">
        <v>#N/A</v>
        <stp/>
        <stp>BDH|17667940055357994683</stp>
        <tr r="I27" s="6"/>
      </tp>
      <tp t="e">
        <v>#N/A</v>
        <stp/>
        <stp>BDH|13126165802048340001</stp>
        <tr r="AM10" s="6"/>
      </tp>
      <tp t="e">
        <v>#N/A</v>
        <stp/>
        <stp>BDH|12043395763929074426</stp>
        <tr r="I21" s="6"/>
      </tp>
      <tp t="e">
        <v>#N/A</v>
        <stp/>
        <stp>BDH|17706008664303802835</stp>
        <tr r="AN29" s="6"/>
      </tp>
      <tp t="e">
        <v>#N/A</v>
        <stp/>
        <stp>BDH|11159067139249493125</stp>
        <tr r="AM35" s="6"/>
        <tr r="AM23" s="6"/>
      </tp>
      <tp t="e">
        <v>#N/A</v>
        <stp/>
        <stp>BDH|11775854849914718375</stp>
        <tr r="S44" s="6"/>
      </tp>
      <tp t="e">
        <v>#N/A</v>
        <stp/>
        <stp>BDH|10295434130809828424</stp>
        <tr r="M12" s="6"/>
      </tp>
      <tp t="e">
        <v>#N/A</v>
        <stp/>
        <stp>BDH|18180977446876972922</stp>
        <tr r="Z28" s="6"/>
      </tp>
      <tp t="e">
        <v>#N/A</v>
        <stp/>
        <stp>BDH|15422513408673395941</stp>
        <tr r="L58" s="6"/>
      </tp>
      <tp t="e">
        <v>#N/A</v>
        <stp/>
        <stp>BDH|17302585864799595707</stp>
        <tr r="U8" s="6"/>
      </tp>
      <tp t="e">
        <v>#N/A</v>
        <stp/>
        <stp>BDH|15666540029839942189</stp>
        <tr r="AH44" s="6"/>
      </tp>
      <tp t="e">
        <v>#N/A</v>
        <stp/>
        <stp>BDH|15684194894442910588</stp>
        <tr r="R8" s="6"/>
      </tp>
      <tp t="e">
        <v>#N/A</v>
        <stp/>
        <stp>BDH|11296619883362585786</stp>
        <tr r="AN16" s="6"/>
      </tp>
      <tp t="e">
        <v>#N/A</v>
        <stp/>
        <stp>BDH|13612152105288355087</stp>
        <tr r="L30" s="6"/>
      </tp>
      <tp t="e">
        <v>#N/A</v>
        <stp/>
        <stp>BDH|12423473127796261893</stp>
        <tr r="E38" s="6"/>
      </tp>
      <tp t="e">
        <v>#N/A</v>
        <stp/>
        <stp>BDH|10150993859455822367</stp>
        <tr r="R53" s="6"/>
      </tp>
      <tp t="e">
        <v>#N/A</v>
        <stp/>
        <stp>BDH|14927062331375384838</stp>
        <tr r="J13" s="6"/>
      </tp>
      <tp t="e">
        <v>#N/A</v>
        <stp/>
        <stp>BDH|11303381086816162629</stp>
        <tr r="AL53" s="6"/>
      </tp>
      <tp t="e">
        <v>#N/A</v>
        <stp/>
        <stp>BDH|14537515196386267519</stp>
        <tr r="L7" s="6"/>
      </tp>
      <tp t="e">
        <v>#N/A</v>
        <stp/>
        <stp>BDH|18027272363827709020</stp>
        <tr r="N24" s="6"/>
      </tp>
      <tp t="e">
        <v>#N/A</v>
        <stp/>
        <stp>BDH|11850919099922941889</stp>
        <tr r="AC28" s="6"/>
      </tp>
      <tp t="e">
        <v>#N/A</v>
        <stp/>
        <stp>BDH|17843250292914641386</stp>
        <tr r="AJ11" s="6"/>
      </tp>
      <tp t="e">
        <v>#N/A</v>
        <stp/>
        <stp>BDH|16340250047422296927</stp>
        <tr r="G25" s="6"/>
      </tp>
      <tp t="e">
        <v>#N/A</v>
        <stp/>
        <stp>BDH|14307701433589900287</stp>
        <tr r="R11" s="6"/>
      </tp>
      <tp t="e">
        <v>#N/A</v>
        <stp/>
        <stp>BDH|15103876489736862875</stp>
        <tr r="W22" s="6"/>
      </tp>
      <tp t="e">
        <v>#N/A</v>
        <stp/>
        <stp>BDH|17837280745382340864</stp>
        <tr r="AC24" s="6"/>
      </tp>
      <tp t="e">
        <v>#N/A</v>
        <stp/>
        <stp>BDH|18301362076792760544</stp>
        <tr r="AB55" s="6"/>
      </tp>
      <tp t="e">
        <v>#N/A</v>
        <stp/>
        <stp>BDH|17531114690174774037</stp>
        <tr r="H20" s="6"/>
      </tp>
      <tp t="e">
        <v>#N/A</v>
        <stp/>
        <stp>BDH|15425767888802846317</stp>
        <tr r="U34" s="6"/>
      </tp>
      <tp t="e">
        <v>#N/A</v>
        <stp/>
        <stp>BDH|16621641646028196764</stp>
        <tr r="AL15" s="6"/>
      </tp>
      <tp t="e">
        <v>#N/A</v>
        <stp/>
        <stp>BDH|17368653563524188878</stp>
        <tr r="S40" s="6"/>
      </tp>
      <tp t="e">
        <v>#N/A</v>
        <stp/>
        <stp>BDH|12355794161930886807</stp>
        <tr r="AE10" s="6"/>
      </tp>
      <tp t="e">
        <v>#N/A</v>
        <stp/>
        <stp>BDH|15972885272973713261</stp>
        <tr r="Z24" s="6"/>
      </tp>
      <tp t="e">
        <v>#N/A</v>
        <stp/>
        <stp>BDH|17785040318985167888</stp>
        <tr r="AE7" s="6"/>
      </tp>
      <tp t="e">
        <v>#N/A</v>
        <stp/>
        <stp>BDH|18029727890504567956</stp>
        <tr r="Z52" s="6"/>
      </tp>
      <tp t="e">
        <v>#N/A</v>
        <stp/>
        <stp>BDH|10389306080497400721</stp>
        <tr r="I53" s="6"/>
      </tp>
      <tp t="e">
        <v>#N/A</v>
        <stp/>
        <stp>BDH|18084302427072619041</stp>
        <tr r="N6" s="6"/>
      </tp>
      <tp t="e">
        <v>#N/A</v>
        <stp/>
        <stp>BDH|14864410249299086651</stp>
        <tr r="P9" s="6"/>
      </tp>
      <tp t="s">
        <v>#N/A N/A</v>
        <stp/>
        <stp>BDH|11752364855735828998</stp>
        <tr r="A8" s="8"/>
      </tp>
      <tp t="e">
        <v>#N/A</v>
        <stp/>
        <stp>BDH|13016967026326529500</stp>
        <tr r="H10" s="6"/>
      </tp>
      <tp t="e">
        <v>#N/A</v>
        <stp/>
        <stp>BDH|11030812261974420002</stp>
        <tr r="U54" s="6"/>
      </tp>
      <tp t="e">
        <v>#N/A</v>
        <stp/>
        <stp>BDH|16940394861728448012</stp>
        <tr r="Y53" s="6"/>
      </tp>
      <tp t="e">
        <v>#N/A</v>
        <stp/>
        <stp>BDH|14474196304338948641</stp>
        <tr r="O18" s="6"/>
      </tp>
      <tp t="e">
        <v>#N/A</v>
        <stp/>
        <stp>BDH|15222956905562061562</stp>
        <tr r="C29" s="6"/>
      </tp>
      <tp t="e">
        <v>#N/A</v>
        <stp/>
        <stp>BDH|10224065948979260697</stp>
        <tr r="AI18" s="6"/>
      </tp>
      <tp t="e">
        <v>#N/A</v>
        <stp/>
        <stp>BDH|14514567635558171109</stp>
        <tr r="G51" s="6"/>
      </tp>
      <tp t="e">
        <v>#N/A</v>
        <stp/>
        <stp>BDH|15313048297455398248</stp>
        <tr r="AN40" s="6"/>
      </tp>
      <tp t="e">
        <v>#N/A</v>
        <stp/>
        <stp>BDH|18047877340587363833</stp>
        <tr r="AK43" s="6"/>
      </tp>
      <tp t="e">
        <v>#N/A</v>
        <stp/>
        <stp>BDH|15346723123713417813</stp>
        <tr r="AH9" s="6"/>
      </tp>
      <tp t="e">
        <v>#N/A</v>
        <stp/>
        <stp>BDH|10777945204386909490</stp>
        <tr r="AB18" s="6"/>
      </tp>
      <tp t="e">
        <v>#N/A</v>
        <stp/>
        <stp>BDH|17866870595298980557</stp>
        <tr r="E52" s="6"/>
      </tp>
      <tp t="e">
        <v>#N/A</v>
        <stp/>
        <stp>BDH|15110898344675256781</stp>
        <tr r="AN54" s="6"/>
      </tp>
      <tp t="e">
        <v>#N/A</v>
        <stp/>
        <stp>BDH|15283223388300976482</stp>
        <tr r="R58" s="6"/>
      </tp>
      <tp t="e">
        <v>#N/A</v>
        <stp/>
        <stp>BDH|11146239887318878851</stp>
        <tr r="C50" s="6"/>
      </tp>
      <tp t="e">
        <v>#N/A</v>
        <stp/>
        <stp>BDH|14234409013528052297</stp>
        <tr r="E40" s="6"/>
      </tp>
      <tp t="e">
        <v>#N/A</v>
        <stp/>
        <stp>BDH|10314053869328158569</stp>
        <tr r="I58" s="6"/>
      </tp>
      <tp t="e">
        <v>#N/A</v>
        <stp/>
        <stp>BDH|10730703020879621799</stp>
        <tr r="H11" s="6"/>
      </tp>
      <tp t="e">
        <v>#N/A</v>
        <stp/>
        <stp>BDH|11993996674560987453</stp>
        <tr r="J6" s="6"/>
      </tp>
      <tp t="e">
        <v>#N/A</v>
        <stp/>
        <stp>BDH|15646011015749117689</stp>
        <tr r="I37" s="6"/>
      </tp>
      <tp t="e">
        <v>#N/A</v>
        <stp/>
        <stp>BDH|15213458382652913072</stp>
        <tr r="AA18" s="6"/>
      </tp>
      <tp t="e">
        <v>#N/A</v>
        <stp/>
        <stp>BDH|10549987025676265617</stp>
        <tr r="AH34" s="6"/>
      </tp>
      <tp t="e">
        <v>#N/A</v>
        <stp/>
        <stp>BDH|11747442751968890308</stp>
        <tr r="P26" s="6"/>
      </tp>
      <tp t="e">
        <v>#N/A</v>
        <stp/>
        <stp>BDH|16883817302521495452</stp>
        <tr r="AN20" s="6"/>
      </tp>
      <tp t="e">
        <v>#N/A</v>
        <stp/>
        <stp>BDH|18036145998063017867</stp>
        <tr r="AG31" s="6"/>
      </tp>
      <tp t="e">
        <v>#N/A</v>
        <stp/>
        <stp>BDH|13966877474551350635</stp>
        <tr r="P50" s="6"/>
      </tp>
      <tp t="e">
        <v>#N/A</v>
        <stp/>
        <stp>BDH|12624877853281986564</stp>
        <tr r="W58" s="6"/>
      </tp>
      <tp t="e">
        <v>#N/A</v>
        <stp/>
        <stp>BDH|12370631102947898874</stp>
        <tr r="T12" s="6"/>
      </tp>
      <tp t="e">
        <v>#N/A</v>
        <stp/>
        <stp>BDH|14779642636253187999</stp>
        <tr r="V18" s="6"/>
      </tp>
      <tp t="e">
        <v>#N/A</v>
        <stp/>
        <stp>BDH|13956140371619618774</stp>
        <tr r="AG40" s="6"/>
      </tp>
      <tp t="e">
        <v>#N/A</v>
        <stp/>
        <stp>BDH|17831496390288952954</stp>
        <tr r="AB49" s="6"/>
      </tp>
      <tp t="e">
        <v>#N/A</v>
        <stp/>
        <stp>BDH|18083053963346250399</stp>
        <tr r="Z12" s="6"/>
      </tp>
      <tp t="e">
        <v>#N/A</v>
        <stp/>
        <stp>BDH|12867350166829267552</stp>
        <tr r="F57" s="6"/>
      </tp>
      <tp t="e">
        <v>#N/A</v>
        <stp/>
        <stp>BDH|13904219780652586027</stp>
        <tr r="U53" s="6"/>
      </tp>
      <tp t="e">
        <v>#N/A</v>
        <stp/>
        <stp>BDH|16326600945427860809</stp>
        <tr r="K35" s="6"/>
        <tr r="K23" s="6"/>
      </tp>
      <tp t="e">
        <v>#N/A</v>
        <stp/>
        <stp>BDH|17198874207607847371</stp>
        <tr r="AI52" s="6"/>
      </tp>
      <tp t="e">
        <v>#N/A</v>
        <stp/>
        <stp>BDH|10035193100319578320</stp>
        <tr r="AH53" s="6"/>
      </tp>
      <tp t="e">
        <v>#N/A</v>
        <stp/>
        <stp>BDH|10687717103426209977</stp>
        <tr r="L9" s="6"/>
      </tp>
      <tp t="e">
        <v>#N/A</v>
        <stp/>
        <stp>BDH|18385170381500380979</stp>
        <tr r="U29" s="6"/>
      </tp>
      <tp t="e">
        <v>#N/A</v>
        <stp/>
        <stp>BDH|15575591389823470316</stp>
        <tr r="T20" s="6"/>
      </tp>
      <tp t="e">
        <v>#N/A</v>
        <stp/>
        <stp>BDH|14434952046546136768</stp>
        <tr r="AM15" s="6"/>
      </tp>
      <tp t="e">
        <v>#N/A</v>
        <stp/>
        <stp>BDH|15654370661751627962</stp>
        <tr r="F20" s="6"/>
      </tp>
      <tp t="e">
        <v>#N/A</v>
        <stp/>
        <stp>BDH|11020324877945618839</stp>
        <tr r="E57" s="6"/>
      </tp>
      <tp t="e">
        <v>#N/A</v>
        <stp/>
        <stp>BDH|16922223116979635483</stp>
        <tr r="L50" s="6"/>
      </tp>
      <tp t="e">
        <v>#N/A</v>
        <stp/>
        <stp>BDH|10619928201945732414</stp>
        <tr r="H17" s="6"/>
      </tp>
      <tp t="e">
        <v>#N/A</v>
        <stp/>
        <stp>BDH|13455720755078177116</stp>
        <tr r="Y55" s="6"/>
      </tp>
      <tp t="e">
        <v>#N/A</v>
        <stp/>
        <stp>BDH|11228002291913059318</stp>
        <tr r="E13" s="6"/>
      </tp>
      <tp t="e">
        <v>#N/A</v>
        <stp/>
        <stp>BDH|10326705582986502112</stp>
        <tr r="AL26" s="6"/>
      </tp>
      <tp t="e">
        <v>#N/A</v>
        <stp/>
        <stp>BDH|16428012091475043212</stp>
        <tr r="E15" s="6"/>
      </tp>
      <tp t="e">
        <v>#N/A</v>
        <stp/>
        <stp>BDH|18348265481313815995</stp>
        <tr r="X26" s="6"/>
      </tp>
      <tp t="e">
        <v>#N/A</v>
        <stp/>
        <stp>BDH|10373672397900612714</stp>
        <tr r="T54" s="6"/>
      </tp>
      <tp t="e">
        <v>#N/A</v>
        <stp/>
        <stp>BDH|16131379697856328265</stp>
        <tr r="G35" s="6"/>
        <tr r="G23" s="6"/>
      </tp>
      <tp t="e">
        <v>#N/A</v>
        <stp/>
        <stp>BDH|17998175786197822177</stp>
        <tr r="X33" s="6"/>
      </tp>
      <tp t="e">
        <v>#N/A</v>
        <stp/>
        <stp>BDH|15909503998632307358</stp>
        <tr r="AI10" s="6"/>
      </tp>
      <tp t="e">
        <v>#N/A</v>
        <stp/>
        <stp>BDH|12077909318530789282</stp>
        <tr r="V33" s="6"/>
      </tp>
      <tp t="e">
        <v>#N/A</v>
        <stp/>
        <stp>BDH|12661776453059721124</stp>
        <tr r="AC43" s="6"/>
      </tp>
      <tp t="e">
        <v>#N/A</v>
        <stp/>
        <stp>BDH|11837053582391117097</stp>
        <tr r="D33" s="6"/>
      </tp>
      <tp t="e">
        <v>#N/A</v>
        <stp/>
        <stp>BDH|12360891669577207379</stp>
        <tr r="D54" s="6"/>
      </tp>
      <tp t="e">
        <v>#N/A</v>
        <stp/>
        <stp>BDH|15474528144475236962</stp>
        <tr r="AN7" s="6"/>
      </tp>
      <tp t="e">
        <v>#N/A</v>
        <stp/>
        <stp>BDH|11499968725530427259</stp>
        <tr r="W7" s="6"/>
      </tp>
      <tp t="e">
        <v>#N/A</v>
        <stp/>
        <stp>BDH|11249515444421816999</stp>
        <tr r="Z6" s="6"/>
      </tp>
      <tp t="e">
        <v>#N/A</v>
        <stp/>
        <stp>BDH|16323906248563447097</stp>
        <tr r="W27" s="6"/>
      </tp>
      <tp t="e">
        <v>#N/A</v>
        <stp/>
        <stp>BDH|15034377801356172811</stp>
        <tr r="AN30" s="6"/>
      </tp>
      <tp t="e">
        <v>#N/A</v>
        <stp/>
        <stp>BDH|17635874615101268707</stp>
        <tr r="D58" s="6"/>
      </tp>
      <tp t="e">
        <v>#N/A</v>
        <stp/>
        <stp>BDH|10493962778382075437</stp>
        <tr r="AM50" s="6"/>
      </tp>
      <tp t="e">
        <v>#N/A</v>
        <stp/>
        <stp>BDH|16116525698861629349</stp>
        <tr r="AH49" s="6"/>
      </tp>
      <tp t="e">
        <v>#N/A</v>
        <stp/>
        <stp>BDH|11636427315294186886</stp>
        <tr r="L10" s="6"/>
      </tp>
      <tp t="e">
        <v>#N/A</v>
        <stp/>
        <stp>BDH|16830416263425733952</stp>
        <tr r="E28" s="6"/>
      </tp>
      <tp t="e">
        <v>#N/A</v>
        <stp/>
        <stp>BDH|15287534709518725041</stp>
        <tr r="AN6" s="6"/>
      </tp>
      <tp t="e">
        <v>#N/A</v>
        <stp/>
        <stp>BDH|13174365596433885226</stp>
        <tr r="AG10" s="6"/>
      </tp>
      <tp t="e">
        <v>#N/A</v>
        <stp/>
        <stp>BDH|11307092236043550926</stp>
        <tr r="S25" s="6"/>
      </tp>
      <tp t="e">
        <v>#N/A</v>
        <stp/>
        <stp>BDH|10317340194561917378</stp>
        <tr r="AC58" s="6"/>
      </tp>
      <tp t="e">
        <v>#N/A</v>
        <stp/>
        <stp>BDH|11812893750644827042</stp>
        <tr r="T37" s="6"/>
      </tp>
      <tp t="e">
        <v>#N/A</v>
        <stp/>
        <stp>BDH|10351987806750662179</stp>
        <tr r="AI20" s="6"/>
      </tp>
      <tp t="e">
        <v>#N/A</v>
        <stp/>
        <stp>BDH|14149142733839265786</stp>
        <tr r="AB19" s="6"/>
      </tp>
      <tp t="e">
        <v>#N/A</v>
        <stp/>
        <stp>BDH|14903569559645937932</stp>
        <tr r="L34" s="6"/>
      </tp>
      <tp t="e">
        <v>#N/A</v>
        <stp/>
        <stp>BDH|10520085864147181943</stp>
        <tr r="J54" s="6"/>
      </tp>
      <tp t="e">
        <v>#N/A</v>
        <stp/>
        <stp>BDH|15147826367581078283</stp>
        <tr r="H40" s="6"/>
      </tp>
      <tp t="e">
        <v>#N/A</v>
        <stp/>
        <stp>BDH|16804614200488170046</stp>
        <tr r="M56" s="6"/>
      </tp>
      <tp t="e">
        <v>#N/A</v>
        <stp/>
        <stp>BDH|14659637888105526741</stp>
        <tr r="T19" s="6"/>
      </tp>
      <tp t="e">
        <v>#N/A</v>
        <stp/>
        <stp>BDH|12933426940583423908</stp>
        <tr r="O45" s="6"/>
      </tp>
      <tp t="e">
        <v>#N/A</v>
        <stp/>
        <stp>BDH|18245308406743893035</stp>
        <tr r="AD44" s="6"/>
      </tp>
      <tp t="e">
        <v>#N/A</v>
        <stp/>
        <stp>BDH|10000789881443534424</stp>
        <tr r="AL22" s="6"/>
      </tp>
      <tp t="e">
        <v>#N/A</v>
        <stp/>
        <stp>BDH|13841307062899469702</stp>
        <tr r="AD26" s="6"/>
      </tp>
      <tp t="e">
        <v>#N/A</v>
        <stp/>
        <stp>BDH|13478826399302503842</stp>
        <tr r="K53" s="6"/>
      </tp>
      <tp t="e">
        <v>#N/A</v>
        <stp/>
        <stp>BDH|10140513388886943202</stp>
        <tr r="U26" s="6"/>
      </tp>
      <tp t="e">
        <v>#N/A</v>
        <stp/>
        <stp>BDH|12169938029637275782</stp>
        <tr r="R49" s="6"/>
      </tp>
      <tp t="e">
        <v>#N/A</v>
        <stp/>
        <stp>BDH|11779141122503776875</stp>
        <tr r="AE42" s="6"/>
      </tp>
      <tp t="e">
        <v>#N/A</v>
        <stp/>
        <stp>BDH|12029174241477001972</stp>
        <tr r="D6" s="6"/>
      </tp>
      <tp t="e">
        <v>#N/A</v>
        <stp/>
        <stp>BDH|16970642595385897504</stp>
        <tr r="M17" s="6"/>
      </tp>
      <tp t="e">
        <v>#N/A</v>
        <stp/>
        <stp>BDH|12662319685908466863</stp>
        <tr r="O13" s="6"/>
      </tp>
      <tp t="e">
        <v>#N/A</v>
        <stp/>
        <stp>BDH|11279722645422453914</stp>
        <tr r="R31" s="6"/>
      </tp>
      <tp t="e">
        <v>#N/A</v>
        <stp/>
        <stp>BDH|17995398601669732464</stp>
        <tr r="V29" s="6"/>
      </tp>
      <tp t="e">
        <v>#N/A</v>
        <stp/>
        <stp>BDH|17624638406821281920</stp>
        <tr r="AC50" s="6"/>
      </tp>
      <tp t="e">
        <v>#N/A</v>
        <stp/>
        <stp>BDH|13096417247102748827</stp>
        <tr r="E44" s="6"/>
      </tp>
      <tp t="e">
        <v>#N/A</v>
        <stp/>
        <stp>BDH|13683730388410780594</stp>
        <tr r="AJ34" s="6"/>
      </tp>
      <tp t="e">
        <v>#N/A</v>
        <stp/>
        <stp>BDH|15455886648892183265</stp>
        <tr r="O31" s="6"/>
      </tp>
      <tp t="e">
        <v>#N/A</v>
        <stp/>
        <stp>BDH|17614590980504807754</stp>
        <tr r="S21" s="6"/>
      </tp>
      <tp t="e">
        <v>#N/A</v>
        <stp/>
        <stp>BDH|17728301112005725907</stp>
        <tr r="L24" s="6"/>
      </tp>
      <tp t="e">
        <v>#N/A</v>
        <stp/>
        <stp>BDH|16784846705804351375</stp>
        <tr r="AK39" s="6"/>
      </tp>
      <tp t="e">
        <v>#N/A</v>
        <stp/>
        <stp>BDH|14706501697126237779</stp>
        <tr r="F8" s="6"/>
      </tp>
      <tp t="e">
        <v>#N/A</v>
        <stp/>
        <stp>BDH|13678880605582651085</stp>
        <tr r="E49" s="6"/>
      </tp>
      <tp t="e">
        <v>#N/A</v>
        <stp/>
        <stp>BDH|12861306942574773886</stp>
        <tr r="V9" s="6"/>
      </tp>
      <tp t="e">
        <v>#N/A</v>
        <stp/>
        <stp>BDH|18358555855913630210</stp>
        <tr r="Y15" s="6"/>
      </tp>
      <tp t="e">
        <v>#N/A</v>
        <stp/>
        <stp>BDH|16884202587100221593</stp>
        <tr r="S43" s="6"/>
      </tp>
      <tp t="e">
        <v>#N/A</v>
        <stp/>
        <stp>BDH|10604448532749644725</stp>
        <tr r="H14" s="6"/>
      </tp>
      <tp t="e">
        <v>#N/A</v>
        <stp/>
        <stp>BDH|10326657492780580658</stp>
        <tr r="AN55" s="6"/>
      </tp>
      <tp t="e">
        <v>#N/A</v>
        <stp/>
        <stp>BDH|11206033142328772407</stp>
        <tr r="AD28" s="6"/>
      </tp>
      <tp t="e">
        <v>#N/A</v>
        <stp/>
        <stp>BDH|10947435619314562823</stp>
        <tr r="R34" s="6"/>
      </tp>
      <tp t="e">
        <v>#N/A</v>
        <stp/>
        <stp>BDH|13226952328928155994</stp>
        <tr r="AF21" s="6"/>
      </tp>
      <tp t="e">
        <v>#N/A</v>
        <stp/>
        <stp>BDH|16081911977791926082</stp>
        <tr r="AM31" s="6"/>
      </tp>
      <tp t="e">
        <v>#N/A</v>
        <stp/>
        <stp>BDH|10511046551084011874</stp>
        <tr r="W43" s="6"/>
      </tp>
      <tp t="e">
        <v>#N/A</v>
        <stp/>
        <stp>BDH|12828910042227842156</stp>
        <tr r="AE6" s="6"/>
      </tp>
      <tp t="e">
        <v>#N/A</v>
        <stp/>
        <stp>BDH|17347279865568204259</stp>
        <tr r="AD56" s="6"/>
      </tp>
      <tp t="e">
        <v>#N/A</v>
        <stp/>
        <stp>BDH|13285464174401976805</stp>
        <tr r="AE28" s="6"/>
      </tp>
      <tp t="e">
        <v>#N/A</v>
        <stp/>
        <stp>BDH|16177837958235797746</stp>
        <tr r="AC10" s="6"/>
      </tp>
      <tp t="e">
        <v>#N/A</v>
        <stp/>
        <stp>BDH|14011580292943130226</stp>
        <tr r="AL9" s="6"/>
      </tp>
      <tp t="e">
        <v>#N/A</v>
        <stp/>
        <stp>BDH|10635494770459624302</stp>
        <tr r="AE39" s="6"/>
      </tp>
      <tp t="e">
        <v>#N/A</v>
        <stp/>
        <stp>BDH|14387080957729379169</stp>
        <tr r="C26" s="6"/>
      </tp>
      <tp t="e">
        <v>#N/A</v>
        <stp/>
        <stp>BDH|15878102212235415976</stp>
        <tr r="AE43" s="6"/>
      </tp>
      <tp t="e">
        <v>#N/A</v>
        <stp/>
        <stp>BDH|16291593291970257310</stp>
        <tr r="AK13" s="6"/>
      </tp>
      <tp t="e">
        <v>#N/A</v>
        <stp/>
        <stp>BDH|12088540749423340964</stp>
        <tr r="X58" s="6"/>
      </tp>
      <tp t="e">
        <v>#N/A</v>
        <stp/>
        <stp>BDH|15084846039220154749</stp>
        <tr r="G39" s="6"/>
      </tp>
      <tp t="e">
        <v>#N/A</v>
        <stp/>
        <stp>BDH|13427879439232919380</stp>
        <tr r="AI28" s="6"/>
      </tp>
      <tp t="e">
        <v>#N/A</v>
        <stp/>
        <stp>BDH|15015533899091522148</stp>
        <tr r="G54" s="6"/>
      </tp>
      <tp t="e">
        <v>#N/A</v>
        <stp/>
        <stp>BDH|16403915467478839813</stp>
        <tr r="AN43" s="6"/>
      </tp>
      <tp t="e">
        <v>#N/A</v>
        <stp/>
        <stp>BDH|12582848209262354106</stp>
        <tr r="H45" s="6"/>
      </tp>
      <tp t="e">
        <v>#N/A</v>
        <stp/>
        <stp>BDH|15147183710215120930</stp>
        <tr r="AD42" s="6"/>
      </tp>
      <tp t="e">
        <v>#N/A</v>
        <stp/>
        <stp>BDH|12010086248016290985</stp>
        <tr r="AN8" s="6"/>
      </tp>
      <tp t="e">
        <v>#N/A</v>
        <stp/>
        <stp>BDH|13880322591285677576</stp>
        <tr r="T6" s="6"/>
      </tp>
      <tp t="e">
        <v>#N/A</v>
        <stp/>
        <stp>BDH|13259500078010848889</stp>
        <tr r="AJ43" s="6"/>
      </tp>
      <tp t="e">
        <v>#N/A</v>
        <stp/>
        <stp>BDH|12655710450258428196</stp>
        <tr r="AL29" s="6"/>
      </tp>
      <tp t="e">
        <v>#N/A</v>
        <stp/>
        <stp>BDH|13911816317014342763</stp>
        <tr r="AB15" s="6"/>
      </tp>
      <tp t="e">
        <v>#N/A</v>
        <stp/>
        <stp>BDH|12872950046903424524</stp>
        <tr r="AF20" s="6"/>
      </tp>
      <tp t="e">
        <v>#N/A</v>
        <stp/>
        <stp>BDH|16387511250349654690</stp>
        <tr r="Z22" s="6"/>
      </tp>
      <tp t="e">
        <v>#N/A</v>
        <stp/>
        <stp>BDH|18014258151563045596</stp>
        <tr r="D19" s="6"/>
      </tp>
      <tp t="e">
        <v>#N/A</v>
        <stp/>
        <stp>BDH|15177488974149336630</stp>
        <tr r="AK18" s="6"/>
      </tp>
      <tp t="e">
        <v>#N/A</v>
        <stp/>
        <stp>BDH|17593888455952150148</stp>
        <tr r="S31" s="6"/>
      </tp>
      <tp t="e">
        <v>#N/A</v>
        <stp/>
        <stp>BDH|16177148968629962183</stp>
        <tr r="AH52" s="6"/>
      </tp>
      <tp t="e">
        <v>#N/A</v>
        <stp/>
        <stp>BDH|16854597888167346567</stp>
        <tr r="AJ15" s="6"/>
      </tp>
      <tp t="e">
        <v>#N/A</v>
        <stp/>
        <stp>BDH|14910785496994867704</stp>
        <tr r="D14" s="6"/>
      </tp>
      <tp t="e">
        <v>#N/A</v>
        <stp/>
        <stp>BDH|15164622211463956847</stp>
        <tr r="AL40" s="6"/>
      </tp>
      <tp t="e">
        <v>#N/A</v>
        <stp/>
        <stp>BDH|16378037065491213885</stp>
        <tr r="D11" s="6"/>
      </tp>
      <tp t="e">
        <v>#N/A</v>
        <stp/>
        <stp>BDH|13811083200345158807</stp>
        <tr r="AF37" s="6"/>
      </tp>
      <tp t="e">
        <v>#N/A</v>
        <stp/>
        <stp>BDH|15005743225407452951</stp>
        <tr r="AC27" s="6"/>
      </tp>
      <tp t="e">
        <v>#N/A</v>
        <stp/>
        <stp>BDH|18322700493029679164</stp>
        <tr r="Q19" s="6"/>
      </tp>
      <tp t="e">
        <v>#N/A</v>
        <stp/>
        <stp>BDH|15131489658849948387</stp>
        <tr r="R52" s="6"/>
      </tp>
      <tp t="e">
        <v>#N/A</v>
        <stp/>
        <stp>BDH|17818303349097402953</stp>
        <tr r="M22" s="6"/>
      </tp>
      <tp t="e">
        <v>#N/A</v>
        <stp/>
        <stp>BDH|12794001792645722028</stp>
        <tr r="AE8" s="6"/>
      </tp>
      <tp t="e">
        <v>#N/A</v>
        <stp/>
        <stp>BDH|12693629310498295357</stp>
        <tr r="C21" s="6"/>
      </tp>
      <tp t="e">
        <v>#N/A</v>
        <stp/>
        <stp>BDH|16209922915360396057</stp>
        <tr r="AB56" s="6"/>
      </tp>
      <tp t="e">
        <v>#N/A</v>
        <stp/>
        <stp>BDH|10037879896397190828</stp>
        <tr r="K31" s="6"/>
      </tp>
      <tp t="e">
        <v>#N/A</v>
        <stp/>
        <stp>BDH|17053644808358935774</stp>
        <tr r="AN33" s="6"/>
      </tp>
      <tp t="e">
        <v>#N/A</v>
        <stp/>
        <stp>BDH|17767718392811481655</stp>
        <tr r="H27" s="6"/>
      </tp>
      <tp t="e">
        <v>#N/A</v>
        <stp/>
        <stp>BDH|10757115437289130558</stp>
        <tr r="U33" s="6"/>
      </tp>
      <tp t="e">
        <v>#N/A</v>
        <stp/>
        <stp>BDH|18180330533694183258</stp>
        <tr r="Q42" s="6"/>
      </tp>
      <tp t="e">
        <v>#N/A</v>
        <stp/>
        <stp>BDH|12659032493077550261</stp>
        <tr r="AK20" s="6"/>
      </tp>
      <tp t="e">
        <v>#N/A</v>
        <stp/>
        <stp>BDH|17751020730239434346</stp>
        <tr r="AB50" s="6"/>
      </tp>
      <tp t="e">
        <v>#N/A</v>
        <stp/>
        <stp>BDH|18280950664251588829</stp>
        <tr r="AH27" s="6"/>
      </tp>
      <tp t="e">
        <v>#N/A</v>
        <stp/>
        <stp>BDH|12701826107826118275</stp>
        <tr r="R55" s="6"/>
      </tp>
      <tp t="e">
        <v>#N/A</v>
        <stp/>
        <stp>BDH|18000102772428103879</stp>
        <tr r="P24" s="6"/>
      </tp>
      <tp t="e">
        <v>#N/A</v>
        <stp/>
        <stp>BDH|18234631380958797010</stp>
        <tr r="O24" s="6"/>
      </tp>
      <tp t="e">
        <v>#N/A</v>
        <stp/>
        <stp>BDH|10354301680907721226</stp>
        <tr r="AJ45" s="6"/>
      </tp>
      <tp t="e">
        <v>#N/A</v>
        <stp/>
        <stp>BDH|17004739853948363359</stp>
        <tr r="V53" s="6"/>
      </tp>
      <tp t="e">
        <v>#N/A</v>
        <stp/>
        <stp>BDH|15330004394936323423</stp>
        <tr r="AK14" s="6"/>
      </tp>
      <tp t="e">
        <v>#N/A</v>
        <stp/>
        <stp>BDH|14401011881383082127</stp>
        <tr r="R15" s="6"/>
      </tp>
      <tp t="e">
        <v>#N/A</v>
        <stp/>
        <stp>BDH|16399880690701261802</stp>
        <tr r="V15" s="6"/>
      </tp>
      <tp t="e">
        <v>#N/A</v>
        <stp/>
        <stp>BDH|10627709118458635014</stp>
        <tr r="AI53" s="6"/>
      </tp>
      <tp t="e">
        <v>#N/A</v>
        <stp/>
        <stp>BDH|16808716300479699665</stp>
        <tr r="D30" s="6"/>
      </tp>
      <tp t="e">
        <v>#N/A</v>
        <stp/>
        <stp>BDH|13533152188394558041</stp>
        <tr r="AI24" s="6"/>
      </tp>
      <tp t="e">
        <v>#N/A</v>
        <stp/>
        <stp>BDH|13963868874186479477</stp>
        <tr r="AE53" s="6"/>
      </tp>
      <tp t="e">
        <v>#N/A</v>
        <stp/>
        <stp>BDH|10770015519538735709</stp>
        <tr r="H29" s="6"/>
      </tp>
      <tp t="e">
        <v>#N/A</v>
        <stp/>
        <stp>BDH|13970703753718152735</stp>
        <tr r="F38" s="6"/>
      </tp>
      <tp t="e">
        <v>#N/A</v>
        <stp/>
        <stp>BDH|17344273598202504014</stp>
        <tr r="AA35" s="6"/>
        <tr r="AA23" s="6"/>
      </tp>
      <tp t="e">
        <v>#N/A</v>
        <stp/>
        <stp>BDH|17773922352356692399</stp>
        <tr r="AE54" s="6"/>
      </tp>
      <tp t="e">
        <v>#N/A</v>
        <stp/>
        <stp>BDH|16264796113966486879</stp>
        <tr r="I18" s="6"/>
      </tp>
      <tp t="e">
        <v>#N/A</v>
        <stp/>
        <stp>BDH|12886320968359883010</stp>
        <tr r="Q57" s="6"/>
      </tp>
      <tp t="e">
        <v>#N/A</v>
        <stp/>
        <stp>BDH|15123983243031338724</stp>
        <tr r="L11" s="6"/>
      </tp>
      <tp t="e">
        <v>#N/A</v>
        <stp/>
        <stp>BDH|16910802966300170652</stp>
        <tr r="L8" s="6"/>
      </tp>
      <tp t="e">
        <v>#N/A</v>
        <stp/>
        <stp>BDH|13854315698947853046</stp>
        <tr r="AI17" s="6"/>
      </tp>
      <tp t="e">
        <v>#N/A</v>
        <stp/>
        <stp>BDH|17389297039629993179</stp>
        <tr r="Q49" s="6"/>
      </tp>
      <tp t="e">
        <v>#N/A</v>
        <stp/>
        <stp>BDH|14328268971309864610</stp>
        <tr r="N51" s="6"/>
      </tp>
      <tp t="e">
        <v>#N/A</v>
        <stp/>
        <stp>BDH|13481835211863278790</stp>
        <tr r="G49" s="6"/>
      </tp>
      <tp t="e">
        <v>#N/A</v>
        <stp/>
        <stp>BDH|16333857168831509772</stp>
        <tr r="K26" s="6"/>
      </tp>
      <tp t="e">
        <v>#N/A</v>
        <stp/>
        <stp>BDH|17875571290200435574</stp>
        <tr r="L14" s="6"/>
      </tp>
      <tp t="e">
        <v>#N/A</v>
        <stp/>
        <stp>BDH|17381748240539364383</stp>
        <tr r="G15" s="6"/>
      </tp>
      <tp t="e">
        <v>#N/A</v>
        <stp/>
        <stp>BDH|13913890735305344395</stp>
        <tr r="AB53" s="6"/>
      </tp>
      <tp t="e">
        <v>#N/A</v>
        <stp/>
        <stp>BDH|13098294698190625689</stp>
        <tr r="F25" s="6"/>
      </tp>
      <tp t="e">
        <v>#N/A</v>
        <stp/>
        <stp>BDH|14441550118308533632</stp>
        <tr r="AA57" s="6"/>
      </tp>
      <tp t="e">
        <v>#N/A</v>
        <stp/>
        <stp>BDH|16921724187786004135</stp>
        <tr r="X28" s="6"/>
      </tp>
      <tp t="e">
        <v>#N/A</v>
        <stp/>
        <stp>BDH|14771891621549634888</stp>
        <tr r="AH18" s="6"/>
      </tp>
      <tp t="e">
        <v>#N/A</v>
        <stp/>
        <stp>BDH|13029247358353810858</stp>
        <tr r="Z58" s="6"/>
      </tp>
      <tp t="e">
        <v>#N/A</v>
        <stp/>
        <stp>BDH|14419948147454219242</stp>
        <tr r="H19" s="6"/>
      </tp>
      <tp t="e">
        <v>#N/A</v>
        <stp/>
        <stp>BDH|12394615648419853633</stp>
        <tr r="I31" s="6"/>
      </tp>
      <tp t="e">
        <v>#N/A</v>
        <stp/>
        <stp>BDH|17102823443237651375</stp>
        <tr r="D43" s="6"/>
      </tp>
      <tp t="e">
        <v>#N/A</v>
        <stp/>
        <stp>BDH|11319626497554175571</stp>
        <tr r="Z20" s="6"/>
      </tp>
      <tp t="e">
        <v>#N/A</v>
        <stp/>
        <stp>BDH|10248619664577155857</stp>
        <tr r="T29" s="6"/>
      </tp>
      <tp t="e">
        <v>#N/A</v>
        <stp/>
        <stp>BDH|16845072394427971713</stp>
        <tr r="U24" s="6"/>
      </tp>
      <tp t="e">
        <v>#N/A</v>
        <stp/>
        <stp>BDH|17534770100747217830</stp>
        <tr r="Z17" s="6"/>
      </tp>
      <tp t="e">
        <v>#N/A</v>
        <stp/>
        <stp>BDH|11661502921718121148</stp>
        <tr r="T22" s="6"/>
      </tp>
      <tp t="e">
        <v>#N/A</v>
        <stp/>
        <stp>BDH|14568863165656210361</stp>
        <tr r="AB30" s="6"/>
      </tp>
      <tp t="e">
        <v>#N/A</v>
        <stp/>
        <stp>BDH|11164271659631541884</stp>
        <tr r="F26" s="6"/>
      </tp>
      <tp t="e">
        <v>#N/A</v>
        <stp/>
        <stp>BDH|14381758740320611824</stp>
        <tr r="Z27" s="6"/>
      </tp>
      <tp t="e">
        <v>#N/A</v>
        <stp/>
        <stp>BDH|17982421474978405395</stp>
        <tr r="R14" s="6"/>
      </tp>
      <tp t="e">
        <v>#N/A</v>
        <stp/>
        <stp>BDH|11629685957589456488</stp>
        <tr r="T24" s="6"/>
      </tp>
      <tp t="e">
        <v>#N/A</v>
        <stp/>
        <stp>BDH|13659417098024240589</stp>
        <tr r="L31" s="6"/>
      </tp>
      <tp t="e">
        <v>#N/A</v>
        <stp/>
        <stp>BDH|16066289000118594389</stp>
        <tr r="S30" s="6"/>
      </tp>
      <tp t="e">
        <v>#N/A</v>
        <stp/>
        <stp>BDH|13066068070208699352</stp>
        <tr r="D51" s="6"/>
      </tp>
      <tp t="e">
        <v>#N/A</v>
        <stp/>
        <stp>BDH|13160914336502039431</stp>
        <tr r="Y29" s="6"/>
      </tp>
      <tp t="e">
        <v>#N/A</v>
        <stp/>
        <stp>BDH|15015902877083749753</stp>
        <tr r="O43" s="6"/>
      </tp>
      <tp t="e">
        <v>#N/A</v>
        <stp/>
        <stp>BDH|11827901449010765331</stp>
        <tr r="AF44" s="6"/>
      </tp>
      <tp t="e">
        <v>#N/A</v>
        <stp/>
        <stp>BDH|15097810613010552335</stp>
        <tr r="J14" s="6"/>
      </tp>
      <tp t="e">
        <v>#N/A</v>
        <stp/>
        <stp>BDH|14545126240957677951</stp>
        <tr r="AH33" s="6"/>
      </tp>
      <tp t="e">
        <v>#N/A</v>
        <stp/>
        <stp>BDH|17742065897099907881</stp>
        <tr r="I16" s="6"/>
      </tp>
      <tp t="e">
        <v>#N/A</v>
        <stp/>
        <stp>BDH|15115844329546947622</stp>
        <tr r="AA22" s="6"/>
      </tp>
      <tp t="e">
        <v>#N/A</v>
        <stp/>
        <stp>BDH|11181427187065224705</stp>
        <tr r="AF15" s="6"/>
      </tp>
      <tp t="e">
        <v>#N/A</v>
        <stp/>
        <stp>BDH|15476345729962853972</stp>
        <tr r="AG25" s="6"/>
      </tp>
      <tp t="e">
        <v>#N/A</v>
        <stp/>
        <stp>BDH|14974980922745769521</stp>
        <tr r="L33" s="6"/>
      </tp>
      <tp t="e">
        <v>#N/A</v>
        <stp/>
        <stp>BDH|18383503970196364394</stp>
        <tr r="T58" s="6"/>
      </tp>
      <tp t="e">
        <v>#N/A</v>
        <stp/>
        <stp>BDH|12017699020578897184</stp>
        <tr r="D8" s="6"/>
      </tp>
      <tp t="e">
        <v>#N/A</v>
        <stp/>
        <stp>BDH|14826680328666804991</stp>
        <tr r="N53" s="6"/>
      </tp>
      <tp t="e">
        <v>#N/A</v>
        <stp/>
        <stp>BDH|18183306198745821891</stp>
        <tr r="O39" s="6"/>
      </tp>
      <tp t="e">
        <v>#N/A</v>
        <stp/>
        <stp>BDH|18118133213282389593</stp>
        <tr r="C40" s="6"/>
      </tp>
      <tp t="e">
        <v>#N/A</v>
        <stp/>
        <stp>BDH|15500801399333435838</stp>
        <tr r="R39" s="6"/>
      </tp>
      <tp t="e">
        <v>#N/A</v>
        <stp/>
        <stp>BDH|12067140483303914753</stp>
        <tr r="E42" s="6"/>
      </tp>
      <tp t="e">
        <v>#N/A</v>
        <stp/>
        <stp>BDH|14763187920341484912</stp>
        <tr r="Y6" s="6"/>
      </tp>
      <tp t="e">
        <v>#N/A</v>
        <stp/>
        <stp>BDH|14683952406025823776</stp>
        <tr r="E20" s="6"/>
      </tp>
      <tp t="e">
        <v>#N/A</v>
        <stp/>
        <stp>BDH|13081597277196401803</stp>
        <tr r="AF55" s="6"/>
      </tp>
      <tp t="e">
        <v>#N/A</v>
        <stp/>
        <stp>BDH|16703265022070972905</stp>
        <tr r="Q13" s="6"/>
      </tp>
      <tp t="e">
        <v>#N/A</v>
        <stp/>
        <stp>BDH|18362176066914933467</stp>
        <tr r="AK58" s="6"/>
      </tp>
      <tp t="e">
        <v>#N/A</v>
        <stp/>
        <stp>BDH|16038736132255552896</stp>
        <tr r="R20" s="6"/>
      </tp>
      <tp t="e">
        <v>#N/A</v>
        <stp/>
        <stp>BDH|10081741742359998527</stp>
        <tr r="AC11" s="6"/>
      </tp>
      <tp t="e">
        <v>#N/A</v>
        <stp/>
        <stp>BDH|17974179437138698222</stp>
        <tr r="M49" s="6"/>
      </tp>
      <tp t="e">
        <v>#N/A</v>
        <stp/>
        <stp>BDH|15049016168908175447</stp>
        <tr r="AA13" s="6"/>
      </tp>
      <tp t="e">
        <v>#N/A</v>
        <stp/>
        <stp>BDH|15667936829351024008</stp>
        <tr r="AM45" s="6"/>
      </tp>
      <tp t="e">
        <v>#N/A</v>
        <stp/>
        <stp>BDH|12012024949729736002</stp>
        <tr r="C18" s="6"/>
      </tp>
      <tp t="e">
        <v>#N/A</v>
        <stp/>
        <stp>BDH|13319706027849908025</stp>
        <tr r="AA37" s="6"/>
      </tp>
      <tp t="e">
        <v>#N/A</v>
        <stp/>
        <stp>BDH|12792093715868254466</stp>
        <tr r="AN13" s="6"/>
      </tp>
      <tp t="e">
        <v>#N/A</v>
        <stp/>
        <stp>BDH|10995919362862277264</stp>
        <tr r="AD34" s="6"/>
      </tp>
      <tp t="e">
        <v>#N/A</v>
        <stp/>
        <stp>BDH|17737991125433684034</stp>
        <tr r="D7" s="6"/>
      </tp>
      <tp t="e">
        <v>#N/A</v>
        <stp/>
        <stp>BDH|13840960081735523842</stp>
        <tr r="AE12" s="6"/>
      </tp>
      <tp t="e">
        <v>#N/A</v>
        <stp/>
        <stp>BDH|12620542746628448719</stp>
        <tr r="K54" s="6"/>
      </tp>
      <tp t="e">
        <v>#N/A</v>
        <stp/>
        <stp>BDH|17880974509105471731</stp>
        <tr r="AE58" s="6"/>
      </tp>
      <tp t="e">
        <v>#N/A</v>
        <stp/>
        <stp>BDH|11830008139626869889</stp>
        <tr r="F9" s="6"/>
      </tp>
      <tp t="e">
        <v>#N/A</v>
        <stp/>
        <stp>BDH|16007040211693496809</stp>
        <tr r="AH51" s="6"/>
      </tp>
      <tp t="e">
        <v>#N/A</v>
        <stp/>
        <stp>BDH|11875214088646070107</stp>
        <tr r="AL51" s="6"/>
      </tp>
      <tp t="e">
        <v>#N/A</v>
        <stp/>
        <stp>BDH|15148277516073283925</stp>
        <tr r="AA21" s="6"/>
      </tp>
      <tp t="e">
        <v>#N/A</v>
        <stp/>
        <stp>BDH|16372082989585062727</stp>
        <tr r="G7" s="6"/>
      </tp>
      <tp t="e">
        <v>#N/A</v>
        <stp/>
        <stp>BDH|10508340772038333006</stp>
        <tr r="Q55" s="6"/>
      </tp>
      <tp t="e">
        <v>#N/A</v>
        <stp/>
        <stp>BDH|14812067223263808950</stp>
        <tr r="C45" s="6"/>
      </tp>
      <tp t="e">
        <v>#N/A</v>
        <stp/>
        <stp>BDH|10366259293864632330</stp>
        <tr r="AH23" s="6"/>
        <tr r="AH35" s="6"/>
      </tp>
      <tp t="e">
        <v>#N/A</v>
        <stp/>
        <stp>BDH|13604835122461285467</stp>
        <tr r="T49" s="6"/>
      </tp>
      <tp t="e">
        <v>#N/A</v>
        <stp/>
        <stp>BDH|14876754139284643818</stp>
        <tr r="AG45" s="6"/>
      </tp>
      <tp t="e">
        <v>#N/A</v>
        <stp/>
        <stp>BDH|15052006449264218984</stp>
        <tr r="R7" s="6"/>
      </tp>
      <tp t="e">
        <v>#N/A</v>
        <stp/>
        <stp>BDH|18145135763856351508</stp>
        <tr r="AB44" s="6"/>
      </tp>
      <tp t="e">
        <v>#N/A</v>
        <stp/>
        <stp>BDH|11939838914703278790</stp>
        <tr r="I38" s="6"/>
      </tp>
      <tp t="e">
        <v>#N/A</v>
        <stp/>
        <stp>BDH|13317867262086104737</stp>
        <tr r="W31" s="6"/>
      </tp>
      <tp t="e">
        <v>#N/A</v>
        <stp/>
        <stp>BDH|17293902091529171279</stp>
        <tr r="I12" s="6"/>
      </tp>
      <tp t="e">
        <v>#N/A</v>
        <stp/>
        <stp>BDH|16322317575576001826</stp>
        <tr r="AD53" s="6"/>
      </tp>
      <tp t="e">
        <v>#N/A</v>
        <stp/>
        <stp>BDH|10124499049414532805</stp>
        <tr r="C39" s="6"/>
      </tp>
      <tp t="e">
        <v>#N/A</v>
        <stp/>
        <stp>BDH|17588251895747669775</stp>
        <tr r="Q21" s="6"/>
      </tp>
      <tp t="e">
        <v>#N/A</v>
        <stp/>
        <stp>BDH|18329526113696584639</stp>
        <tr r="E34" s="6"/>
      </tp>
      <tp t="e">
        <v>#N/A</v>
        <stp/>
        <stp>BDH|10853398386030393702</stp>
        <tr r="L22" s="6"/>
      </tp>
      <tp t="e">
        <v>#N/A</v>
        <stp/>
        <stp>BDH|15263247575154235868</stp>
        <tr r="AC17" s="6"/>
      </tp>
      <tp t="e">
        <v>#N/A</v>
        <stp/>
        <stp>BDH|11899646899420194238</stp>
        <tr r="O58" s="6"/>
      </tp>
      <tp t="e">
        <v>#N/A</v>
        <stp/>
        <stp>BDH|13193642725583151862</stp>
        <tr r="Y21" s="6"/>
      </tp>
      <tp t="e">
        <v>#N/A</v>
        <stp/>
        <stp>BDH|14162679104946216878</stp>
        <tr r="N23" s="6"/>
        <tr r="N35" s="6"/>
      </tp>
      <tp t="e">
        <v>#N/A</v>
        <stp/>
        <stp>BDH|14203403486181550565</stp>
        <tr r="T30" s="6"/>
      </tp>
      <tp t="e">
        <v>#N/A</v>
        <stp/>
        <stp>BDH|16844083428830928870</stp>
        <tr r="AI13" s="6"/>
      </tp>
      <tp t="e">
        <v>#N/A</v>
        <stp/>
        <stp>BDH|13294980566371991134</stp>
        <tr r="U12" s="6"/>
      </tp>
      <tp t="e">
        <v>#N/A</v>
        <stp/>
        <stp>BDH|16928462213917067854</stp>
        <tr r="V35" s="6"/>
        <tr r="V23" s="6"/>
      </tp>
      <tp t="e">
        <v>#N/A</v>
        <stp/>
        <stp>BDH|17503648699393010712</stp>
        <tr r="AI55" s="6"/>
      </tp>
      <tp t="e">
        <v>#N/A</v>
        <stp/>
        <stp>BDH|18197381149424865717</stp>
        <tr r="AF17" s="6"/>
      </tp>
      <tp t="e">
        <v>#N/A</v>
        <stp/>
        <stp>BDH|13326809956004979650</stp>
        <tr r="AM8" s="6"/>
      </tp>
      <tp t="e">
        <v>#N/A</v>
        <stp/>
        <stp>BDH|10220904699009052523</stp>
        <tr r="Z33" s="6"/>
      </tp>
      <tp t="e">
        <v>#N/A</v>
        <stp/>
        <stp>BDH|11544245591047063191</stp>
        <tr r="AB16" s="6"/>
      </tp>
      <tp t="e">
        <v>#N/A</v>
        <stp/>
        <stp>BDH|18077127450878336895</stp>
        <tr r="AD22" s="6"/>
      </tp>
      <tp t="e">
        <v>#N/A</v>
        <stp/>
        <stp>BDH|13868632617780304877</stp>
        <tr r="N33" s="6"/>
      </tp>
      <tp t="e">
        <v>#N/A</v>
        <stp/>
        <stp>BDH|11260756392841768294</stp>
        <tr r="AF31" s="6"/>
      </tp>
      <tp t="e">
        <v>#N/A</v>
        <stp/>
        <stp>BDH|18002139771464033694</stp>
        <tr r="AM24" s="6"/>
      </tp>
      <tp t="e">
        <v>#N/A</v>
        <stp/>
        <stp>BDH|13031322693974945135</stp>
        <tr r="AJ56" s="6"/>
      </tp>
      <tp t="e">
        <v>#N/A</v>
        <stp/>
        <stp>BDH|12256864066579915907</stp>
        <tr r="T53" s="6"/>
      </tp>
      <tp t="e">
        <v>#N/A</v>
        <stp/>
        <stp>BDH|14836015187108026857</stp>
        <tr r="R26" s="6"/>
      </tp>
      <tp t="e">
        <v>#N/A</v>
        <stp/>
        <stp>BDH|13665913368055060543</stp>
        <tr r="P57" s="6"/>
      </tp>
      <tp t="e">
        <v>#N/A</v>
        <stp/>
        <stp>BDH|12635642889312374232</stp>
        <tr r="F24" s="6"/>
      </tp>
      <tp t="e">
        <v>#N/A</v>
        <stp/>
        <stp>BDH|11277444588141314074</stp>
        <tr r="AC35" s="6"/>
        <tr r="AC23" s="6"/>
      </tp>
      <tp t="e">
        <v>#N/A</v>
        <stp/>
        <stp>BDH|10465487291740401133</stp>
        <tr r="AM14" s="6"/>
      </tp>
      <tp t="e">
        <v>#N/A</v>
        <stp/>
        <stp>BDH|17997154862838256464</stp>
        <tr r="J28" s="6"/>
      </tp>
      <tp t="e">
        <v>#N/A</v>
        <stp/>
        <stp>BDH|15840888907734857521</stp>
        <tr r="E21" s="6"/>
      </tp>
      <tp t="e">
        <v>#N/A</v>
        <stp/>
        <stp>BDH|14437842678457410014</stp>
        <tr r="F30" s="6"/>
      </tp>
      <tp t="e">
        <v>#N/A</v>
        <stp/>
        <stp>BDH|15407824469741325605</stp>
        <tr r="W37" s="6"/>
      </tp>
      <tp t="e">
        <v>#N/A</v>
        <stp/>
        <stp>BDH|10881825907676664243</stp>
        <tr r="AH43" s="6"/>
      </tp>
      <tp t="e">
        <v>#N/A</v>
        <stp/>
        <stp>BDH|13287406089075589603</stp>
        <tr r="L54" s="6"/>
      </tp>
      <tp t="e">
        <v>#N/A</v>
        <stp/>
        <stp>BDH|12047139884003919408</stp>
        <tr r="N55" s="6"/>
      </tp>
      <tp t="e">
        <v>#N/A</v>
        <stp/>
        <stp>BDH|13367512252779882790</stp>
        <tr r="P31" s="6"/>
      </tp>
      <tp t="e">
        <v>#N/A</v>
        <stp/>
        <stp>BDH|15104096072058288796</stp>
        <tr r="AL20" s="6"/>
      </tp>
      <tp t="e">
        <v>#N/A</v>
        <stp/>
        <stp>BDH|18372611861847623243</stp>
        <tr r="AJ33" s="6"/>
      </tp>
      <tp t="e">
        <v>#N/A</v>
        <stp/>
        <stp>BDH|13043007845913042951</stp>
        <tr r="N34" s="6"/>
      </tp>
      <tp t="e">
        <v>#N/A</v>
        <stp/>
        <stp>BDH|14318851063063290441</stp>
        <tr r="Z31" s="6"/>
      </tp>
      <tp t="e">
        <v>#N/A</v>
        <stp/>
        <stp>BDH|16755930037397391631</stp>
        <tr r="R18" s="6"/>
      </tp>
      <tp t="e">
        <v>#N/A</v>
        <stp/>
        <stp>BDH|13135152516987396922</stp>
        <tr r="AN23" s="6"/>
        <tr r="AN35" s="6"/>
      </tp>
      <tp t="e">
        <v>#N/A</v>
        <stp/>
        <stp>BDH|12305928355074283748</stp>
        <tr r="AI16" s="6"/>
      </tp>
      <tp t="e">
        <v>#N/A</v>
        <stp/>
        <stp>BDH|16603829845993040439</stp>
        <tr r="G52" s="6"/>
      </tp>
      <tp t="e">
        <v>#N/A</v>
        <stp/>
        <stp>BDH|15110079386047490760</stp>
        <tr r="AM56" s="6"/>
      </tp>
      <tp t="e">
        <v>#N/A</v>
        <stp/>
        <stp>BDH|16136003089381323295</stp>
        <tr r="H37" s="6"/>
      </tp>
      <tp t="e">
        <v>#N/A</v>
        <stp/>
        <stp>BDH|10521263904996398911</stp>
        <tr r="AG55" s="6"/>
      </tp>
      <tp t="e">
        <v>#N/A</v>
        <stp/>
        <stp>BDH|10133799329938202066</stp>
        <tr r="V52" s="6"/>
      </tp>
      <tp t="e">
        <v>#N/A</v>
        <stp/>
        <stp>BDH|11589832327811118756</stp>
        <tr r="AI43" s="6"/>
      </tp>
      <tp t="e">
        <v>#N/A</v>
        <stp/>
        <stp>BDH|13346887516725809217</stp>
        <tr r="AG15" s="6"/>
      </tp>
      <tp t="e">
        <v>#N/A</v>
        <stp/>
        <stp>BDH|10719957896254002902</stp>
        <tr r="AJ49" s="6"/>
      </tp>
      <tp t="e">
        <v>#N/A</v>
        <stp/>
        <stp>BDH|18207468942557642273</stp>
        <tr r="AI27" s="6"/>
      </tp>
      <tp t="e">
        <v>#N/A</v>
        <stp/>
        <stp>BDH|11752267101407751909</stp>
        <tr r="S14" s="6"/>
      </tp>
      <tp t="e">
        <v>#N/A</v>
        <stp/>
        <stp>BDH|16478241083174119559</stp>
        <tr r="S52" s="6"/>
      </tp>
      <tp t="e">
        <v>#N/A</v>
        <stp/>
        <stp>BDH|11028240480543074533</stp>
        <tr r="Y38" s="6"/>
      </tp>
      <tp t="e">
        <v>#N/A</v>
        <stp/>
        <stp>BDH|12744582833729961024</stp>
        <tr r="O7" s="6"/>
      </tp>
      <tp t="e">
        <v>#N/A</v>
        <stp/>
        <stp>BDH|14621690678440548855</stp>
        <tr r="AD31" s="6"/>
      </tp>
      <tp t="e">
        <v>#N/A</v>
        <stp/>
        <stp>BDH|10732492043439956437</stp>
        <tr r="V57" s="6"/>
      </tp>
      <tp t="e">
        <v>#N/A</v>
        <stp/>
        <stp>BDH|17662741782643293645</stp>
        <tr r="AL19" s="6"/>
      </tp>
      <tp t="e">
        <v>#N/A</v>
        <stp/>
        <stp>BDH|18005185278492603102</stp>
        <tr r="AM43" s="6"/>
      </tp>
      <tp t="e">
        <v>#N/A</v>
        <stp/>
        <stp>BDH|15562663139058625556</stp>
        <tr r="C25" s="6"/>
      </tp>
      <tp t="e">
        <v>#N/A</v>
        <stp/>
        <stp>BDH|18300494906765755426</stp>
        <tr r="H49" s="6"/>
      </tp>
      <tp t="e">
        <v>#N/A</v>
        <stp/>
        <stp>BDH|15309290067125004946</stp>
        <tr r="N18" s="6"/>
      </tp>
      <tp t="e">
        <v>#N/A</v>
        <stp/>
        <stp>BDH|17251725099217201331</stp>
        <tr r="A7" s="5"/>
      </tp>
      <tp t="e">
        <v>#N/A</v>
        <stp/>
        <stp>BDH|13190183152439014339</stp>
        <tr r="C13" s="6"/>
      </tp>
      <tp t="e">
        <v>#N/A</v>
        <stp/>
        <stp>BDH|15050289805702304859</stp>
        <tr r="AF22" s="6"/>
      </tp>
      <tp t="e">
        <v>#N/A</v>
        <stp/>
        <stp>BDH|13885535826168694114</stp>
        <tr r="P11" s="6"/>
      </tp>
      <tp t="e">
        <v>#N/A</v>
        <stp/>
        <stp>BDH|13795982517152296403</stp>
        <tr r="AJ21" s="6"/>
      </tp>
      <tp t="e">
        <v>#N/A</v>
        <stp/>
        <stp>BDH|18226319759091448234</stp>
        <tr r="T57" s="6"/>
      </tp>
      <tp t="e">
        <v>#N/A</v>
        <stp/>
        <stp>BDH|13282531794697049590</stp>
        <tr r="AL21" s="6"/>
      </tp>
      <tp t="e">
        <v>#N/A</v>
        <stp/>
        <stp>BDH|12631085089774882334</stp>
        <tr r="S7" s="6"/>
      </tp>
      <tp t="e">
        <v>#N/A</v>
        <stp/>
        <stp>BDH|17856320862027315878</stp>
        <tr r="AH56" s="6"/>
      </tp>
      <tp t="e">
        <v>#N/A</v>
        <stp/>
        <stp>BDH|15149936703178584989</stp>
        <tr r="V39" s="6"/>
      </tp>
      <tp t="e">
        <v>#N/A</v>
        <stp/>
        <stp>BDH|12870860275322518212</stp>
        <tr r="AC34" s="6"/>
      </tp>
      <tp t="e">
        <v>#N/A</v>
        <stp/>
        <stp>BDH|11194092134837659853</stp>
        <tr r="X54" s="6"/>
      </tp>
      <tp t="e">
        <v>#N/A</v>
        <stp/>
        <stp>BDH|16006839351635459388</stp>
        <tr r="Z53" s="6"/>
      </tp>
      <tp t="e">
        <v>#N/A</v>
        <stp/>
        <stp>BDH|10750518750683559125</stp>
        <tr r="I43" s="6"/>
      </tp>
      <tp t="e">
        <v>#N/A</v>
        <stp/>
        <stp>BDH|16265750004502057127</stp>
        <tr r="O51" s="6"/>
      </tp>
      <tp t="e">
        <v>#N/A</v>
        <stp/>
        <stp>BDH|17394326803931226714</stp>
        <tr r="S51" s="6"/>
      </tp>
      <tp t="e">
        <v>#N/A</v>
        <stp/>
        <stp>BDH|16940198062891672255</stp>
        <tr r="AN38" s="6"/>
      </tp>
      <tp t="e">
        <v>#N/A</v>
        <stp/>
        <stp>BDH|17101805883887676240</stp>
        <tr r="G31" s="6"/>
      </tp>
      <tp t="e">
        <v>#N/A</v>
        <stp/>
        <stp>BDH|10891202921180183288</stp>
        <tr r="U18" s="6"/>
      </tp>
      <tp t="e">
        <v>#N/A</v>
        <stp/>
        <stp>BDH|17631115232472246579</stp>
        <tr r="S19" s="6"/>
      </tp>
      <tp t="e">
        <v>#N/A</v>
        <stp/>
        <stp>BDH|15208603506598123959</stp>
        <tr r="Q38" s="6"/>
      </tp>
      <tp t="e">
        <v>#N/A</v>
        <stp/>
        <stp>BDH|12089051794441792864</stp>
        <tr r="Q27" s="6"/>
      </tp>
      <tp t="e">
        <v>#N/A</v>
        <stp/>
        <stp>BDH|18253861434823085234</stp>
        <tr r="AM11" s="6"/>
      </tp>
      <tp t="e">
        <v>#N/A</v>
        <stp/>
        <stp>BDH|11108010193599541356</stp>
        <tr r="U28" s="6"/>
      </tp>
      <tp t="e">
        <v>#N/A</v>
        <stp/>
        <stp>BDH|13276395142324314296</stp>
        <tr r="AC7" s="6"/>
      </tp>
      <tp t="e">
        <v>#N/A</v>
        <stp/>
        <stp>BDH|13442342374386433329</stp>
        <tr r="D25" s="6"/>
      </tp>
      <tp t="e">
        <v>#N/A</v>
        <stp/>
        <stp>BDH|17985516958640162530</stp>
        <tr r="Y18" s="6"/>
      </tp>
      <tp t="e">
        <v>#N/A</v>
        <stp/>
        <stp>BDH|11089491483946871905</stp>
        <tr r="N37" s="6"/>
      </tp>
      <tp t="e">
        <v>#N/A</v>
        <stp/>
        <stp>BDH|13156842020913028879</stp>
        <tr r="AK38" s="6"/>
      </tp>
      <tp t="e">
        <v>#N/A</v>
        <stp/>
        <stp>BDH|14981726609078307947</stp>
        <tr r="C31" s="6"/>
      </tp>
      <tp t="e">
        <v>#N/A</v>
        <stp/>
        <stp>BDH|14562565895583316909</stp>
        <tr r="G19" s="6"/>
      </tp>
      <tp t="e">
        <v>#N/A</v>
        <stp/>
        <stp>BDH|11793370057657547266</stp>
        <tr r="T17" s="6"/>
      </tp>
      <tp t="e">
        <v>#N/A</v>
        <stp/>
        <stp>BDH|17069365423786110205</stp>
        <tr r="K33" s="6"/>
      </tp>
      <tp t="e">
        <v>#N/A</v>
        <stp/>
        <stp>BDH|16534016454717584625</stp>
        <tr r="P15" s="6"/>
      </tp>
      <tp t="e">
        <v>#N/A</v>
        <stp/>
        <stp>BDH|15728495505196846558</stp>
        <tr r="L37" s="6"/>
      </tp>
      <tp t="e">
        <v>#N/A</v>
        <stp/>
        <stp>BDH|13781053737283512166</stp>
        <tr r="P33" s="6"/>
      </tp>
      <tp t="e">
        <v>#N/A</v>
        <stp/>
        <stp>BDH|18369672076428459309</stp>
        <tr r="AD25" s="6"/>
      </tp>
      <tp t="e">
        <v>#N/A</v>
        <stp/>
        <stp>BDH|18443329398776541625</stp>
        <tr r="AN17" s="6"/>
      </tp>
      <tp t="e">
        <v>#N/A</v>
        <stp/>
        <stp>BDH|15075685966962371543</stp>
        <tr r="Z40" s="6"/>
      </tp>
      <tp t="e">
        <v>#N/A</v>
        <stp/>
        <stp>BDH|16469440379160592753</stp>
        <tr r="D29" s="6"/>
      </tp>
      <tp t="e">
        <v>#N/A</v>
        <stp/>
        <stp>BDH|13979198503284864430</stp>
        <tr r="V54" s="6"/>
      </tp>
      <tp t="e">
        <v>#N/A</v>
        <stp/>
        <stp>BDH|11522418705772024595</stp>
        <tr r="K34" s="6"/>
      </tp>
      <tp t="e">
        <v>#N/A</v>
        <stp/>
        <stp>BDH|17817509333951071239</stp>
        <tr r="M29" s="6"/>
      </tp>
      <tp t="e">
        <v>#N/A</v>
        <stp/>
        <stp>BDH|16316271452452677180</stp>
        <tr r="Z34" s="6"/>
      </tp>
      <tp t="e">
        <v>#N/A</v>
        <stp/>
        <stp>BDH|13804631476251415115</stp>
        <tr r="R12" s="6"/>
      </tp>
      <tp t="e">
        <v>#N/A</v>
        <stp/>
        <stp>BDH|15883936551788453357</stp>
        <tr r="AL8" s="6"/>
      </tp>
      <tp t="e">
        <v>#N/A</v>
        <stp/>
        <stp>BDH|13885106620354506660</stp>
        <tr r="AE37" s="6"/>
      </tp>
      <tp t="e">
        <v>#N/A</v>
        <stp/>
        <stp>BDH|16945900803798406554</stp>
        <tr r="AE25" s="6"/>
      </tp>
      <tp t="e">
        <v>#N/A</v>
        <stp/>
        <stp>BDH|12882465534831372624</stp>
        <tr r="Y16" s="6"/>
      </tp>
      <tp t="e">
        <v>#N/A</v>
        <stp/>
        <stp>BDH|17805035967611674210</stp>
        <tr r="AB45" s="6"/>
      </tp>
      <tp t="e">
        <v>#N/A</v>
        <stp/>
        <stp>BDH|13973330191108892394</stp>
        <tr r="AF10" s="6"/>
      </tp>
      <tp t="e">
        <v>#N/A</v>
        <stp/>
        <stp>BDH|10625339903191458087</stp>
        <tr r="H16" s="6"/>
      </tp>
      <tp t="e">
        <v>#N/A</v>
        <stp/>
        <stp>BDH|12923054247832941682</stp>
        <tr r="U27" s="6"/>
      </tp>
      <tp t="e">
        <v>#N/A</v>
        <stp/>
        <stp>BDH|15573271884419966458</stp>
        <tr r="AE56" s="6"/>
      </tp>
      <tp t="e">
        <v>#N/A</v>
        <stp/>
        <stp>BDH|15413650233002821002</stp>
        <tr r="O52" s="6"/>
      </tp>
      <tp t="e">
        <v>#N/A</v>
        <stp/>
        <stp>BDH|13267371876085976072</stp>
        <tr r="D26" s="6"/>
      </tp>
      <tp t="e">
        <v>#N/A</v>
        <stp/>
        <stp>BDH|16104367345376638590</stp>
        <tr r="K16" s="6"/>
      </tp>
      <tp t="e">
        <v>#N/A</v>
        <stp/>
        <stp>BDH|15286410671790704489</stp>
        <tr r="C22" s="6"/>
      </tp>
      <tp t="e">
        <v>#N/A</v>
        <stp/>
        <stp>BDH|17466835571278278292</stp>
        <tr r="AG24" s="6"/>
      </tp>
      <tp t="e">
        <v>#N/A</v>
        <stp/>
        <stp>BDH|14360039944054805605</stp>
        <tr r="I9" s="6"/>
      </tp>
      <tp t="e">
        <v>#N/A</v>
        <stp/>
        <stp>BDH|11790582273329878880</stp>
        <tr r="AG20" s="6"/>
      </tp>
      <tp t="e">
        <v>#N/A</v>
        <stp/>
        <stp>BDH|12991756006030100770</stp>
        <tr r="I28" s="6"/>
      </tp>
      <tp t="e">
        <v>#N/A</v>
        <stp/>
        <stp>BDH|14766638608640013005</stp>
        <tr r="O54" s="6"/>
      </tp>
      <tp t="e">
        <v>#N/A</v>
        <stp/>
        <stp>BDH|11200988639320749988</stp>
        <tr r="R28" s="6"/>
      </tp>
      <tp t="e">
        <v>#N/A</v>
        <stp/>
        <stp>BDH|17041393832095723032</stp>
        <tr r="AM39" s="6"/>
      </tp>
      <tp t="e">
        <v>#N/A</v>
        <stp/>
        <stp>BDH|16655713264644406184</stp>
        <tr r="AC18" s="6"/>
      </tp>
      <tp t="e">
        <v>#N/A</v>
        <stp/>
        <stp>BDH|15060415737977053785</stp>
        <tr r="G10" s="6"/>
      </tp>
      <tp t="e">
        <v>#N/A</v>
        <stp/>
        <stp>BDH|10452229311707850610</stp>
        <tr r="AN52" s="6"/>
      </tp>
      <tp t="e">
        <v>#N/A</v>
        <stp/>
        <stp>BDH|18019706900228397420</stp>
        <tr r="P38" s="6"/>
      </tp>
      <tp t="e">
        <v>#N/A</v>
        <stp/>
        <stp>BDH|12799483041554745589</stp>
        <tr r="G53" s="6"/>
      </tp>
      <tp t="e">
        <v>#N/A</v>
        <stp/>
        <stp>BDH|15578380505250964511</stp>
        <tr r="AJ28" s="6"/>
      </tp>
      <tp t="e">
        <v>#N/A</v>
        <stp/>
        <stp>BDH|11702661964305781710</stp>
        <tr r="T11" s="6"/>
      </tp>
      <tp t="e">
        <v>#N/A</v>
        <stp/>
        <stp>BDH|16766377037194766131</stp>
        <tr r="AG52" s="6"/>
      </tp>
      <tp t="e">
        <v>#N/A</v>
        <stp/>
        <stp>BDH|12001735550555799662</stp>
        <tr r="AK42" s="6"/>
      </tp>
      <tp t="e">
        <v>#N/A</v>
        <stp/>
        <stp>BDH|12467858596806594606</stp>
        <tr r="AL10" s="6"/>
      </tp>
      <tp t="e">
        <v>#N/A</v>
        <stp/>
        <stp>BDH|13306103037912339059</stp>
        <tr r="O20" s="6"/>
      </tp>
      <tp t="e">
        <v>#N/A</v>
        <stp/>
        <stp>BDH|17222857993182759711</stp>
        <tr r="AB54" s="6"/>
      </tp>
      <tp t="e">
        <v>#N/A</v>
        <stp/>
        <stp>BDH|10252504119693063497</stp>
        <tr r="D55" s="6"/>
      </tp>
      <tp t="e">
        <v>#N/A</v>
        <stp/>
        <stp>BDH|11984067640742944435</stp>
        <tr r="C49" s="6"/>
      </tp>
      <tp t="e">
        <v>#N/A</v>
        <stp/>
        <stp>BDH|14122544710553733076</stp>
        <tr r="AH54" s="6"/>
      </tp>
      <tp t="e">
        <v>#N/A</v>
        <stp/>
        <stp>BDH|15147543813995586762</stp>
        <tr r="J34" s="6"/>
      </tp>
      <tp t="e">
        <v>#N/A</v>
        <stp/>
        <stp>BDH|15729529555247464106</stp>
        <tr r="W45" s="6"/>
      </tp>
      <tp t="e">
        <v>#N/A</v>
        <stp/>
        <stp>BDH|18079186347749391780</stp>
        <tr r="AM27" s="6"/>
      </tp>
      <tp t="e">
        <v>#N/A</v>
        <stp/>
        <stp>BDH|16261236511366359079</stp>
        <tr r="T43" s="6"/>
      </tp>
      <tp t="e">
        <v>#N/A</v>
        <stp/>
        <stp>BDH|16724766215504568752</stp>
        <tr r="AL43" s="6"/>
      </tp>
      <tp t="e">
        <v>#N/A</v>
        <stp/>
        <stp>BDH|12342490038977284140</stp>
        <tr r="J24" s="6"/>
      </tp>
      <tp t="e">
        <v>#N/A</v>
        <stp/>
        <stp>BDH|15732967355968331205</stp>
        <tr r="H38" s="6"/>
      </tp>
      <tp t="e">
        <v>#N/A</v>
        <stp/>
        <stp>BDH|12678752104610654664</stp>
        <tr r="AB34" s="6"/>
      </tp>
      <tp t="e">
        <v>#N/A</v>
        <stp/>
        <stp>BDH|15576903800277712857</stp>
        <tr r="AF42" s="6"/>
      </tp>
      <tp t="e">
        <v>#N/A</v>
        <stp/>
        <stp>BDH|16218637741731206640</stp>
        <tr r="Q31" s="6"/>
      </tp>
      <tp t="e">
        <v>#N/A</v>
        <stp/>
        <stp>BDH|12721511221806490053</stp>
        <tr r="AM12" s="6"/>
      </tp>
      <tp t="e">
        <v>#N/A</v>
        <stp/>
        <stp>BDH|12481805186386419708</stp>
        <tr r="M43" s="6"/>
      </tp>
      <tp t="e">
        <v>#N/A</v>
        <stp/>
        <stp>BDH|17679503348790945513</stp>
        <tr r="AH26" s="6"/>
      </tp>
      <tp t="e">
        <v>#N/A</v>
        <stp/>
        <stp>BDH|10489115885759852316</stp>
        <tr r="T35" s="6"/>
        <tr r="T23" s="6"/>
      </tp>
      <tp t="e">
        <v>#N/A</v>
        <stp/>
        <stp>BDH|16844303380376957889</stp>
        <tr r="E30" s="6"/>
      </tp>
      <tp t="e">
        <v>#N/A</v>
        <stp/>
        <stp>BDH|15544278659492619346</stp>
        <tr r="U40" s="6"/>
      </tp>
      <tp t="e">
        <v>#N/A</v>
        <stp/>
        <stp>BDH|13781072960104038298</stp>
        <tr r="Q51" s="6"/>
      </tp>
      <tp t="e">
        <v>#N/A</v>
        <stp/>
        <stp>BDH|17699544947940873544</stp>
        <tr r="C20" s="6"/>
      </tp>
      <tp t="e">
        <v>#N/A</v>
        <stp/>
        <stp>BDH|11951717187849060474</stp>
        <tr r="AI14" s="6"/>
      </tp>
      <tp t="e">
        <v>#N/A</v>
        <stp/>
        <stp>BDH|18123841776354260099</stp>
        <tr r="M19" s="6"/>
      </tp>
      <tp t="e">
        <v>#N/A</v>
        <stp/>
        <stp>BDH|12044748189558062653</stp>
        <tr r="S58" s="6"/>
      </tp>
      <tp t="e">
        <v>#N/A</v>
        <stp/>
        <stp>BDH|16229791075154395158</stp>
        <tr r="AH37" s="6"/>
      </tp>
      <tp t="e">
        <v>#N/A</v>
        <stp/>
        <stp>BDH|12183240028137007659</stp>
        <tr r="G17" s="6"/>
      </tp>
      <tp t="e">
        <v>#N/A</v>
        <stp/>
        <stp>BDH|17738089569844493692</stp>
        <tr r="AM16" s="6"/>
      </tp>
      <tp t="e">
        <v>#N/A</v>
        <stp/>
        <stp>BDH|12724342865782410694</stp>
        <tr r="V43" s="6"/>
      </tp>
      <tp t="e">
        <v>#N/A</v>
        <stp/>
        <stp>BDH|13517504322647840045</stp>
        <tr r="AL28" s="6"/>
      </tp>
      <tp t="e">
        <v>#N/A</v>
        <stp/>
        <stp>BDH|13199424927887623190</stp>
        <tr r="AB25" s="6"/>
      </tp>
      <tp t="e">
        <v>#N/A</v>
        <stp/>
        <stp>BDH|12836460372236761419</stp>
        <tr r="P10" s="6"/>
      </tp>
      <tp t="e">
        <v>#N/A</v>
        <stp/>
        <stp>BDH|13124666524247848314</stp>
        <tr r="N39" s="6"/>
      </tp>
      <tp t="e">
        <v>#N/A</v>
        <stp/>
        <stp>BDH|11072066199138278373</stp>
        <tr r="AA50" s="6"/>
      </tp>
      <tp t="e">
        <v>#N/A</v>
        <stp/>
        <stp>BDH|12221449649096349716</stp>
        <tr r="F28" s="6"/>
      </tp>
      <tp t="e">
        <v>#N/A</v>
        <stp/>
        <stp>BDH|13183645489247831995</stp>
        <tr r="AH8" s="6"/>
      </tp>
      <tp t="e">
        <v>#N/A</v>
        <stp/>
        <stp>BDH|16594686110574651660</stp>
        <tr r="AG28" s="6"/>
      </tp>
      <tp t="e">
        <v>#N/A</v>
        <stp/>
        <stp>BDH|10166415461729945850</stp>
        <tr r="M18" s="6"/>
      </tp>
      <tp t="e">
        <v>#N/A</v>
        <stp/>
        <stp>BDH|12621813272919144784</stp>
        <tr r="P37" s="6"/>
      </tp>
      <tp t="e">
        <v>#N/A</v>
        <stp/>
        <stp>BDH|13244798606656953180</stp>
        <tr r="AJ30" s="6"/>
      </tp>
      <tp t="e">
        <v>#N/A</v>
        <stp/>
        <stp>BDH|11002905433998911060</stp>
        <tr r="AD11" s="6"/>
      </tp>
      <tp t="e">
        <v>#N/A</v>
        <stp/>
        <stp>BDH|10388247374202793485</stp>
        <tr r="D38" s="6"/>
      </tp>
      <tp t="e">
        <v>#N/A</v>
        <stp/>
        <stp>BDH|11951615607494765079</stp>
        <tr r="K38" s="6"/>
      </tp>
      <tp t="e">
        <v>#N/A</v>
        <stp/>
        <stp>BDH|11252264970843287498</stp>
        <tr r="F58" s="6"/>
      </tp>
      <tp t="e">
        <v>#N/A</v>
        <stp/>
        <stp>BDH|12653417371841952303</stp>
        <tr r="P51" s="6"/>
      </tp>
      <tp t="e">
        <v>#N/A</v>
        <stp/>
        <stp>BDH|10827035442335042260</stp>
        <tr r="AI7" s="6"/>
      </tp>
      <tp t="e">
        <v>#N/A</v>
        <stp/>
        <stp>BDH|10283345303913205380</stp>
        <tr r="M42" s="6"/>
      </tp>
      <tp t="e">
        <v>#N/A</v>
        <stp/>
        <stp>BDH|11915271836547471423</stp>
        <tr r="M54" s="6"/>
      </tp>
      <tp t="e">
        <v>#N/A</v>
        <stp/>
        <stp>BDH|11711639241010441305</stp>
        <tr r="AG14" s="6"/>
      </tp>
      <tp t="e">
        <v>#N/A</v>
        <stp/>
        <stp>BDH|13102916111903317831</stp>
        <tr r="AB37" s="6"/>
      </tp>
      <tp t="e">
        <v>#N/A</v>
        <stp/>
        <stp>BDH|11340574692555136868</stp>
        <tr r="AJ22" s="6"/>
      </tp>
      <tp t="e">
        <v>#N/A</v>
        <stp/>
        <stp>BDH|12136035228884342486</stp>
        <tr r="AJ55" s="6"/>
      </tp>
      <tp t="e">
        <v>#N/A</v>
        <stp/>
        <stp>BDH|16074501744901054659</stp>
        <tr r="AJ8" s="6"/>
      </tp>
      <tp t="e">
        <v>#N/A</v>
        <stp/>
        <stp>BDH|12525342918422142290</stp>
        <tr r="AL39" s="6"/>
      </tp>
      <tp t="e">
        <v>#N/A</v>
        <stp/>
        <stp>BDH|14894395522534634153</stp>
        <tr r="G43" s="6"/>
      </tp>
      <tp t="e">
        <v>#N/A</v>
        <stp/>
        <stp>BDH|18400357977244525839</stp>
        <tr r="AI11" s="6"/>
      </tp>
      <tp t="e">
        <v>#N/A</v>
        <stp/>
        <stp>BDH|12485223066595174314</stp>
        <tr r="N13" s="6"/>
      </tp>
      <tp t="e">
        <v>#N/A</v>
        <stp/>
        <stp>BDH|15358299812454865209</stp>
        <tr r="AA44" s="6"/>
      </tp>
      <tp t="e">
        <v>#N/A</v>
        <stp/>
        <stp>BDH|15132504846214172050</stp>
        <tr r="I22" s="6"/>
      </tp>
      <tp t="e">
        <v>#N/A</v>
        <stp/>
        <stp>BDH|13145144143713425514</stp>
        <tr r="P58" s="6"/>
      </tp>
      <tp t="e">
        <v>#N/A</v>
        <stp/>
        <stp>BDH|14650543785478532110</stp>
        <tr r="AK29" s="6"/>
      </tp>
      <tp t="e">
        <v>#N/A</v>
        <stp/>
        <stp>BDH|11015030710038357830</stp>
        <tr r="H7" s="6"/>
      </tp>
      <tp t="e">
        <v>#N/A</v>
        <stp/>
        <stp>BDH|11572154974805592239</stp>
        <tr r="X40" s="6"/>
      </tp>
      <tp t="e">
        <v>#N/A</v>
        <stp/>
        <stp>BDH|15443079461396312535</stp>
        <tr r="O33" s="6"/>
      </tp>
      <tp t="e">
        <v>#N/A</v>
        <stp/>
        <stp>BDH|15570595534076810525</stp>
        <tr r="AL12" s="6"/>
      </tp>
      <tp t="e">
        <v>#N/A</v>
        <stp/>
        <stp>BDH|12473460765145784554</stp>
        <tr r="M45" s="6"/>
      </tp>
      <tp t="e">
        <v>#N/A</v>
        <stp/>
        <stp>BDH|17817513778510678525</stp>
        <tr r="H56" s="6"/>
      </tp>
      <tp t="s">
        <v>#N/A N/A</v>
        <stp/>
        <stp>BDH|16363659741032448672</stp>
        <tr r="A8" s="7"/>
      </tp>
      <tp t="e">
        <v>#N/A</v>
        <stp/>
        <stp>BDH|16883510154846027092</stp>
        <tr r="Z51" s="6"/>
      </tp>
      <tp t="e">
        <v>#N/A</v>
        <stp/>
        <stp>BDH|16497012151304386736</stp>
        <tr r="AI54" s="6"/>
      </tp>
      <tp t="e">
        <v>#N/A</v>
        <stp/>
        <stp>BDH|15040592781071444986</stp>
        <tr r="K44" s="6"/>
      </tp>
      <tp t="e">
        <v>#N/A</v>
        <stp/>
        <stp>BDH|16912344728400111730</stp>
        <tr r="AC12" s="6"/>
      </tp>
      <tp t="e">
        <v>#N/A</v>
        <stp/>
        <stp>BDH|16383746940194590156</stp>
        <tr r="AL56" s="6"/>
      </tp>
      <tp t="e">
        <v>#N/A</v>
        <stp/>
        <stp>BDH|11533167009561864150</stp>
        <tr r="AA20" s="6"/>
      </tp>
      <tp t="e">
        <v>#N/A</v>
        <stp/>
        <stp>BDH|16942149202051123685</stp>
        <tr r="AG16" s="6"/>
      </tp>
      <tp t="e">
        <v>#N/A</v>
        <stp/>
        <stp>BDH|18280873676211154642</stp>
        <tr r="Q30" s="6"/>
      </tp>
      <tp t="e">
        <v>#N/A</v>
        <stp/>
        <stp>BDH|10450496018095664059</stp>
        <tr r="M11" s="6"/>
      </tp>
      <tp t="e">
        <v>#N/A</v>
        <stp/>
        <stp>BDH|14127890367028953203</stp>
        <tr r="J44" s="6"/>
      </tp>
      <tp t="e">
        <v>#N/A</v>
        <stp/>
        <stp>BDH|17895471662193457606</stp>
        <tr r="AG12" s="6"/>
      </tp>
      <tp t="e">
        <v>#N/A</v>
        <stp/>
        <stp>BDH|13234243172256896053</stp>
        <tr r="AJ39" s="6"/>
      </tp>
      <tp t="e">
        <v>#N/A</v>
        <stp/>
        <stp>BDH|12369708288329665445</stp>
        <tr r="AH11" s="6"/>
      </tp>
      <tp t="e">
        <v>#N/A</v>
        <stp/>
        <stp>BDH|15287760278695542006</stp>
        <tr r="T14" s="6"/>
      </tp>
      <tp t="e">
        <v>#N/A</v>
        <stp/>
        <stp>BDH|14280071100915823144</stp>
        <tr r="AM38" s="6"/>
      </tp>
      <tp t="e">
        <v>#N/A</v>
        <stp/>
        <stp>BDH|15291827683011223496</stp>
        <tr r="J25" s="6"/>
      </tp>
      <tp t="e">
        <v>#N/A</v>
        <stp/>
        <stp>BDH|16916010311092740567</stp>
        <tr r="AM25" s="6"/>
      </tp>
      <tp t="e">
        <v>#N/A</v>
        <stp/>
        <stp>BDH|16526725642680902543</stp>
        <tr r="V50" s="6"/>
      </tp>
      <tp t="e">
        <v>#N/A</v>
        <stp/>
        <stp>BDH|11042089702066685747</stp>
        <tr r="K6" s="6"/>
      </tp>
      <tp t="e">
        <v>#N/A</v>
        <stp/>
        <stp>BDH|11978334906927476508</stp>
        <tr r="C28" s="6"/>
      </tp>
      <tp t="e">
        <v>#N/A</v>
        <stp/>
        <stp>BDH|12494714555072266291</stp>
        <tr r="AN15" s="6"/>
      </tp>
      <tp t="e">
        <v>#N/A</v>
        <stp/>
        <stp>BDH|13524989517222125905</stp>
        <tr r="R24" s="6"/>
      </tp>
      <tp t="e">
        <v>#N/A</v>
        <stp/>
        <stp>BDH|11710432983109870447</stp>
        <tr r="AA39" s="6"/>
      </tp>
      <tp t="e">
        <v>#N/A</v>
        <stp/>
        <stp>BDH|10504128059620777429</stp>
        <tr r="AE24" s="6"/>
      </tp>
      <tp t="e">
        <v>#N/A</v>
        <stp/>
        <stp>BDH|14807298962131863108</stp>
        <tr r="N52" s="6"/>
      </tp>
      <tp t="e">
        <v>#N/A</v>
        <stp/>
        <stp>BDH|10063623646894699691</stp>
        <tr r="Z26" s="6"/>
      </tp>
      <tp t="e">
        <v>#N/A</v>
        <stp/>
        <stp>BDH|16883454925389117937</stp>
        <tr r="AN18" s="6"/>
      </tp>
      <tp t="e">
        <v>#N/A</v>
        <stp/>
        <stp>BDH|15844238533332072621</stp>
        <tr r="AE9" s="6"/>
      </tp>
      <tp t="e">
        <v>#N/A</v>
        <stp/>
        <stp>BDH|16909868044968060218</stp>
        <tr r="U30" s="6"/>
      </tp>
      <tp t="e">
        <v>#N/A</v>
        <stp/>
        <stp>BDH|14938493737081599284</stp>
        <tr r="M16" s="6"/>
      </tp>
      <tp t="e">
        <v>#N/A</v>
        <stp/>
        <stp>BDH|11993912947644343865</stp>
        <tr r="P22" s="6"/>
      </tp>
      <tp t="e">
        <v>#N/A</v>
        <stp/>
        <stp>BDH|16378986842729416209</stp>
        <tr r="AM34" s="6"/>
      </tp>
      <tp t="e">
        <v>#N/A</v>
        <stp/>
        <stp>BDH|10218633216255987229</stp>
        <tr r="AN44" s="6"/>
      </tp>
      <tp t="e">
        <v>#N/A</v>
        <stp/>
        <stp>BDH|13194263142755901008</stp>
        <tr r="Z15" s="6"/>
      </tp>
      <tp t="e">
        <v>#N/A</v>
        <stp/>
        <stp>BDH|10875118903330752127</stp>
        <tr r="Y58" s="6"/>
      </tp>
      <tp t="e">
        <v>#N/A</v>
        <stp/>
        <stp>BDH|11381254162255863036</stp>
        <tr r="AN9" s="6"/>
      </tp>
      <tp t="e">
        <v>#N/A</v>
        <stp/>
        <stp>BDH|13905548782118001612</stp>
        <tr r="P45" s="6"/>
      </tp>
      <tp t="e">
        <v>#N/A</v>
        <stp/>
        <stp>BDH|18228444100879062581</stp>
        <tr r="W8" s="6"/>
      </tp>
      <tp t="e">
        <v>#N/A</v>
        <stp/>
        <stp>BDH|10651767236932966615</stp>
        <tr r="V11" s="6"/>
      </tp>
      <tp t="e">
        <v>#N/A</v>
        <stp/>
        <stp>BDH|12451715341827979630</stp>
        <tr r="F27" s="6"/>
      </tp>
      <tp t="e">
        <v>#N/A</v>
        <stp/>
        <stp>BDH|10588424210340157586</stp>
        <tr r="W42" s="6"/>
      </tp>
      <tp t="e">
        <v>#N/A</v>
        <stp/>
        <stp>BDH|13989778136313338453</stp>
        <tr r="D56" s="6"/>
      </tp>
      <tp t="e">
        <v>#N/A</v>
        <stp/>
        <stp>BDH|11577050177153034595</stp>
        <tr r="F39" s="6"/>
      </tp>
      <tp t="e">
        <v>#N/A</v>
        <stp/>
        <stp>BDH|15907701210716462536</stp>
        <tr r="E8" s="6"/>
      </tp>
      <tp t="e">
        <v>#N/A</v>
        <stp/>
        <stp>BDH|11199543417661717544</stp>
        <tr r="E25" s="6"/>
      </tp>
      <tp t="e">
        <v>#N/A</v>
        <stp/>
        <stp>BDH|16271676177737041135</stp>
        <tr r="F10" s="6"/>
      </tp>
      <tp t="e">
        <v>#N/A</v>
        <stp/>
        <stp>BDH|10155678115066320004</stp>
        <tr r="AC38" s="6"/>
      </tp>
      <tp t="e">
        <v>#N/A</v>
        <stp/>
        <stp>BDH|13275089602582823001</stp>
        <tr r="F54" s="6"/>
      </tp>
      <tp t="e">
        <v>#N/A</v>
        <stp/>
        <stp>BDH|10415012863960343752</stp>
        <tr r="Q10" s="6"/>
      </tp>
      <tp t="e">
        <v>#N/A</v>
        <stp/>
        <stp>BDH|16365227200430100502</stp>
        <tr r="AK33" s="6"/>
      </tp>
      <tp t="e">
        <v>#N/A</v>
        <stp/>
        <stp>BDH|17222113603120311737</stp>
        <tr r="W9" s="6"/>
      </tp>
      <tp t="e">
        <v>#N/A</v>
        <stp/>
        <stp>BDH|14574297419800477626</stp>
        <tr r="N50" s="6"/>
      </tp>
      <tp t="e">
        <v>#N/A</v>
        <stp/>
        <stp>BDH|11838880941668751458</stp>
        <tr r="E24" s="6"/>
      </tp>
      <tp t="e">
        <v>#N/A</v>
        <stp/>
        <stp>BDH|16973039663319259887</stp>
        <tr r="AD16" s="6"/>
      </tp>
      <tp t="e">
        <v>#N/A</v>
        <stp/>
        <stp>BDH|12095237689551011895</stp>
        <tr r="P13" s="6"/>
      </tp>
      <tp t="e">
        <v>#N/A</v>
        <stp/>
        <stp>BDH|15406534231975763729</stp>
        <tr r="J8" s="6"/>
      </tp>
      <tp t="e">
        <v>#N/A</v>
        <stp/>
        <stp>BDH|14950013208627076230</stp>
        <tr r="Q56" s="6"/>
      </tp>
      <tp t="e">
        <v>#N/A</v>
        <stp/>
        <stp>BDH|11413369127254102563</stp>
        <tr r="M10" s="6"/>
      </tp>
      <tp t="e">
        <v>#N/A</v>
        <stp/>
        <stp>BDH|14174368393786569937</stp>
        <tr r="I24" s="6"/>
      </tp>
      <tp t="e">
        <v>#N/A</v>
        <stp/>
        <stp>BDH|14763457466837284040</stp>
        <tr r="AE57" s="6"/>
      </tp>
      <tp t="e">
        <v>#N/A</v>
        <stp/>
        <stp>BDH|17611420405660483278</stp>
        <tr r="Z16" s="6"/>
      </tp>
      <tp t="e">
        <v>#N/A</v>
        <stp/>
        <stp>BDH|18387570381261574556</stp>
        <tr r="V51" s="6"/>
      </tp>
      <tp t="e">
        <v>#N/A</v>
        <stp/>
        <stp>BDH|15655312970957664748</stp>
        <tr r="AM53" s="6"/>
      </tp>
      <tp t="e">
        <v>#N/A</v>
        <stp/>
        <stp>BDH|18189352582386144428</stp>
        <tr r="R23" s="6"/>
        <tr r="R35" s="6"/>
      </tp>
      <tp t="e">
        <v>#N/A</v>
        <stp/>
        <stp>BDH|18016850219334989412</stp>
        <tr r="J16" s="6"/>
      </tp>
      <tp t="e">
        <v>#N/A</v>
        <stp/>
        <stp>BDH|14156699590349599398</stp>
        <tr r="V6" s="6"/>
      </tp>
      <tp t="e">
        <v>#N/A</v>
        <stp/>
        <stp>BDH|10841972007881969956</stp>
        <tr r="AE33" s="6"/>
      </tp>
      <tp t="e">
        <v>#N/A</v>
        <stp/>
        <stp>BDH|14515738113785743669</stp>
        <tr r="G16" s="6"/>
      </tp>
      <tp t="e">
        <v>#N/A</v>
        <stp/>
        <stp>BDH|14456523449492898638</stp>
        <tr r="AN28" s="6"/>
      </tp>
      <tp t="e">
        <v>#N/A</v>
        <stp/>
        <stp>BDH|18020943908758895837</stp>
        <tr r="AM29" s="6"/>
      </tp>
      <tp t="e">
        <v>#N/A</v>
        <stp/>
        <stp>BDH|12014820113449569330</stp>
        <tr r="AN50" s="6"/>
      </tp>
      <tp t="e">
        <v>#N/A</v>
        <stp/>
        <stp>BDH|14142053370385457775</stp>
        <tr r="V22" s="6"/>
      </tp>
      <tp t="e">
        <v>#N/A</v>
        <stp/>
        <stp>BDH|14041628847055633256</stp>
        <tr r="O19" s="6"/>
      </tp>
      <tp t="e">
        <v>#N/A</v>
        <stp/>
        <stp>BDH|16805407976517195393</stp>
        <tr r="X57" s="6"/>
      </tp>
      <tp t="e">
        <v>#N/A</v>
        <stp/>
        <stp>BDH|16081540694478524339</stp>
        <tr r="AF54" s="6"/>
      </tp>
      <tp t="e">
        <v>#N/A</v>
        <stp/>
        <stp>BDH|17359227478604802772</stp>
        <tr r="AA27" s="6"/>
      </tp>
      <tp t="e">
        <v>#N/A</v>
        <stp/>
        <stp>BDH|16268160760633991343</stp>
        <tr r="N58" s="6"/>
      </tp>
      <tp t="e">
        <v>#N/A</v>
        <stp/>
        <stp>BDH|10190823962579865606</stp>
        <tr r="E11" s="6"/>
      </tp>
      <tp t="e">
        <v>#N/A</v>
        <stp/>
        <stp>BDH|12474080632665755508</stp>
        <tr r="Z14" s="6"/>
      </tp>
      <tp t="e">
        <v>#N/A</v>
        <stp/>
        <stp>BDH|10572783522764151072</stp>
        <tr r="R17" s="6"/>
      </tp>
      <tp t="e">
        <v>#N/A</v>
        <stp/>
        <stp>BDH|17772989717488882689</stp>
        <tr r="AK15" s="6"/>
      </tp>
      <tp t="e">
        <v>#N/A</v>
        <stp/>
        <stp>BDH|10177394137147758604</stp>
        <tr r="AG58" s="6"/>
      </tp>
      <tp t="e">
        <v>#N/A</v>
        <stp/>
        <stp>BDH|11170086515515291453</stp>
        <tr r="AC44" s="6"/>
      </tp>
      <tp t="e">
        <v>#N/A</v>
        <stp/>
        <stp>BDH|11988275925696354638</stp>
        <tr r="M7" s="6"/>
      </tp>
      <tp t="e">
        <v>#N/A</v>
        <stp/>
        <stp>BDH|10126002347752803746</stp>
        <tr r="W14" s="6"/>
      </tp>
      <tp t="e">
        <v>#N/A</v>
        <stp/>
        <stp>BDH|16254399491825688813</stp>
        <tr r="AA29" s="6"/>
      </tp>
      <tp t="e">
        <v>#N/A</v>
        <stp/>
        <stp>BDH|18063594461599235375</stp>
        <tr r="N12" s="6"/>
      </tp>
      <tp t="e">
        <v>#N/A</v>
        <stp/>
        <stp>BDH|14523964826227950911</stp>
        <tr r="J51" s="6"/>
      </tp>
      <tp t="e">
        <v>#N/A</v>
        <stp/>
        <stp>BDH|17308936676281844925</stp>
        <tr r="G33" s="6"/>
      </tp>
      <tp t="e">
        <v>#N/A</v>
        <stp/>
        <stp>BDH|15401376635781254580</stp>
        <tr r="AL31" s="6"/>
      </tp>
      <tp t="e">
        <v>#N/A</v>
        <stp/>
        <stp>BDH|10076667569796299723</stp>
        <tr r="H24" s="6"/>
      </tp>
      <tp t="e">
        <v>#N/A</v>
        <stp/>
        <stp>BDH|16303642932366392483</stp>
        <tr r="G13" s="6"/>
      </tp>
      <tp t="e">
        <v>#N/A</v>
        <stp/>
        <stp>BDH|14351459315523941345</stp>
        <tr r="F53" s="6"/>
      </tp>
      <tp t="e">
        <v>#N/A</v>
        <stp/>
        <stp>BDH|15855027309283524787</stp>
        <tr r="AG26" s="6"/>
      </tp>
      <tp t="e">
        <v>#N/A</v>
        <stp/>
        <stp>BDH|13054479943390075553</stp>
        <tr r="I39" s="6"/>
      </tp>
      <tp t="e">
        <v>#N/A</v>
        <stp/>
        <stp>BDH|18135756618308948048</stp>
        <tr r="AL23" s="6"/>
        <tr r="AL35" s="6"/>
      </tp>
      <tp t="e">
        <v>#N/A</v>
        <stp/>
        <stp>BDH|13106310330447770269</stp>
        <tr r="X30" s="6"/>
      </tp>
      <tp t="e">
        <v>#N/A</v>
        <stp/>
        <stp>BDH|10909528125862633391</stp>
        <tr r="AK23" s="6"/>
        <tr r="AK35" s="6"/>
      </tp>
      <tp t="e">
        <v>#N/A</v>
        <stp/>
        <stp>BDH|17069047812251089161</stp>
        <tr r="AI12" s="6"/>
      </tp>
      <tp t="e">
        <v>#N/A</v>
        <stp/>
        <stp>BDH|17332613865898608911</stp>
        <tr r="C19" s="6"/>
      </tp>
      <tp t="e">
        <v>#N/A</v>
        <stp/>
        <stp>BDH|18031899988787930981</stp>
        <tr r="Y37" s="6"/>
      </tp>
      <tp t="e">
        <v>#N/A</v>
        <stp/>
        <stp>BDH|11745045303264244329</stp>
        <tr r="G18" s="6"/>
      </tp>
      <tp t="e">
        <v>#N/A</v>
        <stp/>
        <stp>BDH|14544086435120880108</stp>
        <tr r="X38" s="6"/>
      </tp>
      <tp t="e">
        <v>#N/A</v>
        <stp/>
        <stp>BDH|12320313741440068333</stp>
        <tr r="W26" s="6"/>
      </tp>
      <tp t="e">
        <v>#N/A</v>
        <stp/>
        <stp>BDH|14777117805454513762</stp>
        <tr r="Y26" s="6"/>
      </tp>
      <tp t="e">
        <v>#N/A</v>
        <stp/>
        <stp>BDH|18226025997184165367</stp>
        <tr r="AN42" s="6"/>
      </tp>
      <tp t="e">
        <v>#N/A</v>
        <stp/>
        <stp>BDH|10788308651808559806</stp>
        <tr r="AC30" s="6"/>
      </tp>
      <tp t="e">
        <v>#N/A</v>
        <stp/>
        <stp>BDH|10700065346853569111</stp>
        <tr r="D50" s="6"/>
      </tp>
      <tp t="e">
        <v>#N/A</v>
        <stp/>
        <stp>BDH|12805725463305347093</stp>
        <tr r="T56" s="6"/>
      </tp>
      <tp t="e">
        <v>#N/A</v>
        <stp/>
        <stp>BDH|12175563212667499731</stp>
        <tr r="AF58" s="6"/>
      </tp>
      <tp t="e">
        <v>#N/A</v>
        <stp/>
        <stp>BDH|12302438942654908094</stp>
        <tr r="AF40" s="6"/>
      </tp>
      <tp t="e">
        <v>#N/A</v>
        <stp/>
        <stp>BDH|12587213036606468349</stp>
        <tr r="Q52" s="6"/>
      </tp>
      <tp t="e">
        <v>#N/A</v>
        <stp/>
        <stp>BDH|14025119471990044427</stp>
        <tr r="AJ57" s="6"/>
      </tp>
      <tp t="e">
        <v>#N/A</v>
        <stp/>
        <stp>BDH|12885418605042934274</stp>
        <tr r="R10" s="6"/>
      </tp>
      <tp t="e">
        <v>#N/A</v>
        <stp/>
        <stp>BDH|14141212526543228164</stp>
        <tr r="R37" s="6"/>
      </tp>
      <tp t="e">
        <v>#N/A</v>
        <stp/>
        <stp>BDH|10635151240816970588</stp>
        <tr r="O14" s="6"/>
      </tp>
      <tp t="e">
        <v>#N/A</v>
        <stp/>
        <stp>BDH|16790486607771857557</stp>
        <tr r="Q43" s="6"/>
      </tp>
      <tp t="e">
        <v>#N/A</v>
        <stp/>
        <stp>BDH|15528440398616952856</stp>
        <tr r="AN14" s="6"/>
      </tp>
      <tp t="e">
        <v>#N/A</v>
        <stp/>
        <stp>BDH|16594946883156421739</stp>
        <tr r="Y35" s="6"/>
        <tr r="Y23" s="6"/>
      </tp>
      <tp t="e">
        <v>#N/A</v>
        <stp/>
        <stp>BDH|14172760930530402666</stp>
        <tr r="N56" s="6"/>
      </tp>
      <tp t="e">
        <v>#N/A</v>
        <stp/>
        <stp>BDH|15394756586974496805</stp>
        <tr r="AH38" s="6"/>
      </tp>
      <tp t="e">
        <v>#N/A</v>
        <stp/>
        <stp>BDH|11203585520117685783</stp>
        <tr r="H39" s="6"/>
      </tp>
      <tp t="e">
        <v>#N/A</v>
        <stp/>
        <stp>BDH|11153752440763126711</stp>
        <tr r="F7" s="6"/>
      </tp>
      <tp t="e">
        <v>#N/A</v>
        <stp/>
        <stp>BDH|11628212466250153340</stp>
        <tr r="G50" s="6"/>
      </tp>
      <tp t="e">
        <v>#N/A</v>
        <stp/>
        <stp>BDH|11378453790523233930</stp>
        <tr r="AE31" s="6"/>
      </tp>
      <tp t="e">
        <v>#N/A</v>
        <stp/>
        <stp>BDH|13771911183712109636</stp>
        <tr r="U58" s="6"/>
      </tp>
      <tp t="e">
        <v>#N/A</v>
        <stp/>
        <stp>BDH|15752436401064140333</stp>
        <tr r="D44" s="6"/>
      </tp>
      <tp t="e">
        <v>#N/A</v>
        <stp/>
        <stp>BDH|15075881677965911902</stp>
        <tr r="M51" s="6"/>
      </tp>
      <tp t="e">
        <v>#N/A</v>
        <stp/>
        <stp>BDH|15439109337527261683</stp>
        <tr r="C54" s="6"/>
      </tp>
      <tp t="e">
        <v>#N/A</v>
        <stp/>
        <stp>BDH|17540299428044985546</stp>
        <tr r="AF43" s="6"/>
      </tp>
      <tp t="e">
        <v>#N/A</v>
        <stp/>
        <stp>BDH|12123390287906146966</stp>
        <tr r="P40" s="6"/>
      </tp>
      <tp t="e">
        <v>#N/A</v>
        <stp/>
        <stp>BDH|14951607073855215604</stp>
        <tr r="K45" s="6"/>
      </tp>
      <tp t="e">
        <v>#N/A</v>
        <stp/>
        <stp>BDH|14189604229063206522</stp>
        <tr r="AB13" s="6"/>
      </tp>
      <tp t="e">
        <v>#N/A</v>
        <stp/>
        <stp>BDH|13544958911128184581</stp>
        <tr r="M13" s="6"/>
      </tp>
      <tp t="e">
        <v>#N/A</v>
        <stp/>
        <stp>BDH|16779699371618000946</stp>
        <tr r="Z30" s="6"/>
      </tp>
      <tp t="e">
        <v>#N/A</v>
        <stp/>
        <stp>BDH|12572507469630650714</stp>
        <tr r="C10" s="6"/>
      </tp>
      <tp t="e">
        <v>#N/A</v>
        <stp/>
        <stp>BDH|13680781875931345432</stp>
        <tr r="K7" s="6"/>
      </tp>
      <tp t="e">
        <v>#N/A</v>
        <stp/>
        <stp>BDH|14161093043682461440</stp>
        <tr r="AN12" s="6"/>
      </tp>
      <tp t="e">
        <v>#N/A</v>
        <stp/>
        <stp>BDH|17790805022858634382</stp>
        <tr r="T28" s="6"/>
      </tp>
      <tp t="e">
        <v>#N/A</v>
        <stp/>
        <stp>BDH|10704352252234894427</stp>
        <tr r="M34" s="6"/>
      </tp>
      <tp t="e">
        <v>#N/A</v>
        <stp/>
        <stp>BDH|13986576501575495569</stp>
        <tr r="U11" s="6"/>
      </tp>
      <tp t="e">
        <v>#N/A</v>
        <stp/>
        <stp>BDH|10915232025182585476</stp>
        <tr r="AN37" s="6"/>
      </tp>
      <tp t="e">
        <v>#N/A</v>
        <stp/>
        <stp>BDH|11934232959676972671</stp>
        <tr r="P16" s="6"/>
      </tp>
      <tp t="e">
        <v>#N/A</v>
        <stp/>
        <stp>BDH|11661006357526520497</stp>
        <tr r="K28" s="6"/>
      </tp>
      <tp t="e">
        <v>#N/A</v>
        <stp/>
        <stp>BDH|16427225909940333203</stp>
        <tr r="K55" s="6"/>
      </tp>
      <tp t="e">
        <v>#N/A</v>
        <stp/>
        <stp>BDH|17803595827705877324</stp>
        <tr r="L6" s="6"/>
      </tp>
      <tp t="e">
        <v>#N/A</v>
        <stp/>
        <stp>BDH|17416777337411137497</stp>
        <tr r="K20" s="6"/>
      </tp>
      <tp t="e">
        <v>#N/A</v>
        <stp/>
        <stp>BDH|17893341777862088745</stp>
        <tr r="O53" s="6"/>
      </tp>
      <tp t="e">
        <v>#N/A</v>
        <stp/>
        <stp>BDH|12101177775206562493</stp>
        <tr r="H35" s="6"/>
        <tr r="H23" s="6"/>
      </tp>
      <tp t="e">
        <v>#N/A</v>
        <stp/>
        <stp>BDH|11191297356409194904</stp>
        <tr r="O44" s="6"/>
      </tp>
      <tp t="e">
        <v>#N/A</v>
        <stp/>
        <stp>BDH|10848190610921628794</stp>
        <tr r="X49" s="6"/>
      </tp>
      <tp t="e">
        <v>#N/A</v>
        <stp/>
        <stp>BDH|17921021424514665773</stp>
        <tr r="T38" s="6"/>
      </tp>
      <tp t="e">
        <v>#N/A</v>
        <stp/>
        <stp>BDH|13837416423403309070</stp>
        <tr r="AD17" s="6"/>
      </tp>
      <tp t="e">
        <v>#N/A</v>
        <stp/>
        <stp>BDH|11443753903721920156</stp>
        <tr r="AK19" s="6"/>
      </tp>
      <tp t="e">
        <v>#N/A</v>
        <stp/>
        <stp>BDH|18368704454565582830</stp>
        <tr r="AC19" s="6"/>
      </tp>
      <tp t="e">
        <v>#N/A</v>
        <stp/>
        <stp>BDH|16169272068000635599</stp>
        <tr r="AB43" s="6"/>
      </tp>
      <tp t="e">
        <v>#N/A</v>
        <stp/>
        <stp>BDH|10383820629518904503</stp>
        <tr r="M38" s="6"/>
      </tp>
      <tp t="e">
        <v>#N/A</v>
        <stp/>
        <stp>BDH|11930942469801455810</stp>
        <tr r="Q26" s="6"/>
      </tp>
      <tp t="e">
        <v>#N/A</v>
        <stp/>
        <stp>BDH|11501389951822559286</stp>
        <tr r="AL42" s="6"/>
      </tp>
      <tp t="e">
        <v>#N/A</v>
        <stp/>
        <stp>BDH|16347614843072578150</stp>
        <tr r="AL30" s="6"/>
      </tp>
      <tp t="e">
        <v>#N/A</v>
        <stp/>
        <stp>BDH|10527450419646153495</stp>
        <tr r="R27" s="6"/>
      </tp>
      <tp t="e">
        <v>#N/A</v>
        <stp/>
        <stp>BDH|15466388444447972213</stp>
        <tr r="P14" s="6"/>
      </tp>
      <tp t="e">
        <v>#N/A</v>
        <stp/>
        <stp>BDH|11716979696366459014</stp>
        <tr r="AB10" s="6"/>
      </tp>
      <tp t="e">
        <v>#N/A</v>
        <stp/>
        <stp>BDH|15101726726781575637</stp>
        <tr r="AJ58" s="6"/>
      </tp>
      <tp t="e">
        <v>#N/A</v>
        <stp/>
        <stp>BDH|10944689851884103025</stp>
        <tr r="X14" s="6"/>
      </tp>
      <tp t="e">
        <v>#N/A</v>
        <stp/>
        <stp>BDH|17136205749702983430</stp>
        <tr r="M8" s="6"/>
      </tp>
      <tp t="e">
        <v>#N/A</v>
        <stp/>
        <stp>BDH|10928788772494913380</stp>
        <tr r="J53" s="6"/>
      </tp>
      <tp t="e">
        <v>#N/A</v>
        <stp/>
        <stp>BDH|15060369912809297942</stp>
        <tr r="K13" s="6"/>
      </tp>
      <tp t="e">
        <v>#N/A</v>
        <stp/>
        <stp>BDH|17867613739600281507</stp>
        <tr r="C52" s="6"/>
      </tp>
      <tp t="e">
        <v>#N/A</v>
        <stp/>
        <stp>BDH|11233508509750846319</stp>
        <tr r="D52" s="6"/>
      </tp>
      <tp t="e">
        <v>#N/A</v>
        <stp/>
        <stp>BDH|10288564377163083611</stp>
        <tr r="AD24" s="6"/>
      </tp>
      <tp t="e">
        <v>#N/A</v>
        <stp/>
        <stp>BDH|13379678314713010051</stp>
        <tr r="N21" s="6"/>
      </tp>
      <tp t="e">
        <v>#N/A</v>
        <stp/>
        <stp>BDH|12539285714754872249</stp>
        <tr r="P54" s="6"/>
      </tp>
      <tp t="e">
        <v>#N/A</v>
        <stp/>
        <stp>BDH|16805464924474763380</stp>
        <tr r="K57" s="6"/>
      </tp>
      <tp t="e">
        <v>#N/A</v>
        <stp/>
        <stp>BDH|12292214245754595765</stp>
        <tr r="K43" s="6"/>
      </tp>
      <tp t="e">
        <v>#N/A</v>
        <stp/>
        <stp>BDH|15845405038014530107</stp>
        <tr r="Y40" s="6"/>
      </tp>
      <tp t="e">
        <v>#N/A</v>
        <stp/>
        <stp>BDH|13160283838596762332</stp>
        <tr r="AG37" s="6"/>
      </tp>
      <tp t="e">
        <v>#N/A</v>
        <stp/>
        <stp>BDH|12174402976865548365</stp>
        <tr r="M55" s="6"/>
      </tp>
      <tp t="e">
        <v>#N/A</v>
        <stp/>
        <stp>BDH|10794304597934707936</stp>
        <tr r="AJ24" s="6"/>
      </tp>
      <tp t="e">
        <v>#N/A</v>
        <stp/>
        <stp>BDH|16167159855612265779</stp>
        <tr r="C57" s="6"/>
      </tp>
      <tp t="e">
        <v>#N/A</v>
        <stp/>
        <stp>BDH|17611368966661432455</stp>
        <tr r="S16" s="6"/>
      </tp>
      <tp t="e">
        <v>#N/A</v>
        <stp/>
        <stp>BDH|10167529322764407426</stp>
        <tr r="L44" s="6"/>
      </tp>
      <tp t="e">
        <v>#N/A</v>
        <stp/>
        <stp>BDH|17596470594938952589</stp>
        <tr r="J39" s="6"/>
      </tp>
      <tp t="e">
        <v>#N/A</v>
        <stp/>
        <stp>BDH|16281088422306752587</stp>
        <tr r="I13" s="6"/>
      </tp>
      <tp t="e">
        <v>#N/A</v>
        <stp/>
        <stp>BDH|16041577856164274540</stp>
        <tr r="Q44" s="6"/>
      </tp>
      <tp t="e">
        <v>#N/A</v>
        <stp/>
        <stp>BDH|17183569351681603172</stp>
        <tr r="AK56" s="6"/>
      </tp>
      <tp t="e">
        <v>#N/A</v>
        <stp/>
        <stp>BDH|13938824984280106488</stp>
        <tr r="AK28" s="6"/>
      </tp>
      <tp t="e">
        <v>#N/A</v>
        <stp/>
        <stp>BDH|14106270160006814184</stp>
        <tr r="H58" s="6"/>
      </tp>
      <tp t="e">
        <v>#N/A</v>
        <stp/>
        <stp>BDH|17187095121420482248</stp>
        <tr r="AC40" s="6"/>
      </tp>
      <tp t="e">
        <v>#N/A</v>
        <stp/>
        <stp>BDH|10561584612911106272</stp>
        <tr r="AM21" s="6"/>
      </tp>
      <tp t="e">
        <v>#N/A</v>
        <stp/>
        <stp>BDH|12406591212899379851</stp>
        <tr r="L51" s="6"/>
      </tp>
      <tp t="e">
        <v>#N/A</v>
        <stp/>
        <stp>BDH|16914827692600230023</stp>
        <tr r="E37" s="6"/>
      </tp>
      <tp t="e">
        <v>#N/A</v>
        <stp/>
        <stp>BDH|12318902198236007332</stp>
        <tr r="AG34" s="6"/>
      </tp>
      <tp t="e">
        <v>#N/A</v>
        <stp/>
        <stp>BDH|14916481711557820107</stp>
        <tr r="T55" s="6"/>
      </tp>
      <tp t="e">
        <v>#N/A</v>
        <stp/>
        <stp>BDH|11468488914272488140</stp>
        <tr r="U21" s="6"/>
      </tp>
      <tp t="e">
        <v>#N/A</v>
        <stp/>
        <stp>BDH|10020400708512536165</stp>
        <tr r="L40" s="6"/>
      </tp>
      <tp t="e">
        <v>#N/A</v>
        <stp/>
        <stp>BDH|12077748668873263754</stp>
        <tr r="E6" s="6"/>
      </tp>
      <tp t="e">
        <v>#N/A</v>
        <stp/>
        <stp>BDH|13519781804960639351</stp>
        <tr r="S9" s="6"/>
      </tp>
      <tp t="e">
        <v>#N/A</v>
        <stp/>
        <stp>BDH|17208482446963325354</stp>
        <tr r="U55" s="6"/>
      </tp>
      <tp t="e">
        <v>#N/A</v>
        <stp/>
        <stp>BDH|10974127462815592519</stp>
        <tr r="J21" s="6"/>
      </tp>
      <tp t="e">
        <v>#N/A</v>
        <stp/>
        <stp>BDH|18295806030442897671</stp>
        <tr r="J33" s="6"/>
      </tp>
      <tp t="e">
        <v>#N/A</v>
        <stp/>
        <stp>BDH|17825849680172432240</stp>
        <tr r="W24" s="6"/>
      </tp>
      <tp t="e">
        <v>#N/A</v>
        <stp/>
        <stp>BDH|13098359033126363299</stp>
        <tr r="L17" s="6"/>
      </tp>
      <tp t="e">
        <v>#N/A</v>
        <stp/>
        <stp>BDH|13248506714983333395</stp>
        <tr r="I29" s="6"/>
      </tp>
      <tp t="e">
        <v>#N/A</v>
        <stp/>
        <stp>BDH|13728779015991196388</stp>
        <tr r="E53" s="6"/>
      </tp>
      <tp t="e">
        <v>#N/A</v>
        <stp/>
        <stp>BDH|11489416091942800905</stp>
        <tr r="T45" s="6"/>
      </tp>
      <tp t="e">
        <v>#N/A</v>
        <stp/>
        <stp>BDH|16303167270781921606</stp>
        <tr r="P12" s="6"/>
      </tp>
      <tp t="e">
        <v>#N/A</v>
        <stp/>
        <stp>BDH|13689697820299376934</stp>
        <tr r="W50" s="6"/>
      </tp>
      <tp t="e">
        <v>#N/A</v>
        <stp/>
        <stp>BDH|15605044112867684498</stp>
        <tr r="AL24" s="6"/>
      </tp>
      <tp t="e">
        <v>#N/A</v>
        <stp/>
        <stp>BDH|10671715109643064311</stp>
        <tr r="D22" s="6"/>
      </tp>
      <tp t="e">
        <v>#N/A</v>
        <stp/>
        <stp>BDH|10971760211625410441</stp>
        <tr r="X10" s="6"/>
      </tp>
      <tp t="e">
        <v>#N/A</v>
        <stp/>
        <stp>BDH|14048447362427270559</stp>
        <tr r="AH20" s="6"/>
      </tp>
      <tp t="e">
        <v>#N/A</v>
        <stp/>
        <stp>BDH|10196876990216664316</stp>
        <tr r="AJ53" s="6"/>
      </tp>
      <tp t="e">
        <v>#N/A</v>
        <stp/>
        <stp>BDH|11699343542755645775</stp>
        <tr r="AC22" s="6"/>
      </tp>
      <tp t="e">
        <v>#N/A</v>
        <stp/>
        <stp>BDH|16009942514899371336</stp>
        <tr r="AA42" s="6"/>
      </tp>
      <tp t="e">
        <v>#N/A</v>
        <stp/>
        <stp>BDH|12222275893574059968</stp>
        <tr r="P42" s="6"/>
      </tp>
      <tp t="e">
        <v>#N/A</v>
        <stp/>
        <stp>BDH|13026079541196138576</stp>
        <tr r="J35" s="6"/>
        <tr r="J23" s="6"/>
      </tp>
      <tp t="e">
        <v>#N/A</v>
        <stp/>
        <stp>BDH|12555091737962391786</stp>
        <tr r="AL44" s="6"/>
      </tp>
      <tp t="e">
        <v>#N/A</v>
        <stp/>
        <stp>BDH|15142378453273673402</stp>
        <tr r="U38" s="6"/>
      </tp>
      <tp t="e">
        <v>#N/A</v>
        <stp/>
        <stp>BDH|14618413423390055679</stp>
        <tr r="O16" s="6"/>
      </tp>
      <tp t="e">
        <v>#N/A</v>
        <stp/>
        <stp>BDH|12600521315735025728</stp>
        <tr r="S11" s="6"/>
      </tp>
      <tp t="e">
        <v>#N/A</v>
        <stp/>
        <stp>BDH|12656845601789061700</stp>
        <tr r="S34" s="6"/>
      </tp>
      <tp t="e">
        <v>#N/A</v>
        <stp/>
        <stp>BDH|14383570970561090371</stp>
        <tr r="O11" s="6"/>
      </tp>
      <tp t="e">
        <v>#N/A</v>
        <stp/>
        <stp>BDH|15405548556484140551</stp>
        <tr r="AF56" s="6"/>
      </tp>
      <tp t="e">
        <v>#N/A</v>
        <stp/>
        <stp>BDH|15293955082027617711</stp>
        <tr r="AL27" s="6"/>
      </tp>
      <tp t="e">
        <v>#N/A</v>
        <stp/>
        <stp>BDH|15415603584688244778</stp>
        <tr r="AI45" s="6"/>
      </tp>
      <tp t="e">
        <v>#N/A</v>
        <stp/>
        <stp>BDH|17809151690219984205</stp>
        <tr r="AB20" s="6"/>
      </tp>
      <tp t="e">
        <v>#N/A</v>
        <stp/>
        <stp>BDH|10935806298543567608</stp>
        <tr r="L42" s="6"/>
      </tp>
      <tp t="e">
        <v>#N/A</v>
        <stp/>
        <stp>BDH|17051280908990338172</stp>
        <tr r="AI50" s="6"/>
      </tp>
      <tp t="e">
        <v>#N/A</v>
        <stp/>
        <stp>BDH|16172383882650977966</stp>
        <tr r="AN34" s="6"/>
      </tp>
      <tp t="e">
        <v>#N/A</v>
        <stp/>
        <stp>BDH|11497124276950568329</stp>
        <tr r="Z19" s="6"/>
      </tp>
      <tp t="e">
        <v>#N/A</v>
        <stp/>
        <stp>BDH|16348682429096146041</stp>
        <tr r="Q22" s="6"/>
      </tp>
      <tp t="e">
        <v>#N/A</v>
        <stp/>
        <stp>BDH|13120630081728268163</stp>
        <tr r="J10" s="6"/>
      </tp>
      <tp t="e">
        <v>#N/A</v>
        <stp/>
        <stp>BDH|14873369008685418646</stp>
        <tr r="AD57" s="6"/>
      </tp>
      <tp t="e">
        <v>#N/A</v>
        <stp/>
        <stp>BDH|11343202527846531378</stp>
        <tr r="AI29" s="6"/>
      </tp>
      <tp t="e">
        <v>#N/A</v>
        <stp/>
        <stp>BDH|16040780941397503658</stp>
        <tr r="L20" s="6"/>
      </tp>
      <tp t="e">
        <v>#N/A</v>
        <stp/>
        <stp>BDH|11339078681844571992</stp>
        <tr r="Y44" s="6"/>
      </tp>
      <tp t="e">
        <v>#N/A</v>
        <stp/>
        <stp>BDH|11249319740887953534</stp>
        <tr r="Y51" s="6"/>
      </tp>
      <tp t="e">
        <v>#N/A</v>
        <stp/>
        <stp>BDH|13852428756071326774</stp>
        <tr r="AJ9" s="6"/>
      </tp>
      <tp t="e">
        <v>#N/A</v>
        <stp/>
        <stp>BDH|14237366083769610290</stp>
        <tr r="AB9" s="6"/>
      </tp>
      <tp t="e">
        <v>#N/A</v>
        <stp/>
        <stp>BDH|15512470344748839967</stp>
        <tr r="G29" s="6"/>
      </tp>
      <tp t="e">
        <v>#N/A</v>
        <stp/>
        <stp>BDH|15564121756277133287</stp>
        <tr r="D34" s="6"/>
      </tp>
      <tp t="e">
        <v>#N/A</v>
        <stp/>
        <stp>BDH|12112987622298519563</stp>
        <tr r="H21" s="6"/>
      </tp>
      <tp t="e">
        <v>#N/A</v>
        <stp/>
        <stp>BDH|16252089157655744214</stp>
        <tr r="AH40" s="6"/>
      </tp>
      <tp t="e">
        <v>#N/A</v>
        <stp/>
        <stp>BDH|15641531086864125896</stp>
        <tr r="AC21" s="6"/>
      </tp>
      <tp t="e">
        <v>#N/A</v>
        <stp/>
        <stp>BDH|11318574534331373282</stp>
        <tr r="AE18" s="6"/>
      </tp>
      <tp t="e">
        <v>#N/A</v>
        <stp/>
        <stp>BDH|14601094317660287105</stp>
        <tr r="R54" s="6"/>
      </tp>
      <tp t="e">
        <v>#N/A</v>
        <stp/>
        <stp>BDH|10270155418120734420</stp>
        <tr r="AF53" s="6"/>
      </tp>
      <tp t="e">
        <v>#N/A</v>
        <stp/>
        <stp>BDH|12269217272215809649</stp>
        <tr r="L12" s="6"/>
      </tp>
      <tp t="e">
        <v>#N/A</v>
        <stp/>
        <stp>BDH|14463486493834542965</stp>
        <tr r="A8" s="1"/>
      </tp>
      <tp t="e">
        <v>#N/A</v>
        <stp/>
        <stp>BDH|12651011839816216303</stp>
        <tr r="AF29" s="6"/>
      </tp>
      <tp t="e">
        <v>#N/A</v>
        <stp/>
        <stp>BDH|15040088032471501336</stp>
        <tr r="AD55" s="6"/>
      </tp>
      <tp t="e">
        <v>#N/A</v>
        <stp/>
        <stp>BDH|16473121753354804224</stp>
        <tr r="O17" s="6"/>
      </tp>
      <tp t="e">
        <v>#N/A</v>
        <stp/>
        <stp>BDH|15956705724182408661</stp>
        <tr r="I6" s="6"/>
      </tp>
      <tp t="e">
        <v>#N/A</v>
        <stp/>
        <stp>BDH|17402306517179979856</stp>
        <tr r="W19" s="6"/>
      </tp>
      <tp t="e">
        <v>#N/A</v>
        <stp/>
        <stp>BDH|14453189962475491254</stp>
        <tr r="AF45" s="6"/>
      </tp>
      <tp t="e">
        <v>#N/A</v>
        <stp/>
        <stp>BDH|15538668442342896164</stp>
        <tr r="C24" s="6"/>
      </tp>
      <tp t="e">
        <v>#N/A</v>
        <stp/>
        <stp>BDH|13398595645120006613</stp>
        <tr r="P43" s="6"/>
      </tp>
      <tp t="e">
        <v>#N/A</v>
        <stp/>
        <stp>BDH|14385851599567396623</stp>
        <tr r="G8" s="6"/>
      </tp>
      <tp t="e">
        <v>#N/A</v>
        <stp/>
        <stp>BDH|14864655158645495704</stp>
        <tr r="AI49" s="6"/>
      </tp>
      <tp t="e">
        <v>#N/A</v>
        <stp/>
        <stp>BDH|10633423252256704201</stp>
        <tr r="O6" s="6"/>
      </tp>
      <tp t="e">
        <v>#N/A</v>
        <stp/>
        <stp>BDH|14371166710811238070</stp>
        <tr r="K11" s="6"/>
      </tp>
      <tp t="e">
        <v>#N/A</v>
        <stp/>
        <stp>BDH|14414030272825635335</stp>
        <tr r="D27" s="6"/>
      </tp>
      <tp t="e">
        <v>#N/A</v>
        <stp/>
        <stp>BDH|16890512219867597067</stp>
        <tr r="G22" s="6"/>
      </tp>
      <tp t="e">
        <v>#N/A</v>
        <stp/>
        <stp>BDH|13041611618526251786</stp>
        <tr r="C15" s="6"/>
      </tp>
      <tp t="e">
        <v>#N/A</v>
        <stp/>
        <stp>BDH|16416855889033863021</stp>
        <tr r="AJ20" s="6"/>
      </tp>
      <tp t="e">
        <v>#N/A</v>
        <stp/>
        <stp>BDH|17712198239921167144</stp>
        <tr r="C42" s="6"/>
      </tp>
      <tp t="e">
        <v>#N/A</v>
        <stp/>
        <stp>BDH|10332566233281645223</stp>
        <tr r="AN58" s="6"/>
      </tp>
      <tp t="e">
        <v>#N/A</v>
        <stp/>
        <stp>BDH|18443990759430212147</stp>
        <tr r="M40" s="6"/>
      </tp>
      <tp t="e">
        <v>#N/A</v>
        <stp/>
        <stp>BDH|12035517646260183630</stp>
        <tr r="O22" s="6"/>
      </tp>
      <tp t="e">
        <v>#N/A</v>
        <stp/>
        <stp>BDH|11208414323695742720</stp>
        <tr r="AK44" s="6"/>
      </tp>
      <tp t="e">
        <v>#N/A</v>
        <stp/>
        <stp>BDH|18037830387819616464</stp>
        <tr r="AN25" s="6"/>
      </tp>
      <tp t="e">
        <v>#N/A</v>
        <stp/>
        <stp>BDH|10197610763072728709</stp>
        <tr r="AA30" s="6"/>
      </tp>
      <tp t="e">
        <v>#N/A</v>
        <stp/>
        <stp>BDH|11072534428630826372</stp>
        <tr r="C43" s="6"/>
      </tp>
      <tp t="e">
        <v>#N/A</v>
        <stp/>
        <stp>BDH|16253259415604571403</stp>
        <tr r="Z18" s="6"/>
      </tp>
      <tp t="e">
        <v>#N/A</v>
        <stp/>
        <stp>BDH|16635027174650619410</stp>
        <tr r="AL6" s="6"/>
      </tp>
      <tp t="e">
        <v>#N/A</v>
        <stp/>
        <stp>BDH|11732825692370083512</stp>
        <tr r="N40" s="6"/>
      </tp>
      <tp t="e">
        <v>#N/A</v>
        <stp/>
        <stp>BDH|12563246466324298734</stp>
        <tr r="C27" s="6"/>
      </tp>
      <tp t="e">
        <v>#N/A</v>
        <stp/>
        <stp>BDH|16473250917427446744</stp>
        <tr r="Y49" s="6"/>
      </tp>
      <tp t="e">
        <v>#N/A</v>
        <stp/>
        <stp>BDH|12435662027783401077</stp>
        <tr r="N9" s="6"/>
      </tp>
      <tp t="e">
        <v>#N/A</v>
        <stp/>
        <stp>BDH|15278517732464726203</stp>
        <tr r="AA11" s="6"/>
      </tp>
      <tp t="e">
        <v>#N/A</v>
        <stp/>
        <stp>BDH|17746365299220788861</stp>
        <tr r="F16" s="6"/>
      </tp>
      <tp t="e">
        <v>#N/A</v>
        <stp/>
        <stp>BDH|14690902180040914060</stp>
        <tr r="S10" s="6"/>
      </tp>
      <tp t="e">
        <v>#N/A</v>
        <stp/>
        <stp>BDH|15491682373581197076</stp>
        <tr r="S27" s="6"/>
      </tp>
      <tp t="e">
        <v>#N/A</v>
        <stp/>
        <stp>BDH|13928619302755081533</stp>
        <tr r="N49" s="6"/>
      </tp>
      <tp t="e">
        <v>#N/A</v>
        <stp/>
        <stp>BDH|16878201108439962817</stp>
        <tr r="I14" s="6"/>
      </tp>
      <tp t="e">
        <v>#N/A</v>
        <stp/>
        <stp>BDH|12669929550763963866</stp>
        <tr r="M44" s="6"/>
      </tp>
      <tp t="e">
        <v>#N/A</v>
        <stp/>
        <stp>BDH|16887669781504089940</stp>
        <tr r="AC16" s="6"/>
      </tp>
      <tp t="e">
        <v>#N/A</v>
        <stp/>
        <stp>BDH|10034139944919480988</stp>
        <tr r="Q45" s="6"/>
      </tp>
      <tp t="e">
        <v>#N/A</v>
        <stp/>
        <stp>BDH|10013549031695782691</stp>
        <tr r="V24" s="6"/>
      </tp>
      <tp t="e">
        <v>#N/A</v>
        <stp/>
        <stp>BDH|16576005707315044693</stp>
        <tr r="I25" s="6"/>
      </tp>
      <tp t="e">
        <v>#N/A</v>
        <stp/>
        <stp>BDH|10450513844110386482</stp>
        <tr r="L49" s="6"/>
      </tp>
      <tp t="e">
        <v>#N/A</v>
        <stp/>
        <stp>BDH|13507737685671807811</stp>
        <tr r="X55" s="6"/>
      </tp>
      <tp t="e">
        <v>#N/A</v>
        <stp/>
        <stp>BDH|11405713033717953754</stp>
        <tr r="AA43" s="6"/>
      </tp>
      <tp t="e">
        <v>#N/A</v>
        <stp/>
        <stp>BDH|17392000851890072783</stp>
        <tr r="G40" s="6"/>
      </tp>
      <tp t="e">
        <v>#N/A</v>
        <stp/>
        <stp>BDH|16284282952430223477</stp>
        <tr r="I20" s="6"/>
      </tp>
      <tp t="e">
        <v>#N/A</v>
        <stp/>
        <stp>BDH|18127876509695213008</stp>
        <tr r="Q14" s="6"/>
      </tp>
      <tp t="e">
        <v>#N/A</v>
        <stp/>
        <stp>BDH|14805016752305164172</stp>
        <tr r="AK16" s="6"/>
      </tp>
      <tp t="e">
        <v>#N/A</v>
        <stp/>
        <stp>BDH|15795195323134204728</stp>
        <tr r="AM13" s="6"/>
      </tp>
      <tp t="e">
        <v>#N/A</v>
        <stp/>
        <stp>BDH|12836825790982629402</stp>
        <tr r="W38" s="6"/>
      </tp>
      <tp t="e">
        <v>#N/A</v>
        <stp/>
        <stp>BDH|15665498518127868207</stp>
        <tr r="M20" s="6"/>
      </tp>
      <tp t="e">
        <v>#N/A</v>
        <stp/>
        <stp>BDH|17572715549461382005</stp>
        <tr r="X50" s="6"/>
      </tp>
      <tp t="e">
        <v>#N/A</v>
        <stp/>
        <stp>BDH|15851592513293845749</stp>
        <tr r="V42" s="6"/>
      </tp>
    </main>
    <main first="bofaddin.rtdserver">
      <tp t="e">
        <v>#N/A</v>
        <stp/>
        <stp>BDH|4860054943572010</stp>
        <tr r="R21" s="6"/>
      </tp>
      <tp t="e">
        <v>#N/A</v>
        <stp/>
        <stp>BDH|3646273378023009932</stp>
        <tr r="AF12" s="6"/>
      </tp>
      <tp t="e">
        <v>#N/A</v>
        <stp/>
        <stp>BDH|2047891865406166673</stp>
        <tr r="AH57" s="6"/>
      </tp>
      <tp t="e">
        <v>#N/A</v>
        <stp/>
        <stp>BDH|2320883580228683673</stp>
        <tr r="G27" s="6"/>
      </tp>
      <tp t="e">
        <v>#N/A</v>
        <stp/>
        <stp>BDH|4988359950537299941</stp>
        <tr r="AM54" s="6"/>
      </tp>
      <tp t="e">
        <v>#N/A</v>
        <stp/>
        <stp>BDH|3666645198035601576</stp>
        <tr r="AK40" s="6"/>
      </tp>
      <tp t="e">
        <v>#N/A</v>
        <stp/>
        <stp>BDH|3975683834683617987</stp>
        <tr r="AD39" s="6"/>
      </tp>
      <tp t="e">
        <v>#N/A</v>
        <stp/>
        <stp>BDH|4515126139388398264</stp>
        <tr r="K12" s="6"/>
      </tp>
      <tp t="e">
        <v>#N/A</v>
        <stp/>
        <stp>BDH|2886367773678333252</stp>
        <tr r="K49" s="6"/>
      </tp>
      <tp t="e">
        <v>#N/A</v>
        <stp/>
        <stp>BDH|5612776595883920461</stp>
        <tr r="AA12" s="6"/>
      </tp>
      <tp t="e">
        <v>#N/A</v>
        <stp/>
        <stp>BDH|9671483127603873096</stp>
        <tr r="I35" s="6"/>
        <tr r="I23" s="6"/>
      </tp>
      <tp t="e">
        <v>#N/A</v>
        <stp/>
        <stp>BDH|1418711130778533182</stp>
        <tr r="AJ25" s="6"/>
      </tp>
      <tp t="e">
        <v>#N/A</v>
        <stp/>
        <stp>BDH|4880173271186367856</stp>
        <tr r="AI19" s="6"/>
      </tp>
      <tp t="e">
        <v>#N/A</v>
        <stp/>
        <stp>BDH|6742098952319308670</stp>
        <tr r="AK17" s="6"/>
      </tp>
      <tp t="e">
        <v>#N/A</v>
        <stp/>
        <stp>BDH|1866976019823972665</stp>
        <tr r="AC20" s="6"/>
      </tp>
      <tp t="e">
        <v>#N/A</v>
        <stp/>
        <stp>BDH|5510985716158773923</stp>
        <tr r="Q9" s="6"/>
      </tp>
      <tp t="e">
        <v>#N/A</v>
        <stp/>
        <stp>BDH|6852940543346037110</stp>
        <tr r="AF26" s="6"/>
      </tp>
      <tp t="e">
        <v>#N/A</v>
        <stp/>
        <stp>BDH|4589496893807549244</stp>
        <tr r="R43" s="6"/>
      </tp>
      <tp t="e">
        <v>#N/A</v>
        <stp/>
        <stp>BDH|2328879925332724682</stp>
        <tr r="T9" s="6"/>
      </tp>
      <tp t="e">
        <v>#N/A</v>
        <stp/>
        <stp>BDH|3942809670590771004</stp>
        <tr r="S15" s="6"/>
      </tp>
      <tp t="e">
        <v>#N/A</v>
        <stp/>
        <stp>BDH|4366395931339075159</stp>
        <tr r="V27" s="6"/>
      </tp>
      <tp t="e">
        <v>#N/A</v>
        <stp/>
        <stp>BDH|9872396830695909074</stp>
        <tr r="AC57" s="6"/>
      </tp>
      <tp t="e">
        <v>#N/A</v>
        <stp/>
        <stp>BDH|8655905525588818746</stp>
        <tr r="AK26" s="6"/>
      </tp>
      <tp t="e">
        <v>#N/A</v>
        <stp/>
        <stp>BDH|2761881647615567717</stp>
        <tr r="AH10" s="6"/>
      </tp>
      <tp t="e">
        <v>#N/A</v>
        <stp/>
        <stp>BDH|9456245927041898433</stp>
        <tr r="E7" s="6"/>
      </tp>
      <tp t="e">
        <v>#N/A</v>
        <stp/>
        <stp>BDH|5819966564903730512</stp>
        <tr r="L28" s="6"/>
      </tp>
      <tp t="e">
        <v>#N/A</v>
        <stp/>
        <stp>BDH|3574818360357411629</stp>
        <tr r="N11" s="6"/>
      </tp>
      <tp t="e">
        <v>#N/A</v>
        <stp/>
        <stp>BDH|3008270693523323753</stp>
        <tr r="W15" s="6"/>
      </tp>
      <tp t="e">
        <v>#N/A</v>
        <stp/>
        <stp>BDH|6479559729169897428</stp>
        <tr r="AG49" s="6"/>
      </tp>
      <tp t="e">
        <v>#N/A</v>
        <stp/>
        <stp>BDH|6649971660087627276</stp>
        <tr r="C7" s="6"/>
      </tp>
      <tp t="e">
        <v>#N/A</v>
        <stp/>
        <stp>BDH|2759521126761416870</stp>
        <tr r="R51" s="6"/>
      </tp>
      <tp t="e">
        <v>#N/A</v>
        <stp/>
        <stp>BDH|1700442915230379847</stp>
        <tr r="Z39" s="6"/>
      </tp>
      <tp t="e">
        <v>#N/A</v>
        <stp/>
        <stp>BDH|5013947709874984421</stp>
        <tr r="I51" s="6"/>
      </tp>
      <tp t="e">
        <v>#N/A</v>
        <stp/>
        <stp>BDH|9664586076402784591</stp>
        <tr r="Q15" s="6"/>
      </tp>
      <tp t="e">
        <v>#N/A</v>
        <stp/>
        <stp>BDH|8101242045002646009</stp>
        <tr r="AI39" s="6"/>
      </tp>
      <tp t="e">
        <v>#N/A</v>
        <stp/>
        <stp>BDH|6264258097951645016</stp>
        <tr r="D18" s="6"/>
      </tp>
      <tp t="e">
        <v>#N/A</v>
        <stp/>
        <stp>BDH|9412365158186418592</stp>
        <tr r="AL54" s="6"/>
      </tp>
      <tp t="e">
        <v>#N/A</v>
        <stp/>
        <stp>BDH|6403251335988171325</stp>
        <tr r="U31" s="6"/>
      </tp>
      <tp t="e">
        <v>#N/A</v>
        <stp/>
        <stp>BDH|4551204374308669535</stp>
        <tr r="R33" s="6"/>
      </tp>
      <tp t="e">
        <v>#N/A</v>
        <stp/>
        <stp>BDH|5788241286183091014</stp>
        <tr r="X19" s="6"/>
      </tp>
      <tp t="e">
        <v>#N/A</v>
        <stp/>
        <stp>BDH|4806200942268750693</stp>
        <tr r="AL45" s="6"/>
      </tp>
      <tp t="e">
        <v>#N/A</v>
        <stp/>
        <stp>BDH|6059209986904505472</stp>
        <tr r="W10" s="6"/>
      </tp>
      <tp t="e">
        <v>#N/A</v>
        <stp/>
        <stp>BDH|8973382173089532923</stp>
        <tr r="Y54" s="6"/>
      </tp>
      <tp t="e">
        <v>#N/A</v>
        <stp/>
        <stp>BDH|4362139465579888685</stp>
        <tr r="E58" s="6"/>
      </tp>
      <tp t="e">
        <v>#N/A</v>
        <stp/>
        <stp>BDH|9820466255737732398</stp>
        <tr r="AM22" s="6"/>
      </tp>
      <tp t="e">
        <v>#N/A</v>
        <stp/>
        <stp>BDH|63645145360761360</stp>
        <tr r="Y22" s="6"/>
      </tp>
      <tp t="e">
        <v>#N/A</v>
        <stp/>
        <stp>BDH|5590586652719748121</stp>
        <tr r="R16" s="6"/>
      </tp>
      <tp t="e">
        <v>#N/A</v>
        <stp/>
        <stp>BDH|7818544099024791298</stp>
        <tr r="Q40" s="6"/>
      </tp>
      <tp t="e">
        <v>#N/A</v>
        <stp/>
        <stp>BDH|7297399166928279746</stp>
        <tr r="Q12" s="6"/>
      </tp>
      <tp t="e">
        <v>#N/A</v>
        <stp/>
        <stp>BDH|9363376715807235180</stp>
        <tr r="AN31" s="6"/>
      </tp>
      <tp t="e">
        <v>#N/A</v>
        <stp/>
        <stp>BDH|6856128113789144233</stp>
        <tr r="AH19" s="6"/>
      </tp>
      <tp t="e">
        <v>#N/A</v>
        <stp/>
        <stp>BDH|1020805965814611681</stp>
        <tr r="Q29" s="6"/>
      </tp>
      <tp t="e">
        <v>#N/A</v>
        <stp/>
        <stp>BDH|8453859583103876614</stp>
        <tr r="D21" s="6"/>
      </tp>
      <tp t="e">
        <v>#N/A</v>
        <stp/>
        <stp>BDH|1489888768613590195</stp>
        <tr r="AE44" s="6"/>
      </tp>
      <tp t="e">
        <v>#N/A</v>
        <stp/>
        <stp>BDH|4444505728047471913</stp>
        <tr r="AD43" s="6"/>
      </tp>
      <tp t="e">
        <v>#N/A</v>
        <stp/>
        <stp>BDH|7402190883513243057</stp>
        <tr r="L55" s="6"/>
      </tp>
      <tp t="e">
        <v>#N/A</v>
        <stp/>
        <stp>BDH|6688822951240445687</stp>
        <tr r="N14" s="6"/>
      </tp>
      <tp t="e">
        <v>#N/A</v>
        <stp/>
        <stp>BDH|8154508617507004685</stp>
        <tr r="H57" s="6"/>
      </tp>
      <tp t="e">
        <v>#N/A</v>
        <stp/>
        <stp>BDH|4992846978111250781</stp>
        <tr r="Z54" s="6"/>
      </tp>
      <tp t="e">
        <v>#N/A</v>
        <stp/>
        <stp>BDH|7864698303308971471</stp>
        <tr r="G55" s="6"/>
      </tp>
      <tp t="e">
        <v>#N/A</v>
        <stp/>
        <stp>BDH|5687432298775858085</stp>
        <tr r="AK50" s="6"/>
      </tp>
      <tp t="e">
        <v>#N/A</v>
        <stp/>
        <stp>BDH|9083679952650379741</stp>
        <tr r="I10" s="6"/>
      </tp>
      <tp t="e">
        <v>#N/A</v>
        <stp/>
        <stp>BDH|9290037467275043748</stp>
        <tr r="AK54" s="6"/>
      </tp>
      <tp t="e">
        <v>#N/A</v>
        <stp/>
        <stp>BDH|8419165642838166839</stp>
        <tr r="H43" s="6"/>
      </tp>
      <tp t="e">
        <v>#N/A</v>
        <stp/>
        <stp>BDH|6786821423787472600</stp>
        <tr r="V37" s="6"/>
      </tp>
      <tp t="e">
        <v>#N/A</v>
        <stp/>
        <stp>BDH|8551395378328107962</stp>
        <tr r="F42" s="6"/>
      </tp>
      <tp t="e">
        <v>#N/A</v>
        <stp/>
        <stp>BDH|7200736501608059534</stp>
        <tr r="S33" s="6"/>
      </tp>
      <tp t="e">
        <v>#N/A</v>
        <stp/>
        <stp>BDH|7008813550706500170</stp>
        <tr r="E55" s="6"/>
      </tp>
      <tp t="e">
        <v>#N/A</v>
        <stp/>
        <stp>BDH|8491137619826499396</stp>
        <tr r="P6" s="6"/>
      </tp>
      <tp t="e">
        <v>#N/A</v>
        <stp/>
        <stp>BDH|4519941716824293557</stp>
        <tr r="AG51" s="6"/>
      </tp>
      <tp t="e">
        <v>#N/A</v>
        <stp/>
        <stp>BDH|1000710380226148500</stp>
        <tr r="U14" s="6"/>
      </tp>
      <tp t="e">
        <v>#N/A</v>
        <stp/>
        <stp>BDH|5661920798751463994</stp>
        <tr r="Q37" s="6"/>
      </tp>
      <tp t="e">
        <v>#N/A</v>
        <stp/>
        <stp>BDH|1587258899643982418</stp>
        <tr r="AL14" s="6"/>
      </tp>
      <tp t="e">
        <v>#N/A</v>
        <stp/>
        <stp>BDH|7361431229955125991</stp>
        <tr r="AM37" s="6"/>
      </tp>
      <tp t="e">
        <v>#N/A</v>
        <stp/>
        <stp>BDH|4361061106691240870</stp>
        <tr r="H54" s="6"/>
      </tp>
      <tp t="e">
        <v>#N/A</v>
        <stp/>
        <stp>BDH|4504645621238201548</stp>
        <tr r="Z8" s="6"/>
      </tp>
      <tp t="e">
        <v>#N/A</v>
        <stp/>
        <stp>BDH|8750054881055584810</stp>
        <tr r="AD14" s="6"/>
      </tp>
      <tp t="e">
        <v>#N/A</v>
        <stp/>
        <stp>BDH|1761300774051273969</stp>
        <tr r="L38" s="6"/>
      </tp>
      <tp t="e">
        <v>#N/A</v>
        <stp/>
        <stp>BDH|5885383891375557737</stp>
        <tr r="D16" s="6"/>
      </tp>
      <tp t="e">
        <v>#N/A</v>
        <stp/>
        <stp>BDH|8368264155552788001</stp>
        <tr r="J55" s="6"/>
      </tp>
      <tp t="e">
        <v>#N/A</v>
        <stp/>
        <stp>BDH|8049261453645268737</stp>
        <tr r="AK30" s="6"/>
      </tp>
      <tp t="e">
        <v>#N/A</v>
        <stp/>
        <stp>BDH|3381772099880075090</stp>
        <tr r="U39" s="6"/>
      </tp>
      <tp t="e">
        <v>#N/A</v>
        <stp/>
        <stp>BDH|6747962706255441776</stp>
        <tr r="L15" s="6"/>
      </tp>
      <tp t="e">
        <v>#N/A</v>
        <stp/>
        <stp>BDH|8208490933530554298</stp>
        <tr r="N10" s="6"/>
      </tp>
      <tp t="e">
        <v>#N/A</v>
        <stp/>
        <stp>BDH|5326647681725074328</stp>
        <tr r="V55" s="6"/>
      </tp>
      <tp t="e">
        <v>#N/A</v>
        <stp/>
        <stp>BDH|3511213198061169480</stp>
        <tr r="M33" s="6"/>
      </tp>
      <tp t="e">
        <v>#N/A</v>
        <stp/>
        <stp>BDH|5512068954024689948</stp>
        <tr r="S13" s="6"/>
      </tp>
      <tp t="e">
        <v>#N/A</v>
        <stp/>
        <stp>BDH|5867917003982399036</stp>
        <tr r="AC29" s="6"/>
      </tp>
      <tp t="e">
        <v>#N/A</v>
        <stp/>
        <stp>BDH|5155713366253900958</stp>
        <tr r="AE15" s="6"/>
      </tp>
      <tp t="e">
        <v>#N/A</v>
        <stp/>
        <stp>BDH|6362179462469888650</stp>
        <tr r="V31" s="6"/>
      </tp>
      <tp t="e">
        <v>#N/A</v>
        <stp/>
        <stp>BDH|6217912412853343398</stp>
        <tr r="AF14" s="6"/>
      </tp>
      <tp t="e">
        <v>#N/A</v>
        <stp/>
        <stp>BDH|9919666056157465369</stp>
        <tr r="F44" s="6"/>
      </tp>
      <tp t="e">
        <v>#N/A</v>
        <stp/>
        <stp>BDH|7196877966593905423</stp>
        <tr r="AB58" s="6"/>
      </tp>
      <tp t="e">
        <v>#N/A</v>
        <stp/>
        <stp>BDH|5042933126010692084</stp>
        <tr r="AA51" s="6"/>
      </tp>
      <tp t="e">
        <v>#N/A</v>
        <stp/>
        <stp>BDH|9219721908292255225</stp>
        <tr r="AJ27" s="6"/>
      </tp>
      <tp t="e">
        <v>#N/A</v>
        <stp/>
        <stp>BDH|6512866166444919240</stp>
        <tr r="AI44" s="6"/>
      </tp>
      <tp t="e">
        <v>#N/A</v>
        <stp/>
        <stp>BDH|4707829622401653190</stp>
        <tr r="F15" s="6"/>
      </tp>
      <tp t="e">
        <v>#N/A</v>
        <stp/>
        <stp>BDH|3687337563059916172</stp>
        <tr r="I17" s="6"/>
      </tp>
      <tp t="e">
        <v>#N/A</v>
        <stp/>
        <stp>BDH|4054297234363042859</stp>
        <tr r="AH16" s="6"/>
      </tp>
      <tp t="e">
        <v>#N/A</v>
        <stp/>
        <stp>BDH|2309207716489491682</stp>
        <tr r="AM17" s="6"/>
      </tp>
      <tp t="e">
        <v>#N/A</v>
        <stp/>
        <stp>BDH|4876869152404661349</stp>
        <tr r="D20" s="6"/>
      </tp>
      <tp t="e">
        <v>#N/A</v>
        <stp/>
        <stp>BDH|7560182136893416810</stp>
        <tr r="N19" s="6"/>
      </tp>
      <tp t="e">
        <v>#N/A</v>
        <stp/>
        <stp>BDH|3371891066535035632</stp>
        <tr r="J27" s="6"/>
      </tp>
      <tp t="e">
        <v>#N/A</v>
        <stp/>
        <stp>BDH|2226824257252985319</stp>
        <tr r="J30" s="6"/>
      </tp>
      <tp t="e">
        <v>#N/A</v>
        <stp/>
        <stp>BDH|7998000100400089963</stp>
        <tr r="AD38" s="6"/>
      </tp>
      <tp t="e">
        <v>#N/A</v>
        <stp/>
        <stp>BDH|3875837746501312024</stp>
        <tr r="AD29" s="6"/>
      </tp>
      <tp t="e">
        <v>#N/A</v>
        <stp/>
        <stp>BDH|4300957372646959219</stp>
        <tr r="C16" s="6"/>
      </tp>
      <tp t="e">
        <v>#N/A</v>
        <stp/>
        <stp>BDH|5753727738278091717</stp>
        <tr r="X22" s="6"/>
      </tp>
      <tp t="e">
        <v>#N/A</v>
        <stp/>
        <stp>BDH|9812308777226706552</stp>
        <tr r="M23" s="6"/>
        <tr r="M35" s="6"/>
      </tp>
      <tp t="e">
        <v>#N/A</v>
        <stp/>
        <stp>BDH|5736522249883174904</stp>
        <tr r="AI51" s="6"/>
      </tp>
      <tp t="e">
        <v>#N/A</v>
        <stp/>
        <stp>BDH|4256835712114672776</stp>
        <tr r="AM55" s="6"/>
      </tp>
      <tp t="e">
        <v>#N/A</v>
        <stp/>
        <stp>BDH|9049175817053687449</stp>
        <tr r="AK27" s="6"/>
      </tp>
      <tp t="e">
        <v>#N/A</v>
        <stp/>
        <stp>BDH|1993166399430191759</stp>
        <tr r="R9" s="6"/>
      </tp>
      <tp t="e">
        <v>#N/A</v>
        <stp/>
        <stp>BDH|9429481473703905754</stp>
        <tr r="D24" s="6"/>
      </tp>
      <tp t="e">
        <v>#N/A</v>
        <stp/>
        <stp>BDH|5584313110799676019</stp>
        <tr r="Q34" s="6"/>
      </tp>
      <tp t="e">
        <v>#N/A</v>
        <stp/>
        <stp>BDH|8412458911947195421</stp>
        <tr r="J15" s="6"/>
      </tp>
      <tp t="e">
        <v>#N/A</v>
        <stp/>
        <stp>BDH|3772989610051434481</stp>
        <tr r="X52" s="6"/>
      </tp>
      <tp t="e">
        <v>#N/A</v>
        <stp/>
        <stp>BDH|9073119325603522719</stp>
        <tr r="AK31" s="6"/>
      </tp>
      <tp t="e">
        <v>#N/A</v>
        <stp/>
        <stp>BDH|5673981323552836254</stp>
        <tr r="X24" s="6"/>
      </tp>
      <tp t="e">
        <v>#N/A</v>
        <stp/>
        <stp>BDH|7932496006834362953</stp>
        <tr r="Y57" s="6"/>
      </tp>
      <tp t="e">
        <v>#N/A</v>
        <stp/>
        <stp>BDH|2488970125607078079</stp>
        <tr r="C6" s="6"/>
      </tp>
      <tp t="e">
        <v>#N/A</v>
        <stp/>
        <stp>BDH|5308547570551339851</stp>
        <tr r="K30" s="6"/>
      </tp>
      <tp t="e">
        <v>#N/A</v>
        <stp/>
        <stp>BDH|9597392799685451808</stp>
        <tr r="AB39" s="6"/>
      </tp>
      <tp t="e">
        <v>#N/A</v>
        <stp/>
        <stp>BDH|3311101580753460762</stp>
        <tr r="K15" s="6"/>
      </tp>
      <tp t="e">
        <v>#N/A</v>
        <stp/>
        <stp>BDH|4027838513892371126</stp>
        <tr r="Y9" s="6"/>
      </tp>
      <tp t="e">
        <v>#N/A</v>
        <stp/>
        <stp>BDH|7637911102319223961</stp>
        <tr r="N26" s="6"/>
      </tp>
      <tp t="e">
        <v>#N/A</v>
        <stp/>
        <stp>BDH|8715382748111166073</stp>
        <tr r="AF25" s="6"/>
      </tp>
      <tp t="e">
        <v>#N/A</v>
        <stp/>
        <stp>BDH|6378690680531884735</stp>
        <tr r="AK24" s="6"/>
      </tp>
      <tp t="e">
        <v>#N/A</v>
        <stp/>
        <stp>BDH|9000441560761401466</stp>
        <tr r="AD13" s="6"/>
      </tp>
      <tp t="e">
        <v>#N/A</v>
        <stp/>
        <stp>BDH|4932148131040238886</stp>
        <tr r="F22" s="6"/>
      </tp>
      <tp t="e">
        <v>#N/A</v>
        <stp/>
        <stp>BDH|4363441790424989391</stp>
        <tr r="X44" s="6"/>
      </tp>
      <tp t="e">
        <v>#N/A</v>
        <stp/>
        <stp>BDH|7395034766268922783</stp>
        <tr r="AC37" s="6"/>
      </tp>
      <tp t="e">
        <v>#N/A</v>
        <stp/>
        <stp>BDH|1438372757961163818</stp>
        <tr r="Y50" s="6"/>
      </tp>
      <tp t="e">
        <v>#N/A</v>
        <stp/>
        <stp>BDH|5572927619722881123</stp>
        <tr r="F19" s="6"/>
      </tp>
      <tp t="e">
        <v>#N/A</v>
        <stp/>
        <stp>BDH|9366244816694330068</stp>
        <tr r="AG39" s="6"/>
      </tp>
      <tp t="e">
        <v>#N/A</v>
        <stp/>
        <stp>BDH|7696110473876813993</stp>
        <tr r="AH30" s="6"/>
      </tp>
      <tp t="e">
        <v>#N/A</v>
        <stp/>
        <stp>BDH|8465880128855356920</stp>
        <tr r="AI57" s="6"/>
      </tp>
      <tp t="e">
        <v>#N/A</v>
        <stp/>
        <stp>BDH|4513953603731198277</stp>
        <tr r="E39" s="6"/>
      </tp>
      <tp t="e">
        <v>#N/A</v>
        <stp/>
        <stp>BDH|3291555842404231820</stp>
        <tr r="AC39" s="6"/>
      </tp>
      <tp t="e">
        <v>#N/A</v>
        <stp/>
        <stp>BDH|52111052734100394</stp>
        <tr r="AH42" s="6"/>
      </tp>
      <tp t="e">
        <v>#N/A</v>
        <stp/>
        <stp>BDH|2734303985693129593</stp>
        <tr r="AI31" s="6"/>
      </tp>
      <tp t="e">
        <v>#N/A</v>
        <stp/>
        <stp>BDH|8875338442283362312</stp>
        <tr r="AB52" s="6"/>
      </tp>
      <tp t="e">
        <v>#N/A</v>
        <stp/>
        <stp>BDH|2219463309601087862</stp>
        <tr r="H13" s="6"/>
      </tp>
      <tp t="e">
        <v>#N/A</v>
        <stp/>
        <stp>BDH|5492149051528872612</stp>
        <tr r="T51" s="6"/>
      </tp>
      <tp t="e">
        <v>#N/A</v>
        <stp/>
        <stp>BDH|7218538879889369332</stp>
        <tr r="AH29" s="6"/>
      </tp>
      <tp t="e">
        <v>#N/A</v>
        <stp/>
        <stp>BDH|2579449157608776492</stp>
        <tr r="D28" s="6"/>
      </tp>
      <tp t="e">
        <v>#N/A</v>
        <stp/>
        <stp>BDH|2440498193848623809</stp>
        <tr r="Q18" s="6"/>
      </tp>
      <tp t="e">
        <v>#N/A</v>
        <stp/>
        <stp>BDH|8625786602481536100</stp>
        <tr r="L26" s="6"/>
      </tp>
      <tp t="e">
        <v>#N/A</v>
        <stp/>
        <stp>BDH|4614091987211765263</stp>
        <tr r="AM49" s="6"/>
      </tp>
      <tp t="e">
        <v>#N/A</v>
        <stp/>
        <stp>BDH|8915680117375645599</stp>
        <tr r="C38" s="6"/>
      </tp>
      <tp t="e">
        <v>#N/A</v>
        <stp/>
        <stp>BDH|1414935027811940470</stp>
        <tr r="H34" s="6"/>
      </tp>
      <tp t="e">
        <v>#N/A</v>
        <stp/>
        <stp>BDH|1164592732618753023</stp>
        <tr r="AN10" s="6"/>
      </tp>
      <tp t="e">
        <v>#N/A</v>
        <stp/>
        <stp>BDH|9337905806117945802</stp>
        <tr r="AE40" s="6"/>
      </tp>
      <tp t="e">
        <v>#N/A</v>
        <stp/>
        <stp>BDH|9174450129242974286</stp>
        <tr r="Z49" s="6"/>
      </tp>
      <tp t="e">
        <v>#N/A</v>
        <stp/>
        <stp>BDH|4404403169118878191</stp>
        <tr r="G44" s="6"/>
      </tp>
      <tp t="e">
        <v>#N/A</v>
        <stp/>
        <stp>BDH|9015609498379255066</stp>
        <tr r="AA53" s="6"/>
      </tp>
      <tp t="e">
        <v>#N/A</v>
        <stp/>
        <stp>BDH|5200866943592896434</stp>
        <tr r="AL50" s="6"/>
      </tp>
      <tp t="e">
        <v>#N/A</v>
        <stp/>
        <stp>BDH|9836966999380969635</stp>
        <tr r="U23" s="6"/>
        <tr r="U35" s="6"/>
      </tp>
      <tp t="e">
        <v>#N/A</v>
        <stp/>
        <stp>BDH|8960037217303144512</stp>
        <tr r="AD51" s="6"/>
      </tp>
      <tp t="e">
        <v>#N/A</v>
        <stp/>
        <stp>BDH|7415098088266047685</stp>
        <tr r="Y24" s="6"/>
      </tp>
      <tp t="e">
        <v>#N/A</v>
        <stp/>
        <stp>BDH|4200060125201329805</stp>
        <tr r="O26" s="6"/>
      </tp>
      <tp t="e">
        <v>#N/A</v>
        <stp/>
        <stp>BDH|8165311510761447462</stp>
        <tr r="AM7" s="6"/>
      </tp>
      <tp t="e">
        <v>#N/A</v>
        <stp/>
        <stp>BDH|6622855651855618165</stp>
        <tr r="K37" s="6"/>
      </tp>
      <tp t="e">
        <v>#N/A</v>
        <stp/>
        <stp>BDH|2086596257914899944</stp>
        <tr r="AE52" s="6"/>
      </tp>
      <tp t="e">
        <v>#N/A</v>
        <stp/>
        <stp>BDH|2724674135021114976</stp>
        <tr r="G6" s="6"/>
      </tp>
      <tp t="e">
        <v>#N/A</v>
        <stp/>
        <stp>BDH|8253135252876630569</stp>
        <tr r="AG50" s="6"/>
      </tp>
      <tp t="e">
        <v>#N/A</v>
        <stp/>
        <stp>BDH|1894473289697454511</stp>
        <tr r="AB6" s="6"/>
      </tp>
      <tp t="e">
        <v>#N/A</v>
        <stp/>
        <stp>BDH|9317456146960478677</stp>
        <tr r="AH7" s="6"/>
      </tp>
      <tp t="e">
        <v>#N/A</v>
        <stp/>
        <stp>BDH|1197921345716192573</stp>
        <tr r="H18" s="6"/>
      </tp>
      <tp t="e">
        <v>#N/A</v>
        <stp/>
        <stp>BDH|2568982538313574405</stp>
        <tr r="AI34" s="6"/>
      </tp>
      <tp t="e">
        <v>#N/A</v>
        <stp/>
        <stp>BDH|1657854407562444404</stp>
        <tr r="I42" s="6"/>
      </tp>
      <tp t="e">
        <v>#N/A</v>
        <stp/>
        <stp>BDH|3295169204748284529</stp>
        <tr r="U22" s="6"/>
      </tp>
      <tp t="e">
        <v>#N/A</v>
        <stp/>
        <stp>BDH|9271811081137756158</stp>
        <tr r="AI38" s="6"/>
      </tp>
      <tp t="e">
        <v>#N/A</v>
        <stp/>
        <stp>BDH|7015843522416631408</stp>
        <tr r="AI56" s="6"/>
      </tp>
      <tp t="e">
        <v>#N/A</v>
        <stp/>
        <stp>BDH|3508671284650271252</stp>
        <tr r="AN39" s="6"/>
      </tp>
      <tp t="e">
        <v>#N/A</v>
        <stp/>
        <stp>BDH|4486327383497396774</stp>
        <tr r="N38" s="6"/>
      </tp>
      <tp t="e">
        <v>#N/A</v>
        <stp/>
        <stp>BDH|2186948520522037430</stp>
        <tr r="C44" s="6"/>
      </tp>
      <tp t="e">
        <v>#N/A</v>
        <stp/>
        <stp>BDH|6951291660559378442</stp>
        <tr r="V16" s="6"/>
      </tp>
      <tp t="e">
        <v>#N/A</v>
        <stp/>
        <stp>BDH|8918813115747213983</stp>
        <tr r="T15" s="6"/>
      </tp>
      <tp t="e">
        <v>#N/A</v>
        <stp/>
        <stp>BDH|9935575598472304829</stp>
        <tr r="AE50" s="6"/>
      </tp>
      <tp t="e">
        <v>#N/A</v>
        <stp/>
        <stp>BDH|6404473945399228038</stp>
        <tr r="C14" s="6"/>
      </tp>
      <tp t="e">
        <v>#N/A</v>
        <stp/>
        <stp>BDH|8693718643515715160</stp>
        <tr r="F33" s="6"/>
      </tp>
      <tp t="e">
        <v>#N/A</v>
        <stp/>
        <stp>BDH|4670199955860200804</stp>
        <tr r="AI21" s="6"/>
      </tp>
      <tp t="e">
        <v>#N/A</v>
        <stp/>
        <stp>BDH|6252709616390456883</stp>
        <tr r="AB28" s="6"/>
      </tp>
      <tp t="e">
        <v>#N/A</v>
        <stp/>
        <stp>BDH|2977526040392663959</stp>
        <tr r="AJ42" s="6"/>
      </tp>
      <tp t="e">
        <v>#N/A</v>
        <stp/>
        <stp>BDH|5320138596897658292</stp>
        <tr r="I15" s="6"/>
      </tp>
      <tp t="e">
        <v>#N/A</v>
        <stp/>
        <stp>BDH|6854431571949355401</stp>
        <tr r="X39" s="6"/>
      </tp>
      <tp t="e">
        <v>#N/A</v>
        <stp/>
        <stp>BDH|6136428309593554918</stp>
        <tr r="U44" s="6"/>
      </tp>
      <tp t="e">
        <v>#N/A</v>
        <stp/>
        <stp>BDH|2711584916056020873</stp>
        <tr r="D39" s="6"/>
      </tp>
      <tp t="e">
        <v>#N/A</v>
        <stp/>
        <stp>BDH|6873871051606385509</stp>
        <tr r="Q39" s="6"/>
      </tp>
      <tp t="e">
        <v>#N/A</v>
        <stp/>
        <stp>BDH|2141584520485504811</stp>
        <tr r="AK8" s="6"/>
      </tp>
      <tp t="e">
        <v>#N/A</v>
        <stp/>
        <stp>BDH|3831660623886214920</stp>
        <tr r="P25" s="6"/>
      </tp>
      <tp t="e">
        <v>#N/A</v>
        <stp/>
        <stp>BDH|8214759179490608051</stp>
        <tr r="AD54" s="6"/>
      </tp>
      <tp t="e">
        <v>#N/A</v>
        <stp/>
        <stp>BDH|2744788385327335240</stp>
        <tr r="AG42" s="6"/>
      </tp>
      <tp t="e">
        <v>#N/A</v>
        <stp/>
        <stp>BDH|7248336661268204203</stp>
        <tr r="P18" s="6"/>
      </tp>
      <tp t="e">
        <v>#N/A</v>
        <stp/>
        <stp>BDH|7068866082626327953</stp>
        <tr r="AH6" s="6"/>
      </tp>
      <tp t="e">
        <v>#N/A</v>
        <stp/>
        <stp>BDH|4447672234329397061</stp>
        <tr r="AN26" s="6"/>
      </tp>
      <tp t="e">
        <v>#N/A</v>
        <stp/>
        <stp>BDH|3256278961177421823</stp>
        <tr r="O49" s="6"/>
      </tp>
      <tp t="e">
        <v>#N/A</v>
        <stp/>
        <stp>BDH|7056733197389539826</stp>
        <tr r="Y45" s="6"/>
      </tp>
      <tp t="e">
        <v>#N/A</v>
        <stp/>
        <stp>BDH|4294137970983660948</stp>
        <tr r="X43" s="6"/>
      </tp>
      <tp t="e">
        <v>#N/A</v>
        <stp/>
        <stp>BDH|4736159952000033835</stp>
        <tr r="C35" s="6"/>
        <tr r="C23" s="6"/>
      </tp>
      <tp t="e">
        <v>#N/A</v>
        <stp/>
        <stp>BDH|9027578113890705531</stp>
        <tr r="AC56" s="6"/>
      </tp>
      <tp t="e">
        <v>#N/A</v>
        <stp/>
        <stp>BDH|5955235839655703948</stp>
        <tr r="T33" s="6"/>
      </tp>
      <tp t="e">
        <v>#N/A</v>
        <stp/>
        <stp>BDH|6046512746057411824</stp>
        <tr r="T16" s="6"/>
      </tp>
      <tp t="e">
        <v>#N/A</v>
        <stp/>
        <stp>BDH|6385352594293297713</stp>
        <tr r="F40" s="6"/>
      </tp>
      <tp t="e">
        <v>#N/A</v>
        <stp/>
        <stp>BDH|1431078912851455942</stp>
        <tr r="AF11" s="6"/>
      </tp>
      <tp t="e">
        <v>#N/A</v>
        <stp/>
        <stp>BDH|5384072355481087902</stp>
        <tr r="AK25" s="6"/>
      </tp>
      <tp t="e">
        <v>#N/A</v>
        <stp/>
        <stp>BDH|7177272781702717714</stp>
        <tr r="S12" s="6"/>
      </tp>
      <tp t="e">
        <v>#N/A</v>
        <stp/>
        <stp>BDH|4511438569267853965</stp>
        <tr r="R50" s="6"/>
      </tp>
      <tp t="e">
        <v>#N/A</v>
        <stp/>
        <stp>BDH|6998263027268070692</stp>
        <tr r="P27" s="6"/>
      </tp>
      <tp t="e">
        <v>#N/A</v>
        <stp/>
        <stp>BDH|3460261928388444380</stp>
        <tr r="D37" s="6"/>
      </tp>
      <tp t="e">
        <v>#N/A</v>
        <stp/>
        <stp>BDH|3330953253416469177</stp>
        <tr r="Z7" s="6"/>
      </tp>
      <tp t="e">
        <v>#N/A</v>
        <stp/>
        <stp>BDH|1901297629321806870</stp>
        <tr r="AC31" s="6"/>
      </tp>
      <tp t="e">
        <v>#N/A</v>
        <stp/>
        <stp>BDH|3005075884991098253</stp>
        <tr r="AM57" s="6"/>
      </tp>
      <tp t="e">
        <v>#N/A</v>
        <stp/>
        <stp>BDH|2176430712168207754</stp>
        <tr r="H6" s="6"/>
      </tp>
      <tp t="e">
        <v>#N/A</v>
        <stp/>
        <stp>BDH|9209167851227470265</stp>
        <tr r="T27" s="6"/>
      </tp>
      <tp t="e">
        <v>#N/A</v>
        <stp/>
        <stp>BDH|6264344691930155416</stp>
        <tr r="C9" s="6"/>
      </tp>
      <tp t="e">
        <v>#N/A</v>
        <stp/>
        <stp>BDH|6505943142180639315</stp>
        <tr r="AI25" s="6"/>
      </tp>
      <tp t="e">
        <v>#N/A</v>
        <stp/>
        <stp>BDH|6867715416099912125</stp>
        <tr r="I57" s="6"/>
      </tp>
      <tp t="e">
        <v>#N/A</v>
        <stp/>
        <stp>BDH|2818936158894117266</stp>
        <tr r="AB40" s="6"/>
      </tp>
      <tp t="e">
        <v>#N/A</v>
        <stp/>
        <stp>BDH|8678116918900214093</stp>
        <tr r="M39" s="6"/>
      </tp>
      <tp t="e">
        <v>#N/A</v>
        <stp/>
        <stp>BDH|9768224570654020007</stp>
        <tr r="P49" s="6"/>
      </tp>
      <tp t="e">
        <v>#N/A</v>
        <stp/>
        <stp>BDH|9158744550021562257</stp>
        <tr r="Z10" s="6"/>
      </tp>
      <tp t="e">
        <v>#N/A</v>
        <stp/>
        <stp>BDH|7340139925814457840</stp>
        <tr r="C58" s="6"/>
      </tp>
      <tp t="e">
        <v>#N/A</v>
        <stp/>
        <stp>BDH|8330372821450057104</stp>
        <tr r="AB8" s="6"/>
      </tp>
      <tp t="e">
        <v>#N/A</v>
        <stp/>
        <stp>BDH|43439018572083258</stp>
        <tr r="N29" s="6"/>
      </tp>
      <tp t="e">
        <v>#N/A</v>
        <stp/>
        <stp>BDH|5055276808566705824</stp>
        <tr r="AG9" s="6"/>
      </tp>
      <tp t="e">
        <v>#N/A</v>
        <stp/>
        <stp>BDH|7184917270250921035</stp>
        <tr r="U10" s="6"/>
      </tp>
      <tp t="e">
        <v>#N/A</v>
        <stp/>
        <stp>BDH|4812973227056106016</stp>
        <tr r="Z57" s="6"/>
      </tp>
      <tp t="e">
        <v>#N/A</v>
        <stp/>
        <stp>BDH|6992950284059547757</stp>
        <tr r="AB26" s="6"/>
      </tp>
      <tp t="e">
        <v>#N/A</v>
        <stp/>
        <stp>BDH|3114999936477587739</stp>
        <tr r="AF50" s="6"/>
      </tp>
      <tp t="e">
        <v>#N/A</v>
        <stp/>
        <stp>BDH|7015644828432792834</stp>
        <tr r="I52" s="6"/>
      </tp>
      <tp t="e">
        <v>#N/A</v>
        <stp/>
        <stp>BDH|2725400344028841324</stp>
        <tr r="AA6" s="6"/>
      </tp>
      <tp t="e">
        <v>#N/A</v>
        <stp/>
        <stp>BDH|7544046206217760992</stp>
        <tr r="AJ52" s="6"/>
      </tp>
      <tp t="e">
        <v>#N/A</v>
        <stp/>
        <stp>BDH|4943848312003413725</stp>
        <tr r="AC51" s="6"/>
      </tp>
      <tp t="e">
        <v>#N/A</v>
        <stp/>
        <stp>BDH|7932663960878686678</stp>
        <tr r="C12" s="6"/>
      </tp>
      <tp t="e">
        <v>#N/A</v>
        <stp/>
        <stp>BDH|2992856562141251421</stp>
        <tr r="G45" s="6"/>
      </tp>
      <tp t="e">
        <v>#N/A</v>
        <stp/>
        <stp>BDH|5806774351688675668</stp>
        <tr r="R56" s="6"/>
      </tp>
      <tp t="e">
        <v>#N/A</v>
        <stp/>
        <stp>BDH|8969746318485222286</stp>
        <tr r="K19" s="6"/>
      </tp>
      <tp t="e">
        <v>#N/A</v>
        <stp/>
        <stp>BDH|8439244617496907411</stp>
        <tr r="U42" s="6"/>
      </tp>
      <tp t="e">
        <v>#N/A</v>
        <stp/>
        <stp>BDH|3850274375369033654</stp>
        <tr r="R40" s="6"/>
      </tp>
      <tp t="e">
        <v>#N/A</v>
        <stp/>
        <stp>BDH|2985344827619288374</stp>
        <tr r="AN49" s="6"/>
      </tp>
      <tp t="e">
        <v>#N/A</v>
        <stp/>
        <stp>BDH|1555095016491135870</stp>
        <tr r="P19" s="6"/>
      </tp>
      <tp t="e">
        <v>#N/A</v>
        <stp/>
        <stp>BDH|7214737259948709434</stp>
        <tr r="X56" s="6"/>
      </tp>
      <tp t="e">
        <v>#N/A</v>
        <stp/>
        <stp>BDH|3355172490845031780</stp>
        <tr r="M31" s="6"/>
      </tp>
      <tp t="e">
        <v>#N/A</v>
        <stp/>
        <stp>BDH|7073359799772118616</stp>
        <tr r="J22" s="6"/>
      </tp>
      <tp t="e">
        <v>#N/A</v>
        <stp/>
        <stp>BDH|5193849388244609863</stp>
        <tr r="AA54" s="6"/>
      </tp>
      <tp t="e">
        <v>#N/A</v>
        <stp/>
        <stp>BDH|9208106640026927363</stp>
        <tr r="J20" s="6"/>
      </tp>
      <tp t="e">
        <v>#N/A</v>
        <stp/>
        <stp>BDH|2935966848100991635</stp>
        <tr r="P7" s="6"/>
      </tp>
      <tp t="e">
        <v>#N/A</v>
        <stp/>
        <stp>BDH|2520433211817557900</stp>
        <tr r="AB27" s="6"/>
      </tp>
      <tp t="e">
        <v>#N/A</v>
        <stp/>
        <stp>BDH|9879277168030296477</stp>
        <tr r="L45" s="6"/>
      </tp>
      <tp t="e">
        <v>#N/A</v>
        <stp/>
        <stp>BDH|8983234349562680562</stp>
        <tr r="W28" s="6"/>
      </tp>
      <tp t="e">
        <v>#N/A</v>
        <stp/>
        <stp>BDH|2412327611788213167</stp>
        <tr r="R19" s="6"/>
      </tp>
      <tp t="e">
        <v>#N/A</v>
        <stp/>
        <stp>BDH|9195006273631826693</stp>
        <tr r="V56" s="6"/>
      </tp>
      <tp t="e">
        <v>#N/A</v>
        <stp/>
        <stp>BDH|8413764247974229646</stp>
        <tr r="Z13" s="6"/>
      </tp>
      <tp t="e">
        <v>#N/A</v>
        <stp/>
        <stp>BDH|5150647872459493402</stp>
        <tr r="V38" s="6"/>
      </tp>
      <tp t="e">
        <v>#N/A</v>
        <stp/>
        <stp>BDH|2416413595042699457</stp>
        <tr r="AF24" s="6"/>
      </tp>
      <tp t="e">
        <v>#N/A</v>
        <stp/>
        <stp>BDH|2092872780489493236</stp>
        <tr r="X9" s="6"/>
      </tp>
      <tp t="e">
        <v>#N/A</v>
        <stp/>
        <stp>BDH|1129585511378149497</stp>
        <tr r="E45" s="6"/>
      </tp>
      <tp t="e">
        <v>#N/A</v>
        <stp/>
        <stp>BDH|5395748793180631224</stp>
        <tr r="V14" s="6"/>
      </tp>
      <tp t="e">
        <v>#N/A</v>
        <stp/>
        <stp>BDH|6288816437107504312</stp>
        <tr r="AB57" s="6"/>
      </tp>
      <tp t="e">
        <v>#N/A</v>
        <stp/>
        <stp>BDH|4516855354957569716</stp>
        <tr r="O50" s="6"/>
      </tp>
      <tp t="e">
        <v>#N/A</v>
        <stp/>
        <stp>BDH|7681431488046945442</stp>
        <tr r="Z35" s="6"/>
        <tr r="Z23" s="6"/>
      </tp>
      <tp t="e">
        <v>#N/A</v>
        <stp/>
        <stp>BDH|2214772390096083349</stp>
        <tr r="W25" s="6"/>
      </tp>
      <tp t="e">
        <v>#N/A</v>
        <stp/>
        <stp>BDH|8103625121916159327</stp>
        <tr r="AL17" s="6"/>
      </tp>
      <tp t="e">
        <v>#N/A</v>
        <stp/>
        <stp>BDH|7588404412859253230</stp>
        <tr r="AL13" s="6"/>
      </tp>
      <tp t="e">
        <v>#N/A</v>
        <stp/>
        <stp>BDH|1577091438113740851</stp>
        <tr r="M52" s="6"/>
      </tp>
      <tp t="e">
        <v>#N/A</v>
        <stp/>
        <stp>BDH|6504312167669170349</stp>
        <tr r="H28" s="6"/>
      </tp>
      <tp t="e">
        <v>#N/A</v>
        <stp/>
        <stp>BDH|8462073770190354670</stp>
        <tr r="X31" s="6"/>
      </tp>
      <tp t="e">
        <v>#N/A</v>
        <stp/>
        <stp>BDH|7141376138497977904</stp>
        <tr r="AJ14" s="6"/>
      </tp>
      <tp t="e">
        <v>#N/A</v>
        <stp/>
        <stp>BDH|9530838582223060330</stp>
        <tr r="AK6" s="6"/>
      </tp>
      <tp t="e">
        <v>#N/A</v>
        <stp/>
        <stp>BDH|6287801020871758416</stp>
        <tr r="AM20" s="6"/>
      </tp>
      <tp t="e">
        <v>#N/A</v>
        <stp/>
        <stp>BDH|3411972636182054206</stp>
        <tr r="C11" s="6"/>
      </tp>
      <tp t="e">
        <v>#N/A</v>
        <stp/>
        <stp>BDH|7724472383466305452</stp>
        <tr r="AF9" s="6"/>
      </tp>
      <tp t="e">
        <v>#N/A</v>
        <stp/>
        <stp>BDH|5099448366598003672</stp>
        <tr r="AD58" s="6"/>
      </tp>
      <tp t="e">
        <v>#N/A</v>
        <stp/>
        <stp>BDH|8255678963483338201</stp>
        <tr r="X34" s="6"/>
      </tp>
      <tp t="e">
        <v>#N/A</v>
        <stp/>
        <stp>BDH|3012141608933000894</stp>
        <tr r="M37" s="6"/>
      </tp>
      <tp t="e">
        <v>#N/A</v>
        <stp/>
        <stp>BDH|6520087217665009804</stp>
        <tr r="E51" s="6"/>
      </tp>
      <tp t="e">
        <v>#N/A</v>
        <stp/>
        <stp>BDH|9717809208713308863</stp>
        <tr r="Q17" s="6"/>
      </tp>
      <tp t="e">
        <v>#N/A</v>
        <stp/>
        <stp>BDH|5100789786290658031</stp>
        <tr r="AA38" s="6"/>
      </tp>
      <tp t="e">
        <v>#N/A</v>
        <stp/>
        <stp>BDH|7526063291131966502</stp>
        <tr r="AI58" s="6"/>
      </tp>
      <tp t="e">
        <v>#N/A</v>
        <stp/>
        <stp>BDH|1814984398878624352</stp>
        <tr r="AA56" s="6"/>
      </tp>
      <tp t="e">
        <v>#N/A</v>
        <stp/>
        <stp>BDH|4576467022040940800</stp>
        <tr r="E12" s="6"/>
      </tp>
      <tp t="e">
        <v>#N/A</v>
        <stp/>
        <stp>BDH|6945920646708242970</stp>
        <tr r="Y20" s="6"/>
      </tp>
      <tp t="e">
        <v>#N/A</v>
        <stp/>
        <stp>BDH|7629174648230749866</stp>
        <tr r="T44" s="6"/>
      </tp>
      <tp t="e">
        <v>#N/A</v>
        <stp/>
        <stp>BDH|3338799364379625103</stp>
        <tr r="Y30" s="6"/>
      </tp>
      <tp t="e">
        <v>#N/A</v>
        <stp/>
        <stp>BDH|7142908529006101012</stp>
        <tr r="W18" s="6"/>
      </tp>
      <tp t="e">
        <v>#N/A</v>
        <stp/>
        <stp>BDH|1801232383354340524</stp>
        <tr r="K14" s="6"/>
      </tp>
      <tp t="e">
        <v>#N/A</v>
        <stp/>
        <stp>BDH|2561358596586622499</stp>
        <tr r="O35" s="6"/>
        <tr r="O23" s="6"/>
      </tp>
      <tp t="e">
        <v>#N/A</v>
        <stp/>
        <stp>BDH|2858843472376205157</stp>
        <tr r="I8" s="6"/>
      </tp>
      <tp t="e">
        <v>#N/A</v>
        <stp/>
        <stp>BDH|8255162437186521688</stp>
        <tr r="Y17" s="6"/>
      </tp>
      <tp t="e">
        <v>#N/A</v>
        <stp/>
        <stp>BDH|9485929896986612590</stp>
        <tr r="P39" s="6"/>
      </tp>
      <tp t="e">
        <v>#N/A</v>
        <stp/>
        <stp>BDH|2563663377458882133</stp>
        <tr r="AF52" s="6"/>
      </tp>
      <tp t="e">
        <v>#N/A</v>
        <stp/>
        <stp>BDH|7775317319539733678</stp>
        <tr r="AD49" s="6"/>
      </tp>
      <tp t="e">
        <v>#N/A</v>
        <stp/>
        <stp>BDH|6397923406285059083</stp>
        <tr r="X18" s="6"/>
      </tp>
      <tp t="e">
        <v>#N/A</v>
        <stp/>
        <stp>BDH|8846727659240700081</stp>
        <tr r="I45" s="6"/>
      </tp>
      <tp t="e">
        <v>#N/A</v>
        <stp/>
        <stp>BDH|9400329081911877930</stp>
        <tr r="AN57" s="6"/>
      </tp>
      <tp t="e">
        <v>#N/A</v>
        <stp/>
        <stp>BDH|8708297124435220753</stp>
        <tr r="U52" s="6"/>
      </tp>
      <tp t="e">
        <v>#N/A</v>
        <stp/>
        <stp>BDH|5209389185407556371</stp>
        <tr r="J37" s="6"/>
      </tp>
      <tp t="e">
        <v>#N/A</v>
        <stp/>
        <stp>BDH|8940882340689955759</stp>
        <tr r="W51" s="6"/>
      </tp>
      <tp t="e">
        <v>#N/A</v>
        <stp/>
        <stp>BDH|9099073250513520504</stp>
        <tr r="K56" s="6"/>
      </tp>
      <tp t="e">
        <v>#N/A</v>
        <stp/>
        <stp>BDH|5594267066558605314</stp>
        <tr r="Y19" s="6"/>
      </tp>
      <tp t="e">
        <v>#N/A</v>
        <stp/>
        <stp>BDH|6388621755309535636</stp>
        <tr r="AL7" s="6"/>
      </tp>
      <tp t="e">
        <v>#N/A</v>
        <stp/>
        <stp>BDH|4657187630605455998</stp>
        <tr r="AL34" s="6"/>
      </tp>
      <tp t="e">
        <v>#N/A</v>
        <stp/>
        <stp>BDH|3767894848964141146</stp>
        <tr r="V17" s="6"/>
      </tp>
      <tp t="e">
        <v>#N/A</v>
        <stp/>
        <stp>BDH|5231441985011986294</stp>
        <tr r="AK52" s="6"/>
      </tp>
      <tp t="e">
        <v>#N/A</v>
        <stp/>
        <stp>BDH|3173877145356707347</stp>
        <tr r="Q25" s="6"/>
      </tp>
      <tp t="e">
        <v>#N/A</v>
        <stp/>
        <stp>BDH|7335584291674883523</stp>
        <tr r="J52" s="6"/>
      </tp>
      <tp t="e">
        <v>#N/A</v>
        <stp/>
        <stp>BDH|7705832955570281032</stp>
        <tr r="D12" s="6"/>
      </tp>
      <tp t="e">
        <v>#N/A</v>
        <stp/>
        <stp>BDH|5203946150317480422</stp>
        <tr r="R38" s="6"/>
      </tp>
      <tp t="e">
        <v>#N/A</v>
        <stp/>
        <stp>BDH|8680138624926185711</stp>
        <tr r="I7" s="6"/>
      </tp>
      <tp t="e">
        <v>#N/A</v>
        <stp/>
        <stp>BDH|3687468995287697329</stp>
        <tr r="AL11" s="6"/>
      </tp>
      <tp t="e">
        <v>#N/A</v>
        <stp/>
        <stp>BDH|6119073337388730776</stp>
        <tr r="S38" s="6"/>
      </tp>
      <tp t="e">
        <v>#N/A</v>
        <stp/>
        <stp>BDH|9302408135594282053</stp>
        <tr r="AA7" s="6"/>
      </tp>
      <tp t="e">
        <v>#N/A</v>
        <stp/>
        <stp>BDH|5315976466853473371</stp>
        <tr r="O34" s="6"/>
      </tp>
      <tp t="e">
        <v>#N/A</v>
        <stp/>
        <stp>BDH|8196699698555063819</stp>
        <tr r="M53" s="6"/>
      </tp>
      <tp t="e">
        <v>#N/A</v>
        <stp/>
        <stp>BDH|2352317588364802741</stp>
        <tr r="W17" s="6"/>
      </tp>
      <tp t="e">
        <v>#N/A</v>
        <stp/>
        <stp>BDH|6948850479424570761</stp>
        <tr r="AF27" s="6"/>
      </tp>
      <tp t="e">
        <v>#N/A</v>
        <stp/>
        <stp>BDH|4922587427749908094</stp>
        <tr r="C37" s="6"/>
      </tp>
      <tp t="e">
        <v>#N/A</v>
        <stp/>
        <stp>BDH|6915383619509765785</stp>
        <tr r="K58" s="6"/>
      </tp>
      <tp t="e">
        <v>#N/A</v>
        <stp/>
        <stp>BDH|3646889760420858717</stp>
        <tr r="AK53" s="6"/>
      </tp>
      <tp t="e">
        <v>#N/A</v>
        <stp/>
        <stp>BDH|9489324563501405750</stp>
        <tr r="M14" s="6"/>
      </tp>
      <tp t="e">
        <v>#N/A</v>
        <stp/>
        <stp>BDH|4604800840806447462</stp>
        <tr r="K18" s="6"/>
      </tp>
      <tp t="e">
        <v>#N/A</v>
        <stp/>
        <stp>BDH|5210161676908707109</stp>
        <tr r="R45" s="6"/>
      </tp>
      <tp t="e">
        <v>#N/A</v>
        <stp/>
        <stp>BDH|1733385696468895948</stp>
        <tr r="L19" s="6"/>
      </tp>
      <tp t="e">
        <v>#N/A</v>
        <stp/>
        <stp>BDH|2492512804498400506</stp>
        <tr r="AJ54" s="6"/>
      </tp>
      <tp t="e">
        <v>#N/A</v>
        <stp/>
        <stp>BDH|8201201037452015108</stp>
        <tr r="Z44" s="6"/>
      </tp>
      <tp t="e">
        <v>#N/A</v>
        <stp/>
        <stp>BDH|9841050093609245263</stp>
        <tr r="AG17" s="6"/>
      </tp>
      <tp t="e">
        <v>#N/A</v>
        <stp/>
        <stp>BDH|3338980071347082107</stp>
        <tr r="R6" s="6"/>
      </tp>
      <tp t="e">
        <v>#N/A</v>
        <stp/>
        <stp>BDH|7600099994752002711</stp>
        <tr r="AL49" s="6"/>
      </tp>
      <tp t="e">
        <v>#N/A</v>
        <stp/>
        <stp>BDH|3869612841062328819</stp>
        <tr r="AH17" s="6"/>
      </tp>
      <tp t="e">
        <v>#N/A</v>
        <stp/>
        <stp>BDH|9320894000078416257</stp>
        <tr r="J56" s="6"/>
      </tp>
      <tp t="e">
        <v>#N/A</v>
        <stp/>
        <stp>BDH|8452191667164331012</stp>
        <tr r="E56" s="6"/>
      </tp>
      <tp t="e">
        <v>#N/A</v>
        <stp/>
        <stp>BDH|8284349181280607894</stp>
        <tr r="D35" s="6"/>
        <tr r="D23" s="6"/>
      </tp>
      <tp t="e">
        <v>#N/A</v>
        <stp/>
        <stp>BDH|5988440280163427106</stp>
        <tr r="V40" s="6"/>
      </tp>
      <tp t="e">
        <v>#N/A</v>
        <stp/>
        <stp>BDH|4200514929830333878</stp>
        <tr r="P30" s="6"/>
      </tp>
      <tp t="e">
        <v>#N/A</v>
        <stp/>
        <stp>BDH|7835719686014520741</stp>
        <tr r="AL52" s="6"/>
      </tp>
      <tp t="e">
        <v>#N/A</v>
        <stp/>
        <stp>BDH|5213932144884218791</stp>
        <tr r="N45" s="6"/>
      </tp>
      <tp t="e">
        <v>#N/A</v>
        <stp/>
        <stp>BDH|3022206096540051388</stp>
        <tr r="R25" s="6"/>
      </tp>
      <tp t="e">
        <v>#N/A</v>
        <stp/>
        <stp>BDH|5467983018141345789</stp>
        <tr r="AC53" s="6"/>
      </tp>
      <tp t="e">
        <v>#N/A</v>
        <stp/>
        <stp>BDH|5941908306197936095</stp>
        <tr r="AC42" s="6"/>
      </tp>
      <tp t="e">
        <v>#N/A</v>
        <stp/>
        <stp>BDH|8942952598015920629</stp>
        <tr r="Q7" s="6"/>
      </tp>
      <tp t="e">
        <v>#N/A</v>
        <stp/>
        <stp>BDH|2211569749300368811</stp>
        <tr r="E10" s="6"/>
      </tp>
      <tp t="e">
        <v>#N/A</v>
        <stp/>
        <stp>BDH|8566654758942539219</stp>
        <tr r="AM30" s="6"/>
      </tp>
      <tp t="e">
        <v>#N/A</v>
        <stp/>
        <stp>BDH|2571742599044181359</stp>
        <tr r="G11" s="6"/>
      </tp>
      <tp t="e">
        <v>#N/A</v>
        <stp/>
        <stp>BDH|7179480381580336077</stp>
        <tr r="N30" s="6"/>
      </tp>
      <tp t="e">
        <v>#N/A</v>
        <stp/>
        <stp>BDH|5002100108836504915</stp>
        <tr r="S56" s="6"/>
      </tp>
      <tp t="e">
        <v>#N/A</v>
        <stp/>
        <stp>BDH|8515841991403944143</stp>
        <tr r="AB17" s="6"/>
      </tp>
      <tp t="e">
        <v>#N/A</v>
        <stp/>
        <stp>BDH|4975353694283268679</stp>
        <tr r="AD15" s="6"/>
      </tp>
      <tp t="e">
        <v>#N/A</v>
        <stp/>
        <stp>BDH|3451533311998923427</stp>
        <tr r="AE35" s="6"/>
        <tr r="AE23" s="6"/>
      </tp>
      <tp t="e">
        <v>#N/A</v>
        <stp/>
        <stp>BDH|5141539393225085730</stp>
        <tr r="Y28" s="6"/>
      </tp>
      <tp t="e">
        <v>#N/A</v>
        <stp/>
        <stp>BDH|3337576264243520879</stp>
        <tr r="F34" s="6"/>
      </tp>
      <tp t="e">
        <v>#N/A</v>
        <stp/>
        <stp>BDH|3743855720417556544</stp>
        <tr r="AF8" s="6"/>
      </tp>
      <tp t="e">
        <v>#N/A</v>
        <stp/>
        <stp>BDH|3158815430692163112</stp>
        <tr r="AN24" s="6"/>
      </tp>
      <tp t="e">
        <v>#N/A</v>
        <stp/>
        <stp>BDH|2813994258450967503</stp>
        <tr r="W33" s="6"/>
      </tp>
      <tp t="e">
        <v>#N/A</v>
        <stp/>
        <stp>BDH|8408950087896781403</stp>
        <tr r="P56" s="6"/>
      </tp>
      <tp t="e">
        <v>#N/A</v>
        <stp/>
        <stp>BDH|8614139751905208274</stp>
        <tr r="K52" s="6"/>
      </tp>
      <tp t="e">
        <v>#N/A</v>
        <stp/>
        <stp>BDH|3275856171600352749</stp>
        <tr r="I19" s="6"/>
      </tp>
      <tp t="e">
        <v>#N/A</v>
        <stp/>
        <stp>BDH|5002279985821473503</stp>
        <tr r="AD6" s="6"/>
      </tp>
      <tp t="e">
        <v>#N/A</v>
        <stp/>
        <stp>BDH|9198550790477595973</stp>
        <tr r="J12" s="6"/>
      </tp>
      <tp t="e">
        <v>#N/A</v>
        <stp/>
        <stp>BDH|4293653757745111971</stp>
        <tr r="AI37" s="6"/>
      </tp>
      <tp t="e">
        <v>#N/A</v>
        <stp/>
        <stp>BDH|9218326126960263325</stp>
        <tr r="Z55" s="6"/>
      </tp>
      <tp t="e">
        <v>#N/A</v>
        <stp/>
        <stp>BDH|2451131377186136979</stp>
        <tr r="V8" s="6"/>
      </tp>
      <tp t="e">
        <v>#N/A</v>
        <stp/>
        <stp>BDH|2895131721478479298</stp>
        <tr r="AB35" s="6"/>
        <tr r="AB23" s="6"/>
      </tp>
      <tp t="e">
        <v>#N/A</v>
        <stp/>
        <stp>BDH|1499467812279449634</stp>
        <tr r="Y33" s="6"/>
      </tp>
      <tp t="e">
        <v>#N/A</v>
        <stp/>
        <stp>BDH|1218622847821388912</stp>
        <tr r="AL25" s="6"/>
      </tp>
      <tp t="e">
        <v>#N/A</v>
        <stp/>
        <stp>BDH|5866224389633240745</stp>
        <tr r="X42" s="6"/>
      </tp>
      <tp t="e">
        <v>#N/A</v>
        <stp/>
        <stp>BDH|1142153130018883098</stp>
        <tr r="Z56" s="6"/>
      </tp>
      <tp t="e">
        <v>#N/A</v>
        <stp/>
        <stp>BDH|7352242067930382794</stp>
        <tr r="AH13" s="6"/>
      </tp>
      <tp t="e">
        <v>#N/A</v>
        <stp/>
        <stp>BDH|7353504338746452355</stp>
        <tr r="U19" s="6"/>
      </tp>
      <tp t="e">
        <v>#N/A</v>
        <stp/>
        <stp>BDH|9263581386121561121</stp>
        <tr r="AE16" s="6"/>
      </tp>
      <tp t="e">
        <v>#N/A</v>
        <stp/>
        <stp>BDH|7517764401887834316</stp>
        <tr r="T31" s="6"/>
      </tp>
      <tp t="e">
        <v>#N/A</v>
        <stp/>
        <stp>BDH|1918479912380166066</stp>
        <tr r="G38" s="6"/>
      </tp>
      <tp t="e">
        <v>#N/A</v>
        <stp/>
        <stp>BDH|4871287434484986563</stp>
        <tr r="E50" s="6"/>
      </tp>
      <tp t="e">
        <v>#N/A</v>
        <stp/>
        <stp>BDH|7652346867372934443</stp>
        <tr r="AC45" s="6"/>
      </tp>
      <tp t="e">
        <v>#N/A</v>
        <stp/>
        <stp>BDH|6118083036303233256</stp>
        <tr r="AJ6" s="6"/>
      </tp>
      <tp t="e">
        <v>#N/A</v>
        <stp/>
        <stp>BDH|7215396619888302992</stp>
        <tr r="P53" s="6"/>
      </tp>
      <tp t="e">
        <v>#N/A</v>
        <stp/>
        <stp>BDH|2923198731894166090</stp>
        <tr r="T10" s="6"/>
      </tp>
      <tp t="e">
        <v>#N/A</v>
        <stp/>
        <stp>BDH|6882302325071326276</stp>
        <tr r="AG38" s="6"/>
      </tp>
      <tp t="e">
        <v>#N/A</v>
        <stp/>
        <stp>BDH|8988363724818642533</stp>
        <tr r="S23" s="6"/>
        <tr r="S35" s="6"/>
      </tp>
      <tp t="e">
        <v>#N/A</v>
        <stp/>
        <stp>BDH|8519655794457342493</stp>
        <tr r="AA34" s="6"/>
      </tp>
      <tp t="e">
        <v>#N/A</v>
        <stp/>
        <stp>BDH|4010580105752041738</stp>
        <tr r="W39" s="6"/>
      </tp>
      <tp t="e">
        <v>#N/A</v>
        <stp/>
        <stp>BDH|7900080507055166699</stp>
        <tr r="AA19" s="6"/>
      </tp>
      <tp t="e">
        <v>#N/A</v>
        <stp/>
        <stp>BDH|4728255619403189068</stp>
        <tr r="AI33" s="6"/>
      </tp>
      <tp t="e">
        <v>#N/A</v>
        <stp/>
        <stp>BDH|6362059058344097322</stp>
        <tr r="L53" s="6"/>
      </tp>
      <tp t="e">
        <v>#N/A</v>
        <stp/>
        <stp>BDH|7756123164771471591</stp>
        <tr r="M50" s="6"/>
      </tp>
      <tp t="e">
        <v>#N/A</v>
        <stp/>
        <stp>BDH|7967370270881129637</stp>
        <tr r="AE14" s="6"/>
      </tp>
      <tp t="e">
        <v>#N/A</v>
        <stp/>
        <stp>BDH|3617239568401820293</stp>
        <tr r="D17" s="6"/>
      </tp>
      <tp t="e">
        <v>#N/A</v>
        <stp/>
        <stp>BDH|4568685576499658803</stp>
        <tr r="AB38" s="6"/>
      </tp>
      <tp t="e">
        <v>#N/A</v>
        <stp/>
        <stp>BDH|1678706000541309386</stp>
        <tr r="W54" s="6"/>
      </tp>
      <tp t="e">
        <v>#N/A</v>
        <stp/>
        <stp>BDH|3403459308384113759</stp>
        <tr r="C8" s="6"/>
      </tp>
      <tp t="e">
        <v>#N/A</v>
        <stp/>
        <stp>BDH|7217194913090269381</stp>
        <tr r="U50" s="6"/>
      </tp>
      <tp t="e">
        <v>#N/A</v>
        <stp/>
        <stp>BDH|1297176454770006131</stp>
        <tr r="W16" s="6"/>
      </tp>
      <tp t="e">
        <v>#N/A</v>
        <stp/>
        <stp>BDH|5735435221252532528</stp>
        <tr r="AF51" s="6"/>
      </tp>
      <tp t="e">
        <v>#N/A</v>
        <stp/>
        <stp>BDH|4505388630744995469</stp>
        <tr r="AA31" s="6"/>
      </tp>
      <tp t="e">
        <v>#N/A</v>
        <stp/>
        <stp>BDH|4171393797988451296</stp>
        <tr r="AE49" s="6"/>
      </tp>
      <tp t="e">
        <v>#N/A</v>
        <stp/>
        <stp>BDH|2702767312379938996</stp>
        <tr r="AJ7" s="6"/>
      </tp>
      <tp t="e">
        <v>#N/A</v>
        <stp/>
        <stp>BDH|4773110078175541386</stp>
        <tr r="W12" s="6"/>
      </tp>
      <tp t="e">
        <v>#N/A</v>
        <stp/>
        <stp>BDH|7387377152804515102</stp>
        <tr r="AJ10" s="6"/>
      </tp>
      <tp t="e">
        <v>#N/A</v>
        <stp/>
        <stp>BDH|5500374835277670629</stp>
        <tr r="D13" s="6"/>
      </tp>
      <tp t="e">
        <v>#N/A</v>
        <stp/>
        <stp>BDH|2579166266972749317</stp>
        <tr r="N17" s="6"/>
      </tp>
      <tp t="e">
        <v>#N/A</v>
        <stp/>
        <stp>BDH|3956796207647683721</stp>
        <tr r="J58" s="6"/>
      </tp>
      <tp t="e">
        <v>#N/A</v>
        <stp/>
        <stp>BDH|5486791022850584496</stp>
        <tr r="Z42" s="6"/>
      </tp>
      <tp t="e">
        <v>#N/A</v>
        <stp/>
        <stp>BDH|1332557979231796689</stp>
        <tr r="L16" s="6"/>
      </tp>
      <tp t="e">
        <v>#N/A</v>
        <stp/>
        <stp>BDH|1140224803667091006</stp>
        <tr r="U37" s="6"/>
      </tp>
      <tp t="e">
        <v>#N/A</v>
        <stp/>
        <stp>BDH|9489421112048166051</stp>
        <tr r="E16" s="6"/>
      </tp>
      <tp t="e">
        <v>#N/A</v>
        <stp/>
        <stp>BDH|4411454246529076965</stp>
        <tr r="Q58" s="6"/>
      </tp>
      <tp t="e">
        <v>#N/A</v>
        <stp/>
        <stp>BDH|5553962350029262404</stp>
        <tr r="E27" s="6"/>
      </tp>
      <tp t="e">
        <v>#N/A</v>
        <stp/>
        <stp>BDH|1351632433406314616</stp>
        <tr r="K29" s="6"/>
      </tp>
      <tp t="e">
        <v>#N/A</v>
        <stp/>
        <stp>BDH|8774971865331332270</stp>
        <tr r="V25" s="6"/>
      </tp>
      <tp t="e">
        <v>#N/A</v>
        <stp/>
        <stp>BDH|5436440906481609466</stp>
        <tr r="L25" s="6"/>
      </tp>
      <tp t="e">
        <v>#N/A</v>
        <stp/>
        <stp>BDH|3507737296978094167</stp>
        <tr r="G30" s="6"/>
      </tp>
      <tp t="e">
        <v>#N/A</v>
        <stp/>
        <stp>BDH|2560041126436061217</stp>
        <tr r="E17" s="6"/>
      </tp>
      <tp t="e">
        <v>#N/A</v>
        <stp/>
        <stp>BDH|8462957375114616646</stp>
        <tr r="AB31" s="6"/>
      </tp>
      <tp t="e">
        <v>#N/A</v>
        <stp/>
        <stp>BDH|5712504944285690530</stp>
        <tr r="AJ16" s="6"/>
      </tp>
      <tp t="e">
        <v>#N/A</v>
        <stp/>
        <stp>BDH|4496196479674550268</stp>
        <tr r="AN56" s="6"/>
      </tp>
      <tp t="e">
        <v>#N/A</v>
        <stp/>
        <stp>BDH|1165371577689076861</stp>
        <tr r="H22" s="6"/>
      </tp>
      <tp t="e">
        <v>#N/A</v>
        <stp/>
        <stp>BDH|5334609809944986346</stp>
        <tr r="G14" s="6"/>
      </tp>
      <tp t="e">
        <v>#N/A</v>
        <stp/>
        <stp>BDH|6717275400323420305</stp>
        <tr r="O30" s="6"/>
      </tp>
      <tp t="e">
        <v>#N/A</v>
        <stp/>
        <stp>BDH|5383702006824685279</stp>
        <tr r="AK51" s="6"/>
      </tp>
      <tp t="e">
        <v>#N/A</v>
        <stp/>
        <stp>BDH|2508001324557239373</stp>
        <tr r="J17" s="6"/>
      </tp>
      <tp t="e">
        <v>#N/A</v>
        <stp/>
        <stp>BDH|5429523655564495539</stp>
        <tr r="K25" s="6"/>
      </tp>
      <tp t="e">
        <v>#N/A</v>
        <stp/>
        <stp>BDH|1795317223511335521</stp>
        <tr r="N27" s="6"/>
      </tp>
      <tp t="e">
        <v>#N/A</v>
        <stp/>
        <stp>BDH|9663650237898034004</stp>
        <tr r="Q24" s="6"/>
      </tp>
      <tp t="e">
        <v>#N/A</v>
        <stp/>
        <stp>BDH|6944370564681965665</stp>
        <tr r="AD52" s="6"/>
      </tp>
      <tp t="e">
        <v>#N/A</v>
        <stp/>
        <stp>BDH|2720851482796395069</stp>
        <tr r="X51" s="6"/>
      </tp>
      <tp t="e">
        <v>#N/A</v>
        <stp/>
        <stp>BDH|2280519331701515120</stp>
        <tr r="X16" s="6"/>
      </tp>
      <tp t="e">
        <v>#N/A</v>
        <stp/>
        <stp>BDH|7180701125823285530</stp>
        <tr r="M58" s="6"/>
      </tp>
      <tp t="e">
        <v>#N/A</v>
        <stp/>
        <stp>BDH|7105508402733566536</stp>
        <tr r="D9" s="6"/>
      </tp>
      <tp t="e">
        <v>#N/A</v>
        <stp/>
        <stp>BDH|1429684334564372510</stp>
        <tr r="AN51" s="6"/>
      </tp>
      <tp t="e">
        <v>#N/A</v>
        <stp/>
        <stp>BDH|4253197412265381400</stp>
        <tr r="S45" s="6"/>
      </tp>
      <tp t="e">
        <v>#N/A</v>
        <stp/>
        <stp>BDH|8796096040001313871</stp>
        <tr r="T13" s="6"/>
      </tp>
      <tp t="e">
        <v>#N/A</v>
        <stp/>
        <stp>BDH|1762571622783851011</stp>
        <tr r="R13" s="6"/>
      </tp>
      <tp t="e">
        <v>#N/A</v>
        <stp/>
        <stp>BDH|9262132707465948849</stp>
        <tr r="S17" s="6"/>
      </tp>
      <tp t="e">
        <v>#N/A</v>
        <stp/>
        <stp>BDH|1395836509169006520</stp>
        <tr r="J57" s="6"/>
      </tp>
      <tp t="e">
        <v>#N/A</v>
        <stp/>
        <stp>BDH|9986858614034006106</stp>
        <tr r="O8" s="6"/>
      </tp>
      <tp t="e">
        <v>#N/A</v>
        <stp/>
        <stp>BDH|7759020908516641432</stp>
        <tr r="U7" s="6"/>
      </tp>
      <tp t="e">
        <v>#N/A</v>
        <stp/>
        <stp>BDH|5899363322051099049</stp>
        <tr r="V13" s="6"/>
      </tp>
      <tp t="e">
        <v>#N/A</v>
        <stp/>
        <stp>BDH|5415614613625832271</stp>
        <tr r="AJ29" s="6"/>
      </tp>
      <tp t="e">
        <v>#N/A</v>
        <stp/>
        <stp>BDH|8631111054451894829</stp>
        <tr r="Z45" s="6"/>
      </tp>
      <tp t="e">
        <v>#N/A</v>
        <stp/>
        <stp>BDH|6944789598879944497</stp>
        <tr r="J50" s="6"/>
      </tp>
      <tp t="e">
        <v>#N/A</v>
        <stp/>
        <stp>BDH|7126846208043760939</stp>
        <tr r="W20" s="6"/>
      </tp>
      <tp t="e">
        <v>#N/A</v>
        <stp/>
        <stp>BDH|5904718874274374463</stp>
        <tr r="AE30" s="6"/>
      </tp>
      <tp t="e">
        <v>#N/A</v>
        <stp/>
        <stp>BDH|4203274048054045333</stp>
        <tr r="K21" s="6"/>
      </tp>
      <tp t="e">
        <v>#N/A</v>
        <stp/>
        <stp>BDH|3513431077246765383</stp>
        <tr r="S57" s="6"/>
      </tp>
      <tp t="e">
        <v>#N/A</v>
        <stp/>
        <stp>BDH|6762718481044066889</stp>
        <tr r="AF13" s="6"/>
      </tp>
      <tp t="e">
        <v>#N/A</v>
        <stp/>
        <stp>BDH|7835535849986897556</stp>
        <tr r="AG19" s="6"/>
      </tp>
      <tp t="e">
        <v>#N/A</v>
        <stp/>
        <stp>BDH|9890018587466173201</stp>
        <tr r="E26" s="6"/>
      </tp>
      <tp t="e">
        <v>#N/A</v>
        <stp/>
        <stp>BDH|1146324949945294673</stp>
        <tr r="H8" s="6"/>
      </tp>
      <tp t="e">
        <v>#N/A</v>
        <stp/>
        <stp>BDH|4537645429326010371</stp>
        <tr r="Q33" s="6"/>
      </tp>
      <tp t="e">
        <v>#N/A</v>
        <stp/>
        <stp>BDH|6735113107665968776</stp>
        <tr r="D53" s="6"/>
      </tp>
      <tp t="e">
        <v>#N/A</v>
        <stp/>
        <stp>BDH|7297189027369483863</stp>
        <tr r="AG7" s="6"/>
      </tp>
      <tp t="e">
        <v>#N/A</v>
        <stp/>
        <stp>BDH|2794247639214361259</stp>
        <tr r="AA58" s="6"/>
      </tp>
      <tp t="e">
        <v>#N/A</v>
        <stp/>
        <stp>BDH|7907574196186276865</stp>
        <tr r="N22" s="6"/>
      </tp>
      <tp t="e">
        <v>#N/A</v>
        <stp/>
        <stp>BDH|7435538572188968800</stp>
        <tr r="M27" s="6"/>
      </tp>
      <tp t="e">
        <v>#N/A</v>
        <stp/>
        <stp>BDH|6723464624161807406</stp>
        <tr r="H50" s="6"/>
      </tp>
      <tp t="e">
        <v>#N/A</v>
        <stp/>
        <stp>BDH|5775608464406920678</stp>
        <tr r="G21" s="6"/>
      </tp>
      <tp t="e">
        <v>#N/A</v>
        <stp/>
        <stp>BDH|6965445298786048880</stp>
        <tr r="H12" s="6"/>
      </tp>
      <tp t="e">
        <v>#N/A</v>
        <stp/>
        <stp>BDH|2050109771952928359</stp>
        <tr r="AE26" s="6"/>
      </tp>
      <tp t="e">
        <v>#N/A</v>
        <stp/>
        <stp>BDH|2873400190558902233</stp>
        <tr r="AF18" s="6"/>
      </tp>
      <tp t="e">
        <v>#N/A</v>
        <stp/>
        <stp>BDH|1190115012410092400</stp>
        <tr r="AD23" s="6"/>
        <tr r="AD35" s="6"/>
      </tp>
      <tp t="e">
        <v>#N/A</v>
        <stp/>
        <stp>BDH|5626244510484284729</stp>
        <tr r="F49" s="6"/>
      </tp>
      <tp t="e">
        <v>#N/A</v>
        <stp/>
        <stp>BDH|3511199691649626798</stp>
        <tr r="AM51" s="6"/>
      </tp>
      <tp t="e">
        <v>#N/A</v>
        <stp/>
        <stp>BDH|3273783179514311229</stp>
        <tr r="AC14" s="6"/>
      </tp>
      <tp t="e">
        <v>#N/A</v>
        <stp/>
        <stp>BDH|4629829244019126432</stp>
        <tr r="AG22" s="6"/>
      </tp>
      <tp t="e">
        <v>#N/A</v>
        <stp/>
        <stp>BDH|3977158278211315152</stp>
        <tr r="Q16" s="6"/>
      </tp>
      <tp t="e">
        <v>#N/A</v>
        <stp/>
        <stp>BDH|4754634771086586639</stp>
        <tr r="K24" s="6"/>
      </tp>
      <tp t="e">
        <v>#N/A</v>
        <stp/>
        <stp>BDH|2134610210666209616</stp>
        <tr r="D57" s="6"/>
      </tp>
      <tp t="e">
        <v>#N/A</v>
        <stp/>
        <stp>BDH|2353052772083057370</stp>
        <tr r="AB22" s="6"/>
      </tp>
      <tp t="e">
        <v>#N/A</v>
        <stp/>
        <stp>BDH|1684118503570526521</stp>
        <tr r="AF57" s="6"/>
      </tp>
      <tp t="e">
        <v>#N/A</v>
        <stp/>
        <stp>BDH|2729478192759921382</stp>
        <tr r="P44" s="6"/>
      </tp>
      <tp t="e">
        <v>#N/A</v>
        <stp/>
        <stp>BDH|6495005803651748230</stp>
        <tr r="K22" s="6"/>
      </tp>
      <tp t="e">
        <v>#N/A</v>
        <stp/>
        <stp>BDH|3947942580966597185</stp>
        <tr r="AD40" s="6"/>
      </tp>
      <tp t="e">
        <v>#N/A</v>
        <stp/>
        <stp>BDH|8911557461709800753</stp>
        <tr r="AH15" s="6"/>
      </tp>
      <tp t="e">
        <v>#N/A</v>
        <stp/>
        <stp>BDH|4479017273545228343</stp>
        <tr r="X21" s="6"/>
      </tp>
      <tp t="e">
        <v>#N/A</v>
        <stp/>
        <stp>BDH|5044176817994206421</stp>
        <tr r="N57" s="6"/>
      </tp>
      <tp t="e">
        <v>#N/A</v>
        <stp/>
        <stp>BDH|8635811037554491252</stp>
        <tr r="N7" s="6"/>
      </tp>
      <tp t="e">
        <v>#N/A</v>
        <stp/>
        <stp>BDH|8098270691510813688</stp>
        <tr r="M57" s="6"/>
      </tp>
      <tp t="e">
        <v>#N/A</v>
        <stp/>
        <stp>BDH|3095018251873770017</stp>
        <tr r="AA55" s="6"/>
      </tp>
      <tp t="e">
        <v>#N/A</v>
        <stp/>
        <stp>BDH|5770299710704157791</stp>
        <tr r="AL58" s="6"/>
      </tp>
      <tp t="e">
        <v>#N/A</v>
        <stp/>
        <stp>BDH|6029281355124329099</stp>
        <tr r="AM58" s="6"/>
      </tp>
      <tp t="e">
        <v>#N/A</v>
        <stp/>
        <stp>BDH|1213449662767090105</stp>
        <tr r="U49" s="6"/>
      </tp>
      <tp t="e">
        <v>#N/A</v>
        <stp/>
        <stp>BDH|1362542636443264170</stp>
        <tr r="U45" s="6"/>
      </tp>
      <tp t="e">
        <v>#N/A</v>
        <stp/>
        <stp>BDH|1768446154760665543</stp>
        <tr r="F29" s="6"/>
      </tp>
      <tp t="e">
        <v>#N/A</v>
        <stp/>
        <stp>BDH|2072816205039009613</stp>
        <tr r="C30" s="6"/>
      </tp>
      <tp t="e">
        <v>#N/A</v>
        <stp/>
        <stp>BDH|5169446720813271525</stp>
        <tr r="Y10" s="6"/>
      </tp>
      <tp t="e">
        <v>#N/A</v>
        <stp/>
        <stp>BDH|7059696844272990215</stp>
        <tr r="Y52" s="6"/>
      </tp>
      <tp t="e">
        <v>#N/A</v>
        <stp/>
        <stp>BDH|4942224836892953210</stp>
        <tr r="AN45" s="6"/>
      </tp>
      <tp t="e">
        <v>#N/A</v>
        <stp/>
        <stp>BDH|53146823639730219</stp>
        <tr r="R42" s="6"/>
      </tp>
      <tp t="e">
        <v>#N/A</v>
        <stp/>
        <stp>BDH|19902608709729857</stp>
        <tr r="AK37" s="6"/>
      </tp>
      <tp t="e">
        <v>#N/A</v>
        <stp/>
        <stp>BDH|5367682910172846694</stp>
        <tr r="W56" s="6"/>
      </tp>
      <tp t="e">
        <v>#N/A</v>
        <stp/>
        <stp>BDH|2320613239628133903</stp>
        <tr r="AL16" s="6"/>
      </tp>
      <tp t="e">
        <v>#N/A</v>
        <stp/>
        <stp>BDH|2925069600092246674</stp>
        <tr r="I44" s="6"/>
      </tp>
      <tp t="e">
        <v>#N/A</v>
        <stp/>
        <stp>BDH|4196439956332931164</stp>
        <tr r="M9" s="6"/>
      </tp>
      <tp t="e">
        <v>#N/A</v>
        <stp/>
        <stp>BDH|5838004520500159114</stp>
        <tr r="Y56" s="6"/>
      </tp>
      <tp t="e">
        <v>#N/A</v>
        <stp/>
        <stp>BDH|6206753573939863959</stp>
        <tr r="AE22" s="6"/>
      </tp>
      <tp t="e">
        <v>#N/A</v>
        <stp/>
        <stp>BDH|3279591824662398023</stp>
        <tr r="AH58" s="6"/>
      </tp>
      <tp t="e">
        <v>#N/A</v>
        <stp/>
        <stp>BDH|4604132076866465293</stp>
        <tr r="AJ26" s="6"/>
      </tp>
      <tp t="e">
        <v>#N/A</v>
        <stp/>
        <stp>BDH|6516656211350779797</stp>
        <tr r="Z21" s="6"/>
      </tp>
      <tp t="e">
        <v>#N/A</v>
        <stp/>
        <stp>BDH|4427593442330131316</stp>
        <tr r="L27" s="6"/>
      </tp>
      <tp t="e">
        <v>#N/A</v>
        <stp/>
        <stp>BDH|9341426772968855447</stp>
        <tr r="G20" s="6"/>
      </tp>
      <tp t="e">
        <v>#N/A</v>
        <stp/>
        <stp>BDH|6382189479465891355</stp>
        <tr r="V10" s="6"/>
      </tp>
      <tp t="e">
        <v>#N/A</v>
        <stp/>
        <stp>BDH|8905637495674041508</stp>
        <tr r="AA28" s="6"/>
      </tp>
      <tp t="e">
        <v>#N/A</v>
        <stp/>
        <stp>BDH|6835700539065917144</stp>
        <tr r="H52" s="6"/>
      </tp>
      <tp t="e">
        <v>#N/A</v>
        <stp/>
        <stp>BDH|6957307905582279128</stp>
        <tr r="Q50" s="6"/>
      </tp>
      <tp t="e">
        <v>#N/A</v>
        <stp/>
        <stp>BDH|1310737196619292085</stp>
        <tr r="AG21" s="6"/>
      </tp>
      <tp t="e">
        <v>#N/A</v>
        <stp/>
        <stp>BDH|4282887358379908670</stp>
        <tr r="AK12" s="6"/>
      </tp>
      <tp t="e">
        <v>#N/A</v>
        <stp/>
        <stp>BDH|6428844443609741591</stp>
        <tr r="L35" s="6"/>
        <tr r="L23" s="6"/>
      </tp>
      <tp t="e">
        <v>#N/A</v>
        <stp/>
        <stp>BDH|3842566408487977725</stp>
        <tr r="R29" s="6"/>
      </tp>
      <tp t="e">
        <v>#N/A</v>
        <stp/>
        <stp>BDH|1265144319715003223</stp>
        <tr r="S28" s="6"/>
      </tp>
      <tp t="e">
        <v>#N/A</v>
        <stp/>
        <stp>BDH|6844267188193826936</stp>
        <tr r="D10" s="6"/>
      </tp>
      <tp t="e">
        <v>#N/A</v>
        <stp/>
        <stp>BDH|7985514025210009606</stp>
        <tr r="K50" s="6"/>
      </tp>
      <tp t="e">
        <v>#N/A</v>
        <stp/>
        <stp>BDH|6356328818444717635</stp>
        <tr r="P29" s="6"/>
      </tp>
      <tp t="e">
        <v>#N/A</v>
        <stp/>
        <stp>BDH|5869669023201738672</stp>
        <tr r="F51" s="6"/>
      </tp>
      <tp t="e">
        <v>#N/A</v>
        <stp/>
        <stp>BDH|6867436201285484134</stp>
        <tr r="O21" s="6"/>
      </tp>
      <tp t="e">
        <v>#N/A</v>
        <stp/>
        <stp>BDH|5560550723767028313</stp>
        <tr r="U15" s="6"/>
      </tp>
      <tp t="e">
        <v>#N/A</v>
        <stp/>
        <stp>BDH|3337670111265723707</stp>
        <tr r="AK11" s="6"/>
      </tp>
      <tp t="e">
        <v>#N/A</v>
        <stp/>
        <stp>BDH|9234245935929924784</stp>
        <tr r="V58" s="6"/>
      </tp>
      <tp t="e">
        <v>#N/A</v>
        <stp/>
        <stp>BDH|5246120977426595302</stp>
        <tr r="E43" s="6"/>
      </tp>
      <tp t="e">
        <v>#N/A</v>
        <stp/>
        <stp>BDH|4815525454456583495</stp>
        <tr r="AI9" s="6"/>
      </tp>
      <tp t="e">
        <v>#N/A</v>
        <stp/>
        <stp>BDH|5668909246356012820</stp>
        <tr r="AE55" s="6"/>
      </tp>
      <tp t="e">
        <v>#N/A</v>
        <stp/>
        <stp>BDH|9423534688726510492</stp>
        <tr r="AA14" s="6"/>
      </tp>
      <tp t="e">
        <v>#N/A</v>
        <stp/>
        <stp>BDH|6273158107918972991</stp>
        <tr r="O38" s="6"/>
      </tp>
      <tp t="e">
        <v>#N/A</v>
        <stp/>
        <stp>BDH|3118733164755424127</stp>
        <tr r="AA9" s="6"/>
      </tp>
      <tp t="e">
        <v>#N/A</v>
        <stp/>
        <stp>BDH|3149140765015507753</stp>
        <tr r="D31" s="6"/>
      </tp>
      <tp t="e">
        <v>#N/A</v>
        <stp/>
        <stp>BDH|3910344228500217477</stp>
        <tr r="AE13" s="6"/>
      </tp>
      <tp t="e">
        <v>#N/A</v>
        <stp/>
        <stp>BDH|6308374927571456072</stp>
        <tr r="U16" s="6"/>
      </tp>
      <tp t="e">
        <v>#N/A</v>
        <stp/>
        <stp>BDH|2727849037437499800</stp>
        <tr r="G37" s="6"/>
      </tp>
      <tp t="e">
        <v>#N/A</v>
        <stp/>
        <stp>BDH|9170987134185420099</stp>
        <tr r="AD18" s="6"/>
      </tp>
      <tp t="e">
        <v>#N/A</v>
        <stp/>
        <stp>BDH|7142172837420388327</stp>
        <tr r="AD37" s="6"/>
      </tp>
      <tp t="e">
        <v>#N/A</v>
        <stp/>
        <stp>BDH|7250592088858558467</stp>
        <tr r="W21" s="6"/>
      </tp>
      <tp t="e">
        <v>#N/A</v>
        <stp/>
        <stp>BDH|3107723172633026618</stp>
        <tr r="Z37" s="6"/>
      </tp>
      <tp t="e">
        <v>#N/A</v>
        <stp/>
        <stp>BDH|9823494090003175110</stp>
        <tr r="W13" s="6"/>
      </tp>
      <tp t="e">
        <v>#N/A</v>
        <stp/>
        <stp>BDH|2176606841142311420</stp>
        <tr r="AC54" s="6"/>
      </tp>
      <tp t="e">
        <v>#N/A</v>
        <stp/>
        <stp>BDH|2841689388473987904</stp>
        <tr r="Q54" s="6"/>
      </tp>
      <tp t="e">
        <v>#N/A</v>
        <stp/>
        <stp>BDH|5148707950505943495</stp>
        <tr r="AJ19" s="6"/>
      </tp>
      <tp t="e">
        <v>#N/A</v>
        <stp/>
        <stp>BDH|3556186812661638489</stp>
        <tr r="AC25" s="6"/>
      </tp>
      <tp t="e">
        <v>#N/A</v>
        <stp/>
        <stp>BDH|3705632060474303116</stp>
        <tr r="AG29" s="6"/>
      </tp>
      <tp t="e">
        <v>#N/A</v>
        <stp/>
        <stp>BDH|5054518670945537427</stp>
        <tr r="AI26" s="6"/>
      </tp>
      <tp t="e">
        <v>#N/A</v>
        <stp/>
        <stp>BDH|7264327717224263733</stp>
        <tr r="AD20" s="6"/>
      </tp>
      <tp t="e">
        <v>#N/A</v>
        <stp/>
        <stp>BDH|7672559456371733048</stp>
        <tr r="O40" s="6"/>
      </tp>
      <tp t="e">
        <v>#N/A</v>
        <stp/>
        <stp>BDH|4946454504887878164</stp>
        <tr r="AM33" s="6"/>
      </tp>
      <tp t="e">
        <v>#N/A</v>
        <stp/>
        <stp>BDH|8811215791896984379</stp>
        <tr r="N8" s="6"/>
      </tp>
      <tp t="e">
        <v>#N/A</v>
        <stp/>
        <stp>BDH|6513789022361396487</stp>
        <tr r="AH25" s="6"/>
      </tp>
      <tp t="e">
        <v>#N/A</v>
        <stp/>
        <stp>BDH|3395408575461557778</stp>
        <tr r="N42" s="6"/>
      </tp>
      <tp t="e">
        <v>#N/A</v>
        <stp/>
        <stp>BDH|1614734362367236118</stp>
        <tr r="H30" s="6"/>
      </tp>
      <tp t="e">
        <v>#N/A</v>
        <stp/>
        <stp>BDH|8124889259150746326</stp>
        <tr r="AH22" s="6"/>
      </tp>
      <tp t="e">
        <v>#N/A</v>
        <stp/>
        <stp>BDH|7683182878670125723</stp>
        <tr r="M25" s="6"/>
      </tp>
      <tp t="e">
        <v>#N/A</v>
        <stp/>
        <stp>BDH|2598035891308466565</stp>
        <tr r="X29" s="6"/>
      </tp>
      <tp t="e">
        <v>#N/A</v>
        <stp/>
        <stp>BDH|1132098923896466254</stp>
        <tr r="Q53" s="6"/>
      </tp>
      <tp t="e">
        <v>#N/A</v>
        <stp/>
        <stp>BDH|1960672151611792428</stp>
        <tr r="F45" s="6"/>
      </tp>
      <tp t="e">
        <v>#N/A</v>
        <stp/>
        <stp>BDH|7790546408702321724</stp>
        <tr r="G58" s="6"/>
      </tp>
      <tp t="e">
        <v>#N/A</v>
        <stp/>
        <stp>BDH|1095065604971164784</stp>
        <tr r="AJ50" s="6"/>
      </tp>
      <tp t="e">
        <v>#N/A</v>
        <stp/>
        <stp>BDH|2580180436153474448</stp>
        <tr r="C55" s="6"/>
      </tp>
      <tp t="e">
        <v>#N/A</v>
        <stp/>
        <stp>BDH|8733771598743579268</stp>
        <tr r="Y42" s="6"/>
      </tp>
      <tp t="e">
        <v>#N/A</v>
        <stp/>
        <stp>BDH|7214415918627267217</stp>
        <tr r="AB33" s="6"/>
      </tp>
      <tp t="e">
        <v>#N/A</v>
        <stp/>
        <stp>BDH|9234922174947830749</stp>
        <tr r="X53" s="6"/>
      </tp>
      <tp t="e">
        <v>#N/A</v>
        <stp/>
        <stp>BDH|6202323762117908337</stp>
        <tr r="E18" s="6"/>
      </tp>
      <tp t="e">
        <v>#N/A</v>
        <stp/>
        <stp>BDH|2330092644380739117</stp>
        <tr r="H26" s="6"/>
      </tp>
      <tp t="e">
        <v>#N/A</v>
        <stp/>
        <stp>BDH|7311330221060987104</stp>
        <tr r="Y27" s="6"/>
      </tp>
      <tp t="e">
        <v>#N/A</v>
        <stp/>
        <stp>BDH|1983244307616632247</stp>
        <tr r="X13" s="6"/>
      </tp>
      <tp t="e">
        <v>#N/A</v>
        <stp/>
        <stp>BDH|3154985480432331730</stp>
        <tr r="N54" s="6"/>
      </tp>
      <tp t="e">
        <v>#N/A</v>
        <stp/>
        <stp>BDH|8193255796494233092</stp>
        <tr r="F37" s="6"/>
      </tp>
      <tp t="e">
        <v>#N/A</v>
        <stp/>
        <stp>BDH|2642399694346596905</stp>
        <tr r="G34" s="6"/>
      </tp>
      <tp t="e">
        <v>#N/A</v>
        <stp/>
        <stp>BDH|1331372301073908623</stp>
        <tr r="U9" s="6"/>
      </tp>
      <tp t="e">
        <v>#N/A</v>
        <stp/>
        <stp>BDH|4493273338982302065</stp>
        <tr r="AK49" s="6"/>
      </tp>
      <tp t="e">
        <v>#N/A</v>
        <stp/>
        <stp>BDH|7343475318473088625</stp>
        <tr r="Z43" s="6"/>
      </tp>
      <tp t="e">
        <v>#N/A</v>
        <stp/>
        <stp>BDH|2815927989844986049</stp>
        <tr r="S53" s="6"/>
      </tp>
      <tp t="e">
        <v>#N/A</v>
        <stp/>
        <stp>BDH|3010927580486501383</stp>
        <tr r="J26" s="6"/>
      </tp>
      <tp t="e">
        <v>#N/A</v>
        <stp/>
        <stp>BDH|7911375862237134224</stp>
        <tr r="V49" s="6"/>
      </tp>
      <tp t="e">
        <v>#N/A</v>
        <stp/>
        <stp>BDH|7882128950555430112</stp>
        <tr r="AD9" s="6"/>
      </tp>
      <tp t="e">
        <v>#N/A</v>
        <stp/>
        <stp>BDH|3400699155700325746</stp>
        <tr r="O29" s="6"/>
      </tp>
      <tp t="e">
        <v>#N/A</v>
        <stp/>
        <stp>BDH|4477292141112910795</stp>
        <tr r="N28" s="6"/>
      </tp>
      <tp t="e">
        <v>#N/A</v>
        <stp/>
        <stp>BDH|6173771882269823704</stp>
        <tr r="G9" s="6"/>
      </tp>
      <tp t="e">
        <v>#N/A</v>
        <stp/>
        <stp>BDH|6621088800634275509</stp>
        <tr r="AC33" s="6"/>
      </tp>
      <tp t="e">
        <v>#N/A</v>
        <stp/>
        <stp>BDH|3958743842712535566</stp>
        <tr r="T34" s="6"/>
      </tp>
      <tp t="e">
        <v>#N/A</v>
        <stp/>
        <stp>BDH|1140529521992796393</stp>
        <tr r="AC26" s="6"/>
      </tp>
      <tp t="e">
        <v>#N/A</v>
        <stp/>
        <stp>BDH|8334355414399818475</stp>
        <tr r="G28" s="6"/>
      </tp>
      <tp t="e">
        <v>#N/A</v>
        <stp/>
        <stp>BDH|4494826529231581876</stp>
        <tr r="H42" s="6"/>
      </tp>
      <tp t="e">
        <v>#N/A</v>
        <stp/>
        <stp>BDH|4187777754329888873</stp>
        <tr r="AA33" s="6"/>
      </tp>
      <tp t="e">
        <v>#N/A</v>
        <stp/>
        <stp>BDH|7732689310793032427</stp>
        <tr r="X8" s="6"/>
      </tp>
      <tp t="e">
        <v>#N/A</v>
        <stp/>
        <stp>BDH|7804303569303562667</stp>
        <tr r="AB7" s="6"/>
      </tp>
      <tp t="e">
        <v>#N/A</v>
        <stp/>
        <stp>BDH|9051138437894731815</stp>
        <tr r="J31" s="6"/>
      </tp>
      <tp t="e">
        <v>#N/A</v>
        <stp/>
        <stp>BDH|3538152241522055336</stp>
        <tr r="AI35" s="6"/>
        <tr r="AI23" s="6"/>
      </tp>
      <tp t="e">
        <v>#N/A</v>
        <stp/>
        <stp>BDH|4870017330581899134</stp>
        <tr r="O10" s="6"/>
      </tp>
      <tp t="e">
        <v>#N/A</v>
        <stp/>
        <stp>BDH|6567235041922336564</stp>
        <tr r="I34" s="6"/>
      </tp>
      <tp t="e">
        <v>#N/A</v>
        <stp/>
        <stp>BDH|3619179977884356679</stp>
        <tr r="M26" s="6"/>
      </tp>
      <tp t="e">
        <v>#N/A</v>
        <stp/>
        <stp>BDH|1773357081938720579</stp>
        <tr r="N16" s="6"/>
      </tp>
      <tp t="e">
        <v>#N/A</v>
        <stp/>
        <stp>BDH|5668602652350147165</stp>
        <tr r="G26" s="6"/>
      </tp>
      <tp t="e">
        <v>#N/A</v>
        <stp/>
        <stp>BDH|3391590939164071630</stp>
        <tr r="Y8" s="6"/>
      </tp>
      <tp t="e">
        <v>#N/A</v>
        <stp/>
        <stp>BDH|1642943521049102437</stp>
        <tr r="AL18" s="6"/>
      </tp>
      <tp t="e">
        <v>#N/A</v>
        <stp/>
        <stp>BDH|1794642909496876638</stp>
        <tr r="AH24" s="6"/>
      </tp>
      <tp t="e">
        <v>#N/A</v>
        <stp/>
        <stp>BDH|6133610156686300443</stp>
        <tr r="AH14" s="6"/>
      </tp>
      <tp t="e">
        <v>#N/A</v>
        <stp/>
        <stp>BDH|8171762859814746984</stp>
        <tr r="F23" s="6"/>
        <tr r="F35" s="6"/>
      </tp>
      <tp t="e">
        <v>#N/A</v>
        <stp/>
        <stp>BDH|9687914735421006534</stp>
        <tr r="Y39" s="6"/>
      </tp>
      <tp t="e">
        <v>#N/A</v>
        <stp/>
        <stp>BDH|8568653299881833102</stp>
        <tr r="AE34" s="6"/>
      </tp>
      <tp t="e">
        <v>#N/A</v>
        <stp/>
        <stp>BDH|2898046329595048239</stp>
        <tr r="J40" s="6"/>
      </tp>
      <tp t="e">
        <v>#N/A</v>
        <stp/>
        <stp>BDH|1925677249843231736</stp>
        <tr r="Y13" s="6"/>
      </tp>
      <tp t="e">
        <v>#N/A</v>
        <stp/>
        <stp>BDH|5596311177981230778</stp>
        <tr r="W53" s="6"/>
      </tp>
      <tp t="e">
        <v>#N/A</v>
        <stp/>
        <stp>BDH|9044864230623931698</stp>
        <tr r="AE19" s="6"/>
      </tp>
      <tp t="e">
        <v>#N/A</v>
        <stp/>
        <stp>BDH|5002386018887204743</stp>
        <tr r="AL57" s="6"/>
      </tp>
      <tp t="e">
        <v>#N/A</v>
        <stp/>
        <stp>BDH|1275908089490529799</stp>
        <tr r="T18" s="6"/>
      </tp>
      <tp t="e">
        <v>#N/A</v>
        <stp/>
        <stp>BDH|8800852989398019734</stp>
        <tr r="AA24" s="6"/>
      </tp>
      <tp t="e">
        <v>#N/A</v>
        <stp/>
        <stp>BDH|3496072362594660638</stp>
        <tr r="W49" s="6"/>
      </tp>
      <tp t="e">
        <v>#N/A</v>
        <stp/>
        <stp>BDH|1518190855965972748</stp>
        <tr r="F55" s="6"/>
      </tp>
      <tp t="e">
        <v>#N/A</v>
        <stp/>
        <stp>BDH|3518259554165400642</stp>
        <tr r="AF7" s="6"/>
      </tp>
      <tp t="e">
        <v>#N/A</v>
        <stp/>
        <stp>BDH|5237388035540971226</stp>
        <tr r="V28" s="6"/>
      </tp>
      <tp t="e">
        <v>#N/A</v>
        <stp/>
        <stp>BDH|9351440393442376124</stp>
        <tr r="AK34" s="6"/>
      </tp>
      <tp t="e">
        <v>#N/A</v>
        <stp/>
        <stp>BDH|8492263934007056935</stp>
        <tr r="J9" s="6"/>
      </tp>
      <tp t="e">
        <v>#N/A</v>
        <stp/>
        <stp>BDH|4275507949712694081</stp>
        <tr r="D40" s="6"/>
      </tp>
      <tp t="e">
        <v>#N/A</v>
        <stp/>
        <stp>BDH|5880418264339195994</stp>
        <tr r="AF38" s="6"/>
      </tp>
      <tp t="e">
        <v>#N/A</v>
        <stp/>
        <stp>BDH|9831400016255287968</stp>
        <tr r="AK7" s="6"/>
      </tp>
      <tp t="e">
        <v>#N/A</v>
        <stp/>
        <stp>BDH|2421640338963598473</stp>
        <tr r="V20" s="6"/>
      </tp>
      <tp t="e">
        <v>#N/A</v>
        <stp/>
        <stp>BDH|4220962290010674484</stp>
        <tr r="AD7" s="6"/>
      </tp>
      <tp t="e">
        <v>#N/A</v>
        <stp/>
        <stp>BDH|4162241850014897776</stp>
        <tr r="C17" s="6"/>
      </tp>
      <tp t="e">
        <v>#N/A</v>
        <stp/>
        <stp>BDH|6874052613995377269</stp>
        <tr r="AF28" s="6"/>
      </tp>
      <tp t="e">
        <v>#N/A</v>
        <stp/>
        <stp>BDH|7055600991560324895</stp>
        <tr r="I33" s="6"/>
      </tp>
      <tp t="e">
        <v>#N/A</v>
        <stp/>
        <stp>BDH|7830350010905768014</stp>
        <tr r="I49" s="6"/>
      </tp>
      <tp t="e">
        <v>#N/A</v>
        <stp/>
        <stp>BDH|7380547124403029382</stp>
        <tr r="AG56" s="6"/>
      </tp>
      <tp t="e">
        <v>#N/A</v>
        <stp/>
        <stp>BDH|7309138214886916157</stp>
        <tr r="AF34" s="6"/>
      </tp>
      <tp t="e">
        <v>#N/A</v>
        <stp/>
        <stp>BDH|1726074643715925032</stp>
        <tr r="AE17" s="6"/>
      </tp>
      <tp t="e">
        <v>#N/A</v>
        <stp/>
        <stp>BDH|7301106269416645656</stp>
        <tr r="AE38" s="6"/>
      </tp>
      <tp t="e">
        <v>#N/A</v>
        <stp/>
        <stp>BDH|7328406929654704542</stp>
        <tr r="C34" s="6"/>
      </tp>
      <tp t="e">
        <v>#N/A</v>
        <stp/>
        <stp>BDH|7639351353623924203</stp>
        <tr r="A7" s="4"/>
      </tp>
      <tp t="e">
        <v>#N/A</v>
        <stp/>
        <stp>BDH|5233271461629560884</stp>
        <tr r="AG11" s="6"/>
      </tp>
      <tp t="e">
        <v>#N/A</v>
        <stp/>
        <stp>BDH|2689235753471890478</stp>
        <tr r="AE27" s="6"/>
      </tp>
      <tp t="e">
        <v>#N/A</v>
        <stp/>
        <stp>BDH|3185408225574329193</stp>
        <tr r="F18" s="6"/>
      </tp>
      <tp t="e">
        <v>#N/A</v>
        <stp/>
        <stp>BDH|1818066661053334423</stp>
        <tr r="AD10" s="6"/>
      </tp>
      <tp t="e">
        <v>#N/A</v>
        <stp/>
        <stp>BDH|7634759709556350670</stp>
        <tr r="P20" s="6"/>
      </tp>
      <tp t="e">
        <v>#N/A</v>
        <stp/>
        <stp>BDH|8240424860848772295</stp>
        <tr r="X12" s="6"/>
      </tp>
      <tp t="e">
        <v>#N/A</v>
        <stp/>
        <stp>BDH|7461911478500572974</stp>
        <tr r="AK22" s="6"/>
      </tp>
      <tp t="e">
        <v>#N/A</v>
        <stp/>
        <stp>BDH|8463574931147534985</stp>
        <tr r="AI22" s="6"/>
      </tp>
      <tp t="e">
        <v>#N/A</v>
        <stp/>
        <stp>BDH|1857744773464901591</stp>
        <tr r="AK9" s="6"/>
      </tp>
      <tp t="e">
        <v>#N/A</v>
        <stp/>
        <stp>BDH|6946787509678434932</stp>
        <tr r="AA16" s="6"/>
      </tp>
      <tp t="e">
        <v>#N/A</v>
        <stp/>
        <stp>BDH|3873627064027738452</stp>
        <tr r="J38" s="6"/>
      </tp>
      <tp t="e">
        <v>#N/A</v>
        <stp/>
        <stp>BDH|7245177929731708576</stp>
        <tr r="AG43" s="6"/>
      </tp>
      <tp t="e">
        <v>#N/A</v>
        <stp/>
        <stp>BDH|4020805186942339688</stp>
        <tr r="W11" s="6"/>
      </tp>
      <tp t="e">
        <v>#N/A</v>
        <stp/>
        <stp>BDH|4505604285673525986</stp>
        <tr r="T42" s="6"/>
      </tp>
      <tp t="e">
        <v>#N/A</v>
        <stp/>
        <stp>BDH|7309402211936932460</stp>
        <tr r="O55" s="6"/>
      </tp>
      <tp t="e">
        <v>#N/A</v>
        <stp/>
        <stp>BDH|7166338020151790788</stp>
        <tr r="Y25" s="6"/>
      </tp>
      <tp t="e">
        <v>#N/A</v>
        <stp/>
        <stp>BDH|5068070724033556441</stp>
        <tr r="AA10" s="6"/>
      </tp>
      <tp t="e">
        <v>#N/A</v>
        <stp/>
        <stp>BDH|6935796444192007768</stp>
        <tr r="AE21" s="6"/>
      </tp>
      <tp t="e">
        <v>#N/A</v>
        <stp/>
        <stp>BDH|7421647350932141637</stp>
        <tr r="AK45" s="6"/>
      </tp>
      <tp t="e">
        <v>#N/A</v>
        <stp/>
        <stp>BDH|5001510968651931735</stp>
        <tr r="S50" s="6"/>
      </tp>
      <tp t="e">
        <v>#N/A</v>
        <stp/>
        <stp>BDH|5492025065863975090</stp>
        <tr r="S37" s="6"/>
      </tp>
      <tp t="e">
        <v>#N/A</v>
        <stp/>
        <stp>BDH|5878295350874299601</stp>
        <tr r="O57" s="6"/>
      </tp>
      <tp t="e">
        <v>#N/A</v>
        <stp/>
        <stp>BDH|4231774620304369567</stp>
        <tr r="W55" s="6"/>
      </tp>
      <tp t="e">
        <v>#N/A</v>
        <stp/>
        <stp>BDH|8360811505991384143</stp>
        <tr r="H15" s="6"/>
      </tp>
      <tp t="e">
        <v>#N/A</v>
        <stp/>
        <stp>BDH|1447189769173335565</stp>
        <tr r="L39" s="6"/>
      </tp>
      <tp t="e">
        <v>#N/A</v>
        <stp/>
        <stp>BDH|7150731580870068838</stp>
        <tr r="S20" s="6"/>
      </tp>
      <tp t="e">
        <v>#N/A</v>
        <stp/>
        <stp>BDH|6109505193069658358</stp>
        <tr r="D42" s="6"/>
      </tp>
      <tp t="e">
        <v>#N/A</v>
        <stp/>
        <stp>BDH|4194063255125350403</stp>
        <tr r="Y43" s="6"/>
      </tp>
      <tp t="e">
        <v>#N/A</v>
        <stp/>
        <stp>BDH|5262282039376175242</stp>
        <tr r="I56" s="6"/>
      </tp>
      <tp t="e">
        <v>#N/A</v>
        <stp/>
        <stp>BDH|3909631221680506782</stp>
        <tr r="S18" s="6"/>
      </tp>
      <tp t="e">
        <v>#N/A</v>
        <stp/>
        <stp>BDH|3426451155644012622</stp>
        <tr r="M24" s="6"/>
      </tp>
      <tp t="e">
        <v>#N/A</v>
        <stp/>
        <stp>BDH|8942422768488727228</stp>
        <tr r="G24" s="6"/>
      </tp>
      <tp t="e">
        <v>#N/A</v>
        <stp/>
        <stp>BDH|3125802178029644586</stp>
        <tr r="AI40" s="6"/>
      </tp>
      <tp t="e">
        <v>#N/A</v>
        <stp/>
        <stp>BDH|9427914117394145547</stp>
        <tr r="K40" s="6"/>
      </tp>
      <tp t="e">
        <v>#N/A</v>
        <stp/>
        <stp>BDH|2133790778583649127</stp>
        <tr r="AH45" s="6"/>
      </tp>
      <tp t="e">
        <v>#N/A</v>
        <stp/>
        <stp>BDH|5552932387202787621</stp>
        <tr r="U56" s="6"/>
      </tp>
      <tp t="e">
        <v>#N/A</v>
        <stp/>
        <stp>BDH|3428794361781858308</stp>
        <tr r="W44" s="6"/>
      </tp>
      <tp t="e">
        <v>#N/A</v>
        <stp/>
        <stp>BDH|3182412463210096165</stp>
        <tr r="AM6" s="6"/>
      </tp>
      <tp t="e">
        <v>#N/A</v>
        <stp/>
        <stp>BDH|4205615738955927478</stp>
        <tr r="M28" s="6"/>
      </tp>
      <tp t="e">
        <v>#N/A</v>
        <stp/>
        <stp>BDH|9900997006141483176</stp>
        <tr r="V34" s="6"/>
      </tp>
      <tp t="e">
        <v>#N/A</v>
        <stp/>
        <stp>BDH|52823348209266839</stp>
        <tr r="Z9" s="6"/>
      </tp>
      <tp t="e">
        <v>#N/A</v>
        <stp/>
        <stp>BDH|5817773653992470424</stp>
        <tr r="F17" s="6"/>
      </tp>
      <tp t="e">
        <v>#N/A</v>
        <stp/>
        <stp>BDH|7332177728666783316</stp>
        <tr r="Y12" s="6"/>
      </tp>
      <tp t="e">
        <v>#N/A</v>
        <stp/>
        <stp>BDH|4566919618889627417</stp>
        <tr r="AD12" s="6"/>
      </tp>
      <tp t="e">
        <v>#N/A</v>
        <stp/>
        <stp>BDH|1075724423932263788</stp>
        <tr r="O9" s="6"/>
      </tp>
      <tp t="e">
        <v>#N/A</v>
        <stp/>
        <stp>BDH|1113641958532240145</stp>
        <tr r="J42" s="6"/>
      </tp>
      <tp t="e">
        <v>#N/A</v>
        <stp/>
        <stp>BDH|1927257493739047275</stp>
        <tr r="Q6" s="6"/>
      </tp>
      <tp t="e">
        <v>#N/A</v>
        <stp/>
        <stp>BDH|6266152111475670283</stp>
        <tr r="AB21" s="6"/>
      </tp>
      <tp t="e">
        <v>#N/A</v>
        <stp/>
        <stp>BDH|8978030990216187630</stp>
        <tr r="F31" s="6"/>
      </tp>
      <tp t="e">
        <v>#N/A</v>
        <stp/>
        <stp>BDH|6631216289339503439</stp>
        <tr r="AB12" s="6"/>
      </tp>
      <tp t="e">
        <v>#N/A</v>
        <stp/>
        <stp>BDH|4038547953665849067</stp>
        <tr r="Z50" s="6"/>
      </tp>
      <tp t="e">
        <v>#N/A</v>
        <stp/>
        <stp>BDH|4965157242275521523</stp>
        <tr r="O56" s="6"/>
      </tp>
      <tp t="e">
        <v>#N/A</v>
        <stp/>
        <stp>BDH|1015549519105133158</stp>
        <tr r="AC55" s="6"/>
      </tp>
      <tp t="e">
        <v>#N/A</v>
        <stp/>
        <stp>BDH|7749857008529404774</stp>
        <tr r="AC9" s="6"/>
      </tp>
      <tp t="e">
        <v>#N/A</v>
        <stp/>
        <stp>BDH|6848543933321188075</stp>
        <tr r="AM42" s="6"/>
      </tp>
      <tp t="e">
        <v>#N/A</v>
        <stp/>
        <stp>BDH|3286525472055316581</stp>
        <tr r="X17" s="6"/>
      </tp>
      <tp t="e">
        <v>#N/A</v>
        <stp/>
        <stp>BDH|7285452068254259041</stp>
        <tr r="J45" s="6"/>
      </tp>
      <tp t="e">
        <v>#N/A</v>
        <stp/>
        <stp>BDH|3690391963342528579</stp>
        <tr r="AN21" s="6"/>
      </tp>
      <tp t="e">
        <v>#N/A</v>
        <stp/>
        <stp>BDH|7874116750947030578</stp>
        <tr r="L43" s="6"/>
      </tp>
      <tp t="e">
        <v>#N/A</v>
        <stp/>
        <stp>BDH|5970159593884952885</stp>
        <tr r="AB14" s="6"/>
      </tp>
      <tp t="e">
        <v>#N/A</v>
        <stp/>
        <stp>BDH|7234523027495887415</stp>
        <tr r="F21" s="6"/>
      </tp>
      <tp t="e">
        <v>#N/A</v>
        <stp/>
        <stp>BDH|7963134627261727457</stp>
        <tr r="I50" s="6"/>
      </tp>
      <tp t="e">
        <v>#N/A</v>
        <stp/>
        <stp>BDH|1394238647876105090</stp>
        <tr r="AG27" s="6"/>
      </tp>
      <tp t="e">
        <v>#N/A</v>
        <stp/>
        <stp>BDH|7081616554415268087</stp>
        <tr r="Z11" s="6"/>
      </tp>
      <tp t="e">
        <v>#N/A</v>
        <stp/>
        <stp>BDH|1907267919241160289</stp>
        <tr r="AC6" s="6"/>
      </tp>
      <tp t="e">
        <v>#N/A</v>
        <stp/>
        <stp>BDH|2154230813755575584</stp>
        <tr r="S26" s="6"/>
      </tp>
      <tp t="e">
        <v>#N/A</v>
        <stp/>
        <stp>BDH|4260494016634694478</stp>
        <tr r="G57" s="6"/>
      </tp>
      <tp t="e">
        <v>#N/A</v>
        <stp/>
        <stp>BDH|3729145138077298756</stp>
        <tr r="V19" s="6"/>
      </tp>
      <tp t="e">
        <v>#N/A</v>
        <stp/>
        <stp>BDH|5591660922593485398</stp>
        <tr r="N44" s="6"/>
      </tp>
      <tp t="e">
        <v>#N/A</v>
        <stp/>
        <stp>BDH|4749115079857199433</stp>
        <tr r="M15" s="6"/>
      </tp>
      <tp t="e">
        <v>#N/A</v>
        <stp/>
        <stp>BDH|4282591767732796463</stp>
        <tr r="G12" s="6"/>
      </tp>
      <tp t="e">
        <v>#N/A</v>
        <stp/>
        <stp>BDH|4583960926336876801</stp>
        <tr r="AJ40" s="6"/>
      </tp>
      <tp t="e">
        <v>#N/A</v>
        <stp/>
        <stp>BDH|4076426771111269736</stp>
        <tr r="P55" s="6"/>
      </tp>
      <tp t="e">
        <v>#N/A</v>
        <stp/>
        <stp>BDH|5169601638504881539</stp>
        <tr r="Q11" s="6"/>
      </tp>
      <tp t="e">
        <v>#N/A</v>
        <stp/>
        <stp>BDH|7813126964639900854</stp>
        <tr r="AK21" s="6"/>
      </tp>
      <tp t="e">
        <v>#N/A</v>
        <stp/>
        <stp>BDH|8694140645284767829</stp>
        <tr r="X37" s="6"/>
      </tp>
      <tp t="e">
        <v>#N/A</v>
        <stp/>
        <stp>BDH|2590887098605259759</stp>
        <tr r="Y11" s="6"/>
      </tp>
      <tp t="e">
        <v>#N/A</v>
        <stp/>
        <stp>BDH|1813162138770645227</stp>
        <tr r="T40" s="6"/>
      </tp>
      <tp t="e">
        <v>#N/A</v>
        <stp/>
        <stp>BDH|9881889155946797310</stp>
        <tr r="E54" s="6"/>
      </tp>
      <tp t="e">
        <v>#N/A</v>
        <stp/>
        <stp>BDH|7136322015365128143</stp>
        <tr r="AA17" s="6"/>
      </tp>
      <tp t="e">
        <v>#N/A</v>
        <stp/>
        <stp>BDH|9617797838448333472</stp>
        <tr r="AB24" s="6"/>
      </tp>
      <tp t="e">
        <v>#N/A</v>
        <stp/>
        <stp>BDH|5337101444517157655</stp>
        <tr r="AD33" s="6"/>
      </tp>
      <tp t="e">
        <v>#N/A</v>
        <stp/>
        <stp>BDH|5315255919800970752</stp>
        <tr r="AJ37" s="6"/>
      </tp>
      <tp t="e">
        <v>#N/A</v>
        <stp/>
        <stp>BDH|2790766519700225592</stp>
        <tr r="AA15" s="6"/>
      </tp>
      <tp t="e">
        <v>#N/A</v>
        <stp/>
        <stp>BDH|5698355066742614302</stp>
        <tr r="V45" s="6"/>
      </tp>
      <tp t="e">
        <v>#N/A</v>
        <stp/>
        <stp>BDH|5655438711229336840</stp>
        <tr r="O15" s="6"/>
      </tp>
      <tp t="e">
        <v>#N/A</v>
        <stp/>
        <stp>BDH|9848706901779159684</stp>
        <tr r="M30" s="6"/>
      </tp>
      <tp t="e">
        <v>#N/A</v>
        <stp/>
        <stp>BDH|3061561375395356506</stp>
        <tr r="L18" s="6"/>
      </tp>
      <tp t="e">
        <v>#N/A</v>
        <stp/>
        <stp>BDH|8543743707107489930</stp>
        <tr r="K27" s="6"/>
      </tp>
      <tp t="e">
        <v>#N/A</v>
        <stp/>
        <stp>BDH|3104880671418838519</stp>
        <tr r="Y34" s="6"/>
      </tp>
      <tp t="e">
        <v>#N/A</v>
        <stp/>
        <stp>BDH|6731995689520796668</stp>
        <tr r="J29" s="6"/>
      </tp>
      <tp t="e">
        <v>#N/A</v>
        <stp/>
        <stp>BDH|2996483441351440221</stp>
        <tr r="AD50" s="6"/>
      </tp>
      <tp t="e">
        <v>#N/A</v>
        <stp/>
        <stp>BDH|8511554452769577031</stp>
        <tr r="V7" s="6"/>
      </tp>
      <tp t="e">
        <v>#N/A</v>
        <stp/>
        <stp>BDH|6871779015021970067</stp>
        <tr r="Y31" s="6"/>
      </tp>
      <tp t="e">
        <v>#N/A</v>
        <stp/>
        <stp>BDH|12614050087373806</stp>
        <tr r="Y7" s="6"/>
      </tp>
      <tp t="e">
        <v>#N/A</v>
        <stp/>
        <stp>BDH|4541745820030961324</stp>
        <tr r="X27" s="6"/>
      </tp>
      <tp t="e">
        <v>#N/A</v>
        <stp/>
        <stp>BDH|4948643098451735887</stp>
        <tr r="M6" s="6"/>
      </tp>
      <tp t="e">
        <v>#N/A</v>
        <stp/>
        <stp>BDH|2010761428153499601</stp>
        <tr r="AB11" s="6"/>
      </tp>
      <tp t="e">
        <v>#N/A</v>
        <stp/>
        <stp>BDH|5861362810557134258</stp>
        <tr r="AI6" s="6"/>
      </tp>
      <tp t="e">
        <v>#N/A</v>
        <stp/>
        <stp>BDH|5854907323754927888</stp>
        <tr r="AJ12" s="6"/>
      </tp>
      <tp t="e">
        <v>#N/A</v>
        <stp/>
        <stp>BDH|9782067169704336915</stp>
        <tr r="AF35" s="6"/>
        <tr r="AF23" s="6"/>
      </tp>
      <tp t="e">
        <v>#N/A</v>
        <stp/>
        <stp>BDH|4002830218537287828</stp>
        <tr r="AF49" s="6"/>
      </tp>
      <tp t="e">
        <v>#N/A</v>
        <stp/>
        <stp>BDH|6819832973638276319</stp>
        <tr r="P21" s="6"/>
      </tp>
      <tp t="e">
        <v>#N/A</v>
        <stp/>
        <stp>BDH|6462926188513472623</stp>
        <tr r="AE51" s="6"/>
      </tp>
      <tp t="e">
        <v>#N/A</v>
        <stp/>
        <stp>BDH|6829172944678601941</stp>
        <tr r="AL37" s="6"/>
      </tp>
      <tp t="e">
        <v>#N/A</v>
        <stp/>
        <stp>BDH|9541896692603356933</stp>
        <tr r="H33" s="6"/>
      </tp>
      <tp t="e">
        <v>#N/A</v>
        <stp/>
        <stp>BDH|4716682506474626417</stp>
        <tr r="K39" s="6"/>
      </tp>
      <tp t="e">
        <v>#N/A</v>
        <stp/>
        <stp>BDH|9099033702549657298</stp>
        <tr r="T50" s="6"/>
      </tp>
      <tp t="e">
        <v>#N/A</v>
        <stp/>
        <stp>BDH|9307889836995790540</stp>
        <tr r="AH31" s="6"/>
      </tp>
      <tp t="e">
        <v>#N/A</v>
        <stp/>
        <stp>BDH|9162384385935508571</stp>
        <tr r="F50" s="6"/>
      </tp>
      <tp t="e">
        <v>#N/A</v>
        <stp/>
        <stp>BDH|4098917898774357242</stp>
        <tr r="AI15" s="6"/>
      </tp>
      <tp t="e">
        <v>#N/A</v>
        <stp/>
        <stp>BDH|1161425113685664399</stp>
        <tr r="K10" s="6"/>
      </tp>
      <tp t="e">
        <v>#N/A</v>
        <stp/>
        <stp>BDH|1381209339143368156</stp>
        <tr r="AE11" s="6"/>
      </tp>
      <tp t="e">
        <v>#N/A</v>
        <stp/>
        <stp>BDH|1012695815262210623</stp>
        <tr r="I40" s="6"/>
      </tp>
      <tp t="e">
        <v>#N/A</v>
        <stp/>
        <stp>BDH|2314393761181372442</stp>
        <tr r="S24" s="6"/>
      </tp>
      <tp t="e">
        <v>#N/A</v>
        <stp/>
        <stp>BDH|3654403863505025697</stp>
        <tr r="J7" s="6"/>
      </tp>
      <tp t="e">
        <v>#N/A</v>
        <stp/>
        <stp>BDH|8962885957513350495</stp>
        <tr r="V30" s="6"/>
      </tp>
      <tp t="e">
        <v>#N/A</v>
        <stp/>
        <stp>BDH|1844559578441998009</stp>
        <tr r="I55" s="6"/>
      </tp>
      <tp t="e">
        <v>#N/A</v>
        <stp/>
        <stp>BDH|3578524022302033480</stp>
        <tr r="AE20" s="6"/>
      </tp>
      <tp t="e">
        <v>#N/A</v>
        <stp/>
        <stp>BDH|2744147294349283178</stp>
        <tr r="AA8" s="6"/>
      </tp>
      <tp t="e">
        <v>#N/A</v>
        <stp/>
        <stp>BDH|5971193010756028125</stp>
        <tr r="AA25" s="6"/>
      </tp>
      <tp t="e">
        <v>#N/A</v>
        <stp/>
        <stp>BDH|5594151165512509229</stp>
        <tr r="K9" s="6"/>
      </tp>
      <tp t="e">
        <v>#N/A</v>
        <stp/>
        <stp>BDH|7509110611124643111</stp>
        <tr r="C56" s="6"/>
      </tp>
      <tp t="e">
        <v>#N/A</v>
        <stp/>
        <stp>BDH|8984069625270057881</stp>
        <tr r="X35" s="6"/>
        <tr r="X23" s="6"/>
      </tp>
      <tp t="e">
        <v>#N/A</v>
        <stp/>
        <stp>BDH|8916391241065531864</stp>
        <tr r="AJ38" s="6"/>
      </tp>
      <tp t="e">
        <v>#N/A</v>
        <stp/>
        <stp>BDH|1781436752095127754</stp>
        <tr r="AJ31" s="6"/>
      </tp>
      <tp t="e">
        <v>#N/A</v>
        <stp/>
        <stp>BDH|2135129956705621114</stp>
        <tr r="D49" s="6"/>
      </tp>
      <tp t="e">
        <v>#N/A</v>
        <stp/>
        <stp>BDH|8316004696513639018</stp>
        <tr r="AF16" s="6"/>
      </tp>
      <tp t="e">
        <v>#N/A</v>
        <stp/>
        <stp>BDH|5916434619905573745</stp>
        <tr r="AG6" s="6"/>
      </tp>
      <tp t="e">
        <v>#N/A</v>
        <stp/>
        <stp>BDH|2613830545149417571</stp>
        <tr r="F43" s="6"/>
      </tp>
      <tp t="e">
        <v>#N/A</v>
        <stp/>
        <stp>BDH|4672084705061867701</stp>
        <tr r="I54" s="6"/>
      </tp>
      <tp t="e">
        <v>#N/A</v>
        <stp/>
        <stp>BDH|8363436205966382858</stp>
        <tr r="AG13" s="6"/>
      </tp>
      <tp t="e">
        <v>#N/A</v>
        <stp/>
        <stp>BDH|6963069643811902169</stp>
        <tr r="R22" s="6"/>
      </tp>
      <tp t="e">
        <v>#N/A</v>
        <stp/>
        <stp>BDH|7145775136249285821</stp>
        <tr r="F56" s="6"/>
      </tp>
      <tp t="e">
        <v>#N/A</v>
        <stp/>
        <stp>BDH|1712473962246070729</stp>
        <tr r="AM28" s="6"/>
      </tp>
      <tp t="e">
        <v>#N/A</v>
        <stp/>
        <stp>BDH|8939901309321681279</stp>
        <tr r="F12" s="6"/>
      </tp>
      <tp t="e">
        <v>#N/A</v>
        <stp/>
        <stp>BDH|1484117247117384104</stp>
        <tr r="S6" s="6"/>
      </tp>
      <tp t="e">
        <v>#N/A</v>
        <stp/>
        <stp>BDH|7140784012580861324</stp>
        <tr r="C51" s="6"/>
      </tp>
      <tp t="e">
        <v>#N/A</v>
        <stp/>
        <stp>BDH|2159146500129035848</stp>
        <tr r="V21" s="6"/>
      </tp>
      <tp t="e">
        <v>#N/A</v>
        <stp/>
        <stp>BDH|5850219939894381221</stp>
        <tr r="P52" s="6"/>
      </tp>
      <tp t="e">
        <v>#N/A</v>
        <stp/>
        <stp>BDH|3092035610892498262</stp>
        <tr r="O42" s="6"/>
      </tp>
      <tp t="e">
        <v>#N/A</v>
        <stp/>
        <stp>BDH|5924465122992884337</stp>
        <tr r="AF6" s="6"/>
      </tp>
      <tp t="e">
        <v>#N/A</v>
        <stp/>
        <stp>BDH|7910574404323994351</stp>
        <tr r="AF30" s="6"/>
      </tp>
      <tp t="e">
        <v>#N/A</v>
        <stp/>
        <stp>BDH|2421897428783025924</stp>
        <tr r="X7" s="6"/>
      </tp>
      <tp t="e">
        <v>#N/A</v>
        <stp/>
        <stp>BDH|5162048854255256744</stp>
        <tr r="J18" s="6"/>
      </tp>
      <tp t="e">
        <v>#N/A</v>
        <stp/>
        <stp>BDH|3273841061708541764</stp>
        <tr r="W57" s="6"/>
      </tp>
      <tp t="e">
        <v>#N/A</v>
        <stp/>
        <stp>BDH|6547990714754528891</stp>
        <tr r="U20" s="6"/>
      </tp>
      <tp t="e">
        <v>#N/A</v>
        <stp/>
        <stp>BDH|2406258774746915386</stp>
        <tr r="W52" s="6"/>
      </tp>
      <tp t="e">
        <v>#N/A</v>
        <stp/>
        <stp>BDH|6131019024636589059</stp>
        <tr r="F11" s="6"/>
      </tp>
      <tp t="e">
        <v>#N/A</v>
        <stp/>
        <stp>BDH|1379771544490274074</stp>
        <tr r="L13" s="6"/>
      </tp>
      <tp t="e">
        <v>#N/A</v>
        <stp/>
        <stp>BDH|3330300584053036923</stp>
        <tr r="AK57" s="6"/>
      </tp>
      <tp t="e">
        <v>#N/A</v>
        <stp/>
        <stp>BDH|8806846320084054494</stp>
        <tr r="AM44" s="6"/>
      </tp>
      <tp t="e">
        <v>#N/A</v>
        <stp/>
        <stp>BDH|7620619225150117161</stp>
        <tr r="W40" s="6"/>
      </tp>
      <tp t="e">
        <v>#N/A</v>
        <stp/>
        <stp>BDH|47322294732419762</stp>
        <tr r="N15" s="6"/>
      </tp>
      <tp t="e">
        <v>#N/A</v>
        <stp/>
        <stp>BDH|2159642508552715507</stp>
        <tr r="Y14" s="6"/>
      </tp>
      <tp t="e">
        <v>#N/A</v>
        <stp/>
        <stp>BDH|2543977423793996929</stp>
        <tr r="AN11" s="6"/>
      </tp>
      <tp t="e">
        <v>#N/A</v>
        <stp/>
        <stp>BDH|4326437168635721058</stp>
        <tr r="O37" s="6"/>
      </tp>
      <tp t="e">
        <v>#N/A</v>
        <stp/>
        <stp>BDH|1969009946282174440</stp>
        <tr r="C33" s="6"/>
      </tp>
      <tp t="e">
        <v>#N/A</v>
        <stp/>
        <stp>BDH|9343464398864019377</stp>
        <tr r="U17" s="6"/>
      </tp>
      <tp t="e">
        <v>#N/A</v>
        <stp/>
        <stp>BDH|7252390204083017440</stp>
        <tr r="Q8" s="6"/>
      </tp>
      <tp t="e">
        <v>#N/A</v>
        <stp/>
        <stp>BDH|4948124746853740111</stp>
        <tr r="F13" s="6"/>
      </tp>
      <tp t="e">
        <v>#N/A</v>
        <stp/>
        <stp>BDH|5411678445455807166</stp>
        <tr r="AF33" s="6"/>
      </tp>
      <tp t="e">
        <v>#N/A</v>
        <stp/>
        <stp>BDH|1807724573260273220</stp>
        <tr r="V26" s="6"/>
      </tp>
      <tp t="e">
        <v>#N/A</v>
        <stp/>
        <stp>BDH|5307428218585512659</stp>
        <tr r="H44" s="6"/>
      </tp>
      <tp t="e">
        <v>#N/A</v>
        <stp/>
        <stp>BDH|8986813232737699753</stp>
        <tr r="AC8" s="6"/>
      </tp>
      <tp t="e">
        <v>#N/A</v>
        <stp/>
        <stp>BDH|6997666860547262246</stp>
        <tr r="E29" s="6"/>
      </tp>
      <tp t="e">
        <v>#N/A</v>
        <stp/>
        <stp>BDH|7347746642843959453</stp>
        <tr r="AA45" s="6"/>
      </tp>
      <tp t="e">
        <v>#N/A</v>
        <stp/>
        <stp>BDH|6330045348163646273</stp>
        <tr r="U6" s="6"/>
      </tp>
      <tp t="e">
        <v>#N/A</v>
        <stp/>
        <stp>BDH|5714413838112769373</stp>
        <tr r="N31" s="6"/>
      </tp>
      <tp t="e">
        <v>#N/A</v>
        <stp/>
        <stp>BDH|2093092098721820977</stp>
        <tr r="H9" s="6"/>
      </tp>
      <tp t="e">
        <v>#N/A</v>
        <stp/>
        <stp>BDH|3639402228355701378</stp>
        <tr r="AD19" s="6"/>
      </tp>
      <tp t="e">
        <v>#N/A</v>
        <stp/>
        <stp>BDH|3358067968837638153</stp>
        <tr r="AG33" s="6"/>
      </tp>
      <tp t="e">
        <v>#N/A</v>
        <stp/>
        <stp>BDH|2954496748732162360</stp>
        <tr r="AC15" s="6"/>
      </tp>
      <tp t="e">
        <v>#N/A</v>
        <stp/>
        <stp>BDH|6392066512417909319</stp>
        <tr r="AG30" s="6"/>
      </tp>
      <tp t="e">
        <v>#N/A</v>
        <stp/>
        <stp>BDH|4917347575333453035</stp>
        <tr r="D15" s="6"/>
      </tp>
      <tp t="e">
        <v>#N/A</v>
        <stp/>
        <stp>BDH|3294184619365599592</stp>
        <tr r="X45" s="6"/>
      </tp>
      <tp t="e">
        <v>#N/A</v>
        <stp/>
        <stp>BDH|4318807338194327878</stp>
        <tr r="U25" s="6"/>
      </tp>
      <tp t="e">
        <v>#N/A</v>
        <stp/>
        <stp>BDH|8018985221165717520</stp>
        <tr r="R30" s="6"/>
      </tp>
      <tp t="e">
        <v>#N/A</v>
        <stp/>
        <stp>BDH|6872057615110521415</stp>
        <tr r="S22" s="6"/>
      </tp>
      <tp t="e">
        <v>#N/A</v>
        <stp/>
        <stp>BDH|3889342827701339048</stp>
        <tr r="AM19" s="6"/>
      </tp>
      <tp t="e">
        <v>#N/A</v>
        <stp/>
        <stp>BDH|1517345609469266868</stp>
        <tr r="S39" s="6"/>
      </tp>
      <tp t="e">
        <v>#N/A</v>
        <stp/>
        <stp>BDH|4238148211173329497</stp>
        <tr r="H53" s="6"/>
      </tp>
      <tp t="e">
        <v>#N/A</v>
        <stp/>
        <stp>BDH|2886153385270895823</stp>
        <tr r="E31" s="6"/>
      </tp>
      <tp t="e">
        <v>#N/A</v>
        <stp/>
        <stp>BDH|5021420123902384201</stp>
        <tr r="T8" s="6"/>
      </tp>
      <tp t="e">
        <v>#N/A</v>
        <stp/>
        <stp>BDH|8324884758286852096</stp>
        <tr r="J11" s="6"/>
      </tp>
      <tp t="e">
        <v>#N/A</v>
        <stp/>
        <stp>BDH|6757330168266742699</stp>
        <tr r="K8" s="6"/>
      </tp>
      <tp t="e">
        <v>#N/A</v>
        <stp/>
        <stp>BDH|7575836037209403662</stp>
        <tr r="AL38" s="6"/>
      </tp>
      <tp t="e">
        <v>#N/A</v>
        <stp/>
        <stp>BDH|7260337215263762506</stp>
        <tr r="P28" s="6"/>
      </tp>
      <tp t="e">
        <v>#N/A</v>
        <stp/>
        <stp>BDH|5567000054600464365</stp>
        <tr r="Z29" s="6"/>
      </tp>
      <tp t="e">
        <v>#N/A</v>
        <stp/>
        <stp>BDH|6395072953675262569</stp>
        <tr r="S49" s="6"/>
      </tp>
      <tp t="e">
        <v>#N/A</v>
        <stp/>
        <stp>BDH|2058396030941294086</stp>
        <tr r="AN22" s="6"/>
      </tp>
      <tp t="e">
        <v>#N/A</v>
        <stp/>
        <stp>BDH|5707029376574318539</stp>
        <tr r="R57" s="6"/>
      </tp>
      <tp t="e">
        <v>#N/A</v>
        <stp/>
        <stp>BDH|8685274213859520141</stp>
        <tr r="AI42" s="6"/>
      </tp>
      <tp t="e">
        <v>#N/A</v>
        <stp/>
        <stp>BDH|5284144874136024619</stp>
        <tr r="AH28" s="6"/>
      </tp>
      <tp t="e">
        <v>#N/A</v>
        <stp/>
        <stp>BDH|7314105925475690233</stp>
        <tr r="AA49" s="6"/>
      </tp>
      <tp t="e">
        <v>#N/A</v>
        <stp/>
        <stp>BDH|3002479731954004361</stp>
        <tr r="AG53" s="6"/>
      </tp>
      <tp t="e">
        <v>#N/A</v>
        <stp/>
        <stp>BDH|2594431347992912380</stp>
        <tr r="F52" s="6"/>
      </tp>
      <tp t="e">
        <v>#N/A</v>
        <stp/>
        <stp>BDH|2841966764588322697</stp>
        <tr r="AD30" s="6"/>
      </tp>
      <tp t="e">
        <v>#N/A</v>
        <stp/>
        <stp>BDH|4537464065201458422</stp>
        <tr r="L29" s="6"/>
      </tp>
      <tp t="e">
        <v>#N/A</v>
        <stp/>
        <stp>BDH|2977389437508214942</stp>
        <tr r="K17" s="6"/>
      </tp>
      <tp t="e">
        <v>#N/A</v>
        <stp/>
        <stp>BDH|5059939660541610850</stp>
        <tr r="AJ17" s="6"/>
      </tp>
      <tp t="e">
        <v>#N/A</v>
        <stp/>
        <stp>BDH|8373821774616594203</stp>
        <tr r="AB29" s="6"/>
      </tp>
      <tp t="e">
        <v>#N/A</v>
        <stp/>
        <stp>BDH|8464078296220125242</stp>
        <tr r="J19" s="6"/>
      </tp>
      <tp t="e">
        <v>#N/A</v>
        <stp/>
        <stp>BDH|3037089939714350733</stp>
        <tr r="S29" s="6"/>
      </tp>
      <tp t="e">
        <v>#N/A</v>
        <stp/>
        <stp>BDH|3183322935885728571</stp>
        <tr r="AK10" s="6"/>
      </tp>
      <tp t="e">
        <v>#N/A</v>
        <stp/>
        <stp>BDH|6936211272906915659</stp>
        <tr r="Z25" s="6"/>
      </tp>
      <tp t="e">
        <v>#N/A</v>
        <stp/>
        <stp>BDH|4729306308873885711</stp>
        <tr r="AB42" s="6"/>
      </tp>
      <tp t="e">
        <v>#N/A</v>
        <stp/>
        <stp>BDH|3585759160547493629</stp>
        <tr r="S8" s="6"/>
      </tp>
      <tp t="e">
        <v>#N/A</v>
        <stp/>
        <stp>BDH|4860853483822965512</stp>
        <tr r="AG57" s="6"/>
      </tp>
      <tp t="e">
        <v>#N/A</v>
        <stp/>
        <stp>BDH|7332552170990787664</stp>
        <tr r="X11" s="6"/>
      </tp>
      <tp t="e">
        <v>#N/A</v>
        <stp/>
        <stp>BDH|5850996363421483817</stp>
        <tr r="P17" s="6"/>
      </tp>
      <tp t="e">
        <v>#N/A</v>
        <stp/>
        <stp>BDH|6345074223540466749</stp>
        <tr r="N43" s="6"/>
      </tp>
      <tp t="e">
        <v>#N/A</v>
        <stp/>
        <stp>BDH|3778734968215860400</stp>
        <tr r="W30" s="6"/>
      </tp>
      <tp t="e">
        <v>#N/A</v>
        <stp/>
        <stp>BDH|2104208212626113461</stp>
        <tr r="AM18" s="6"/>
      </tp>
      <tp t="e">
        <v>#N/A</v>
        <stp/>
        <stp>BDH|3532956952925200942</stp>
        <tr r="O12" s="6"/>
      </tp>
      <tp t="e">
        <v>#N/A</v>
        <stp/>
        <stp>BDH|7991391465277017608</stp>
        <tr r="Z38" s="6"/>
      </tp>
      <tp t="e">
        <v>#N/A</v>
        <stp/>
        <stp>BDH|3599184008783010208</stp>
        <tr r="P34" s="6"/>
      </tp>
      <tp t="e">
        <v>#N/A</v>
        <stp/>
        <stp>BDH|3526911123432326919</stp>
        <tr r="AF39" s="6"/>
      </tp>
      <tp t="e">
        <v>#N/A</v>
        <stp/>
        <stp>BDH|31854873297801682</stp>
        <tr r="V44" s="6"/>
      </tp>
      <tp t="e">
        <v>#N/A</v>
        <stp/>
        <stp>BDH|435055602061882458</stp>
        <tr r="AA26" s="6"/>
      </tp>
      <tp t="e">
        <v>#N/A</v>
        <stp/>
        <stp>BDH|433645392122291886</stp>
        <tr r="AA40" s="6"/>
      </tp>
      <tp t="e">
        <v>#N/A</v>
        <stp/>
        <stp>BDH|322497602256516755</stp>
        <tr r="E19" s="6"/>
      </tp>
      <tp t="e">
        <v>#N/A</v>
        <stp/>
        <stp>BDH|359631443031142669</stp>
        <tr r="I30" s="6"/>
      </tp>
      <tp t="e">
        <v>#N/A</v>
        <stp/>
        <stp>BDH|286810169509859278</stp>
        <tr r="AG8" s="6"/>
      </tp>
      <tp t="e">
        <v>#N/A</v>
        <stp/>
        <stp>BDH|542557480538111063</stp>
        <tr r="Q20" s="6"/>
      </tp>
      <tp t="e">
        <v>#N/A</v>
        <stp/>
        <stp>BDH|473025604604896066</stp>
        <tr r="T39" s="6"/>
      </tp>
      <tp t="e">
        <v>#N/A</v>
        <stp/>
        <stp>BDH|833486204995095585</stp>
        <tr r="E22" s="6"/>
      </tp>
      <tp t="e">
        <v>#N/A</v>
        <stp/>
        <stp>BDH|961026277903676047</stp>
        <tr r="S55" s="6"/>
      </tp>
      <tp t="e">
        <v>#N/A</v>
        <stp/>
        <stp>BDH|323910729897710836</stp>
        <tr r="N25" s="6"/>
      </tp>
      <tp t="e">
        <v>#N/A</v>
        <stp/>
        <stp>BDH|949302277586107600</stp>
        <tr r="AE45" s="6"/>
      </tp>
      <tp t="e">
        <v>#N/A</v>
        <stp/>
        <stp>BDH|300409617619816867</stp>
        <tr r="AD21" s="6"/>
      </tp>
      <tp t="e">
        <v>#N/A</v>
        <stp/>
        <stp>BDH|908258899706019901</stp>
        <tr r="AC49" s="6"/>
      </tp>
      <tp t="e">
        <v>#N/A</v>
        <stp/>
        <stp>BDH|762231795946709912</stp>
        <tr r="L56" s="6"/>
      </tp>
      <tp t="e">
        <v>#N/A</v>
        <stp/>
        <stp>BDH|966511447270914546</stp>
        <tr r="Q23" s="6"/>
        <tr r="Q35" s="6"/>
      </tp>
      <tp t="e">
        <v>#N/A</v>
        <stp/>
        <stp>BDH|859386396824819901</stp>
        <tr r="AH39" s="6"/>
      </tp>
      <tp t="e">
        <v>#N/A</v>
        <stp/>
        <stp>BDH|702894664491391862</stp>
        <tr r="AG44" s="6"/>
      </tp>
      <tp t="e">
        <v>#N/A</v>
        <stp/>
        <stp>BDH|930673587689747016</stp>
        <tr r="AM52" s="6"/>
      </tp>
      <tp t="e">
        <v>#N/A</v>
        <stp/>
        <stp>BDH|377750170464441383</stp>
        <tr r="O28" s="6"/>
      </tp>
      <tp t="e">
        <v>#N/A</v>
        <stp/>
        <stp>BDH|590394120400452777</stp>
        <tr r="H51" s="6"/>
      </tp>
      <tp t="e">
        <v>#N/A</v>
        <stp/>
        <stp>BDH|170770687709934020</stp>
        <tr r="AC13" s="6"/>
      </tp>
      <tp t="e">
        <v>#N/A</v>
        <stp/>
        <stp>BDH|555119891016499841</stp>
        <tr r="AH50" s="6"/>
      </tp>
      <tp t="e">
        <v>#N/A</v>
        <stp/>
        <stp>BDH|409003303483188569</stp>
        <tr r="C53" s="6"/>
      </tp>
      <tp t="e">
        <v>#N/A</v>
        <stp/>
        <stp>BDH|569349978890039285</stp>
        <tr r="AK55" s="6"/>
      </tp>
      <tp t="e">
        <v>#N/A</v>
        <stp/>
        <stp>BDH|945541761156548385</stp>
        <tr r="AG18" s="6"/>
      </tp>
      <tp t="e">
        <v>#N/A</v>
        <stp/>
        <stp>BDH|896583448126746626</stp>
        <tr r="U43" s="6"/>
      </tp>
      <tp t="e">
        <v>#N/A</v>
        <stp/>
        <stp>BDH|594584039875972228</stp>
        <tr r="AF19" s="6"/>
      </tp>
      <tp t="e">
        <v>#N/A</v>
        <stp/>
        <stp>BDH|275314200137911555</stp>
        <tr r="H25" s="6"/>
      </tp>
      <tp t="e">
        <v>#N/A</v>
        <stp/>
        <stp>BDH|179102367233163530</stp>
        <tr r="G42" s="6"/>
      </tp>
      <tp t="e">
        <v>#N/A</v>
        <stp/>
        <stp>BDH|681920184002465229</stp>
        <tr r="AL33" s="6"/>
      </tp>
      <tp t="e">
        <v>#N/A</v>
        <stp/>
        <stp>BDH|772822053554733806</stp>
        <tr r="G56" s="6"/>
      </tp>
      <tp t="e">
        <v>#N/A</v>
        <stp/>
        <stp>BDH|289580461932565125</stp>
        <tr r="X25" s="6"/>
      </tp>
      <tp t="e">
        <v>#N/A</v>
        <stp/>
        <stp>BDH|586479835196874102</stp>
        <tr r="AN53" s="6"/>
      </tp>
      <tp t="e">
        <v>#N/A</v>
        <stp/>
        <stp>BDH|772195267441359617</stp>
        <tr r="M21" s="6"/>
      </tp>
      <tp t="e">
        <v>#N/A</v>
        <stp/>
        <stp>BDH|711991532223810911</stp>
        <tr r="P23" s="6"/>
        <tr r="P35" s="6"/>
      </tp>
      <tp t="e">
        <v>#N/A</v>
        <stp/>
        <stp>BDH|202604770716136731</stp>
        <tr r="P8" s="6"/>
      </tp>
      <tp t="e">
        <v>#N/A</v>
        <stp/>
        <stp>BDH|903689800566829311</stp>
        <tr r="AM9" s="6"/>
      </tp>
      <tp t="e">
        <v>#N/A</v>
        <stp/>
        <stp>BDH|440513380726894891</stp>
        <tr r="AD27" s="6"/>
      </tp>
      <tp t="e">
        <v>#N/A</v>
        <stp/>
        <stp>BDH|513836507538099314</stp>
        <tr r="AJ51" s="6"/>
      </tp>
      <tp t="e">
        <v>#N/A</v>
        <stp/>
        <stp>BDH|279420777780948126</stp>
        <tr r="AA52" s="6"/>
      </tp>
      <tp t="e">
        <v>#N/A</v>
        <stp/>
        <stp>BDH|630587323910665538</stp>
        <tr r="E9" s="6"/>
      </tp>
      <tp t="e">
        <v>#N/A</v>
        <stp/>
        <stp>BDH|985704754172372242</stp>
        <tr r="W29" s="6"/>
      </tp>
      <tp t="e">
        <v>#N/A</v>
        <stp/>
        <stp>BDH|867360196789189134</stp>
        <tr r="AI30" s="6"/>
      </tp>
      <tp t="e">
        <v>#N/A</v>
        <stp/>
        <stp>BDH|391547103335685299</stp>
        <tr r="J49" s="6"/>
      </tp>
      <tp t="e">
        <v>#N/A</v>
        <stp/>
        <stp>BDH|156640483945265685</stp>
        <tr r="K51" s="6"/>
      </tp>
      <tp t="e">
        <v>#N/A</v>
        <stp/>
        <stp>BDH|235620263819433439</stp>
        <tr r="AG23" s="6"/>
        <tr r="AG35" s="6"/>
      </tp>
      <tp t="e">
        <v>#N/A</v>
        <stp/>
        <stp>BDH|638811033034512240</stp>
        <tr r="L21" s="6"/>
      </tp>
      <tp t="e">
        <v>#N/A</v>
        <stp/>
        <stp>BDH|833334122944596896</stp>
        <tr r="X20" s="6"/>
      </tp>
      <tp t="e">
        <v>#N/A</v>
        <stp/>
        <stp>BDH|330848461994183705</stp>
        <tr r="L52" s="6"/>
      </tp>
      <tp t="e">
        <v>#N/A</v>
        <stp/>
        <stp>BDH|496236113268465608</stp>
        <tr r="W6" s="6"/>
      </tp>
      <tp t="e">
        <v>#N/A</v>
        <stp/>
        <stp>BDH|338013487332392773</stp>
        <tr r="S42" s="6"/>
      </tp>
      <tp t="e">
        <v>#N/A</v>
        <stp/>
        <stp>BDH|952826178551917269</stp>
        <tr r="E35" s="6"/>
        <tr r="E23" s="6"/>
      </tp>
      <tp t="e">
        <v>#N/A</v>
        <stp/>
        <stp>BDH|237302326729783486</stp>
        <tr r="T7" s="6"/>
      </tp>
      <tp t="e">
        <v>#N/A</v>
        <stp/>
        <stp>BDH|562160105075699871</stp>
        <tr r="K42" s="6"/>
      </tp>
      <tp t="e">
        <v>#N/A</v>
        <stp/>
        <stp>BDH|139388267530761992</stp>
        <tr r="S54" s="6"/>
      </tp>
      <tp t="e">
        <v>#N/A</v>
        <stp/>
        <stp>BDH|382987382219249737</stp>
        <tr r="T21" s="6"/>
      </tp>
      <tp t="e">
        <v>#N/A</v>
        <stp/>
        <stp>BDH|824860298698826680</stp>
        <tr r="I11" s="6"/>
      </tp>
      <tp t="e">
        <v>#N/A</v>
        <stp/>
        <stp>BDH|976421191136748523</stp>
        <tr r="E33" s="6"/>
      </tp>
      <tp t="e">
        <v>#N/A</v>
        <stp/>
        <stp>BDH|623213465319990333</stp>
        <tr r="AJ44" s="6"/>
      </tp>
      <tp t="e">
        <v>#N/A</v>
        <stp/>
        <stp>BDH|277253103948914497</stp>
        <tr r="T52" s="6"/>
      </tp>
      <tp t="e">
        <v>#N/A</v>
        <stp/>
        <stp>BDH|706451283132202058</stp>
        <tr r="R44" s="6"/>
      </tp>
      <tp t="e">
        <v>#N/A</v>
        <stp/>
        <stp>BDH|653235141028181074</stp>
        <tr r="Q28" s="6"/>
      </tp>
      <tp t="e">
        <v>#N/A</v>
        <stp/>
        <stp>BDH|599043714057218847</stp>
        <tr r="AN27" s="6"/>
      </tp>
      <tp t="e">
        <v>#N/A</v>
        <stp/>
        <stp>BDH|872526132776566908</stp>
        <tr r="X6" s="6"/>
      </tp>
      <tp t="e">
        <v>#N/A</v>
        <stp/>
        <stp>BDH|200682229249365481</stp>
        <tr r="I26" s="6"/>
      </tp>
      <tp t="e">
        <v>#N/A</v>
        <stp/>
        <stp>BDH|499870450650284447</stp>
        <tr r="AE29" s="6"/>
      </tp>
      <tp t="e">
        <v>#N/A</v>
        <stp/>
        <stp>BDH|564818304938034951</stp>
        <tr r="H55" s="6"/>
      </tp>
      <tp t="e">
        <v>#N/A</v>
        <stp/>
        <stp>BDH|620264242339059639</stp>
        <tr r="AN19" s="6"/>
      </tp>
      <tp t="e">
        <v>#N/A</v>
        <stp/>
        <stp>BDH|380480502994284984</stp>
        <tr r="F14" s="6"/>
      </tp>
      <tp t="e">
        <v>#N/A</v>
        <stp/>
        <stp>BDH|753282432491071825</stp>
        <tr r="AJ13" s="6"/>
      </tp>
      <tp t="e">
        <v>#N/A</v>
        <stp/>
        <stp>BDH|967177577718328636</stp>
        <tr r="U13" s="6"/>
      </tp>
      <tp t="e">
        <v>#N/A</v>
        <stp/>
        <stp>BDH|797570991067236359</stp>
        <tr r="F6" s="6"/>
      </tp>
      <tp t="e">
        <v>#N/A</v>
        <stp/>
        <stp>BDH|956784050012539832</stp>
        <tr r="AH12" s="6"/>
      </tp>
      <tp t="e">
        <v>#N/A</v>
        <stp/>
        <stp>BDH|313106423598352332</stp>
        <tr r="U51" s="6"/>
      </tp>
      <tp t="e">
        <v>#N/A</v>
        <stp/>
        <stp>BDH|102537005914306973</stp>
        <tr r="D45" s="6"/>
      </tp>
      <tp t="e">
        <v>#N/A</v>
        <stp/>
        <stp>BDH|853292982962993310</stp>
        <tr r="AL55" s="6"/>
      </tp>
      <tp t="e">
        <v>#N/A</v>
        <stp/>
        <stp>BDH|842172748428125620</stp>
        <tr r="AM40" s="6"/>
      </tp>
      <tp t="e">
        <v>#N/A</v>
        <stp/>
        <stp>BDH|585095479615353881</stp>
        <tr r="V12" s="6"/>
      </tp>
      <tp t="e">
        <v>#N/A</v>
        <stp/>
        <stp>BDH|572013018919755295</stp>
        <tr r="O27" s="6"/>
      </tp>
      <tp t="e">
        <v>#N/A</v>
        <stp/>
        <stp>BDH|946215737622555980</stp>
        <tr r="N20" s="6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volatileDependencies" Target="volatileDependencies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00E3CE-1D14-428F-AF2D-DAEEB71E4F5A}">
  <dimension ref="A1:AP59"/>
  <sheetViews>
    <sheetView tabSelected="1" workbookViewId="0">
      <selection activeCell="D7" sqref="D7"/>
    </sheetView>
  </sheetViews>
  <sheetFormatPr defaultRowHeight="15" x14ac:dyDescent="0.25"/>
  <cols>
    <col min="1" max="1" width="35.140625" customWidth="1"/>
    <col min="2" max="2" width="0" hidden="1" customWidth="1"/>
    <col min="3" max="3" width="10.42578125" customWidth="1"/>
    <col min="4" max="42" width="11.85546875" customWidth="1"/>
  </cols>
  <sheetData>
    <row r="1" spans="1:42" x14ac:dyDescent="0.25">
      <c r="A1" s="3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</row>
    <row r="2" spans="1:42" ht="20.25" x14ac:dyDescent="0.25">
      <c r="A2" s="4" t="s">
        <v>17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</row>
    <row r="3" spans="1:42" x14ac:dyDescent="0.25">
      <c r="A3" s="5"/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5"/>
      <c r="AK3" s="5"/>
      <c r="AL3" s="5"/>
      <c r="AM3" s="5"/>
      <c r="AN3" s="5"/>
      <c r="AO3" s="5"/>
      <c r="AP3" s="5"/>
    </row>
    <row r="4" spans="1:42" x14ac:dyDescent="0.25">
      <c r="A4" s="6" t="s">
        <v>18</v>
      </c>
      <c r="B4" s="6"/>
      <c r="C4" s="7" t="s">
        <v>19</v>
      </c>
      <c r="D4" s="7" t="s">
        <v>20</v>
      </c>
      <c r="E4" s="7" t="s">
        <v>21</v>
      </c>
      <c r="F4" s="7" t="s">
        <v>22</v>
      </c>
      <c r="G4" s="7" t="s">
        <v>23</v>
      </c>
      <c r="H4" s="7" t="s">
        <v>24</v>
      </c>
      <c r="I4" s="7" t="s">
        <v>25</v>
      </c>
      <c r="J4" s="7" t="s">
        <v>26</v>
      </c>
      <c r="K4" s="7" t="s">
        <v>27</v>
      </c>
      <c r="L4" s="7" t="s">
        <v>28</v>
      </c>
      <c r="M4" s="7" t="s">
        <v>29</v>
      </c>
      <c r="N4" s="7" t="s">
        <v>30</v>
      </c>
      <c r="O4" s="7" t="s">
        <v>31</v>
      </c>
      <c r="P4" s="7" t="s">
        <v>32</v>
      </c>
      <c r="Q4" s="7" t="s">
        <v>33</v>
      </c>
      <c r="R4" s="7" t="s">
        <v>34</v>
      </c>
      <c r="S4" s="7" t="s">
        <v>35</v>
      </c>
      <c r="T4" s="7" t="s">
        <v>36</v>
      </c>
      <c r="U4" s="7" t="s">
        <v>37</v>
      </c>
      <c r="V4" s="7" t="s">
        <v>38</v>
      </c>
      <c r="W4" s="7" t="s">
        <v>39</v>
      </c>
      <c r="X4" s="7" t="s">
        <v>40</v>
      </c>
      <c r="Y4" s="7" t="s">
        <v>41</v>
      </c>
      <c r="Z4" s="7" t="s">
        <v>42</v>
      </c>
      <c r="AA4" s="7" t="s">
        <v>43</v>
      </c>
      <c r="AB4" s="7" t="s">
        <v>44</v>
      </c>
      <c r="AC4" s="7" t="s">
        <v>45</v>
      </c>
      <c r="AD4" s="7" t="s">
        <v>46</v>
      </c>
      <c r="AE4" s="7" t="s">
        <v>47</v>
      </c>
      <c r="AF4" s="7" t="s">
        <v>48</v>
      </c>
      <c r="AG4" s="7" t="s">
        <v>49</v>
      </c>
      <c r="AH4" s="7" t="s">
        <v>50</v>
      </c>
      <c r="AI4" s="7" t="s">
        <v>51</v>
      </c>
      <c r="AJ4" s="7" t="s">
        <v>52</v>
      </c>
      <c r="AK4" s="7" t="s">
        <v>53</v>
      </c>
      <c r="AL4" s="7" t="s">
        <v>54</v>
      </c>
      <c r="AM4" s="7" t="s">
        <v>55</v>
      </c>
      <c r="AN4" s="7" t="s">
        <v>56</v>
      </c>
      <c r="AO4" s="7" t="s">
        <v>57</v>
      </c>
      <c r="AP4" s="7" t="s">
        <v>58</v>
      </c>
    </row>
    <row r="5" spans="1:42" x14ac:dyDescent="0.25">
      <c r="A5" s="8" t="s">
        <v>59</v>
      </c>
      <c r="B5" s="8"/>
      <c r="C5" s="9" t="s">
        <v>60</v>
      </c>
      <c r="D5" s="9" t="s">
        <v>61</v>
      </c>
      <c r="E5" s="9" t="s">
        <v>62</v>
      </c>
      <c r="F5" s="9" t="s">
        <v>63</v>
      </c>
      <c r="G5" s="9" t="s">
        <v>64</v>
      </c>
      <c r="H5" s="9" t="s">
        <v>65</v>
      </c>
      <c r="I5" s="9" t="s">
        <v>66</v>
      </c>
      <c r="J5" s="9" t="s">
        <v>67</v>
      </c>
      <c r="K5" s="9" t="s">
        <v>68</v>
      </c>
      <c r="L5" s="9" t="s">
        <v>69</v>
      </c>
      <c r="M5" s="9" t="s">
        <v>70</v>
      </c>
      <c r="N5" s="9" t="s">
        <v>71</v>
      </c>
      <c r="O5" s="9" t="s">
        <v>72</v>
      </c>
      <c r="P5" s="9" t="s">
        <v>73</v>
      </c>
      <c r="Q5" s="9" t="s">
        <v>74</v>
      </c>
      <c r="R5" s="9" t="s">
        <v>75</v>
      </c>
      <c r="S5" s="9" t="s">
        <v>76</v>
      </c>
      <c r="T5" s="9" t="s">
        <v>77</v>
      </c>
      <c r="U5" s="9" t="s">
        <v>78</v>
      </c>
      <c r="V5" s="9" t="s">
        <v>79</v>
      </c>
      <c r="W5" s="9" t="s">
        <v>80</v>
      </c>
      <c r="X5" s="9" t="s">
        <v>81</v>
      </c>
      <c r="Y5" s="9" t="s">
        <v>82</v>
      </c>
      <c r="Z5" s="9" t="s">
        <v>83</v>
      </c>
      <c r="AA5" s="9" t="s">
        <v>84</v>
      </c>
      <c r="AB5" s="9" t="s">
        <v>85</v>
      </c>
      <c r="AC5" s="9" t="s">
        <v>86</v>
      </c>
      <c r="AD5" s="9" t="s">
        <v>87</v>
      </c>
      <c r="AE5" s="9" t="s">
        <v>88</v>
      </c>
      <c r="AF5" s="9" t="s">
        <v>89</v>
      </c>
      <c r="AG5" s="9" t="s">
        <v>90</v>
      </c>
      <c r="AH5" s="9" t="s">
        <v>91</v>
      </c>
      <c r="AI5" s="9" t="s">
        <v>92</v>
      </c>
      <c r="AJ5" s="9" t="s">
        <v>93</v>
      </c>
      <c r="AK5" s="9" t="s">
        <v>94</v>
      </c>
      <c r="AL5" s="9" t="s">
        <v>95</v>
      </c>
      <c r="AM5" s="9" t="s">
        <v>96</v>
      </c>
      <c r="AN5" s="9" t="s">
        <v>97</v>
      </c>
      <c r="AO5" s="9" t="s">
        <v>98</v>
      </c>
      <c r="AP5" s="9" t="s">
        <v>99</v>
      </c>
    </row>
    <row r="6" spans="1:42" x14ac:dyDescent="0.25">
      <c r="A6" s="10" t="s">
        <v>100</v>
      </c>
      <c r="B6" s="10" t="s">
        <v>101</v>
      </c>
      <c r="C6" s="11">
        <f>_xll.BDH("INDIGO IN Equity","SALES_REV_TURN","FQ4 2017","FQ4 2017","Currency=INR","Period=FQ","BEST_FPERIOD_OVERRIDE=FQ","FILING_STATUS=MR","EQY_CONSOLIDATED=N","SCALING_FORMAT=MLN","FA_ADJUSTED=GAAP","Sort=A","Dates=H","DateFormat=P","Fill=—","Direction=H","UseDPDF=Y")</f>
        <v>48482.19</v>
      </c>
      <c r="D6" s="11">
        <f>_xll.BDH("INDIGO IN Equity","SALES_REV_TURN","FQ1 2018","FQ1 2018","Currency=INR","Period=FQ","BEST_FPERIOD_OVERRIDE=FQ","FILING_STATUS=MR","EQY_CONSOLIDATED=N","SCALING_FORMAT=MLN","FA_ADJUSTED=GAAP","Sort=A","Dates=H","DateFormat=P","Fill=—","Direction=H","UseDPDF=Y")</f>
        <v>57529.120000000003</v>
      </c>
      <c r="E6" s="11">
        <f>_xll.BDH("INDIGO IN Equity","SALES_REV_TURN","FQ2 2018","FQ2 2018","Currency=INR","Period=FQ","BEST_FPERIOD_OVERRIDE=FQ","FILING_STATUS=MR","EQY_CONSOLIDATED=N","SCALING_FORMAT=MLN","FA_ADJUSTED=GAAP","Sort=A","Dates=H","DateFormat=P","Fill=—","Direction=H","UseDPDF=Y")</f>
        <v>52909.8</v>
      </c>
      <c r="F6" s="11">
        <f>_xll.BDH("INDIGO IN Equity","SALES_REV_TURN","FQ3 2018","FQ3 2018","Currency=INR","Period=FQ","BEST_FPERIOD_OVERRIDE=FQ","FILING_STATUS=MR","EQY_CONSOLIDATED=N","SCALING_FORMAT=MLN","FA_ADJUSTED=GAAP","Sort=A","Dates=H","DateFormat=P","Fill=—","Direction=H","UseDPDF=Y")</f>
        <v>61778.82</v>
      </c>
      <c r="G6" s="11">
        <f>_xll.BDH("INDIGO IN Equity","SALES_REV_TURN","FQ4 2018","FQ4 2018","Currency=INR","Period=FQ","BEST_FPERIOD_OVERRIDE=FQ","FILING_STATUS=MR","EQY_CONSOLIDATED=N","SCALING_FORMAT=MLN","FA_ADJUSTED=GAAP","Sort=A","Dates=H","DateFormat=P","Fill=—","Direction=H","UseDPDF=Y")</f>
        <v>57991.13</v>
      </c>
      <c r="H6" s="11">
        <f>_xll.BDH("INDIGO IN Equity","SALES_REV_TURN","FQ1 2019","FQ1 2019","Currency=INR","Period=FQ","BEST_FPERIOD_OVERRIDE=FQ","FILING_STATUS=MR","EQY_CONSOLIDATED=N","SCALING_FORMAT=MLN","FA_ADJUSTED=GAAP","Sort=A","Dates=H","DateFormat=P","Fill=—","Direction=H","UseDPDF=Y")</f>
        <v>65119.74</v>
      </c>
      <c r="I6" s="11">
        <f>_xll.BDH("INDIGO IN Equity","SALES_REV_TURN","FQ2 2019","FQ2 2019","Currency=INR","Period=FQ","BEST_FPERIOD_OVERRIDE=FQ","FILING_STATUS=MR","EQY_CONSOLIDATED=N","SCALING_FORMAT=MLN","FA_ADJUSTED=GAAP","Sort=A","Dates=H","DateFormat=P","Fill=—","Direction=H","UseDPDF=Y")</f>
        <v>61853.120000000003</v>
      </c>
      <c r="J6" s="11">
        <f>_xll.BDH("INDIGO IN Equity","SALES_REV_TURN","FQ3 2019","FQ3 2019","Currency=INR","Period=FQ","BEST_FPERIOD_OVERRIDE=FQ","FILING_STATUS=MR","EQY_CONSOLIDATED=N","SCALING_FORMAT=MLN","FA_ADJUSTED=GAAP","Sort=A","Dates=H","DateFormat=P","Fill=—","Direction=H","UseDPDF=Y")</f>
        <v>79162.210000000006</v>
      </c>
      <c r="K6" s="11">
        <f>_xll.BDH("INDIGO IN Equity","SALES_REV_TURN","FQ4 2019","FQ4 2019","Currency=INR","Period=FQ","BEST_FPERIOD_OVERRIDE=FQ","FILING_STATUS=MR","EQY_CONSOLIDATED=N","SCALING_FORMAT=MLN","FA_ADJUSTED=GAAP","Sort=A","Dates=H","DateFormat=P","Fill=—","Direction=H","UseDPDF=Y")</f>
        <v>78832.649999999994</v>
      </c>
      <c r="L6" s="11">
        <f>_xll.BDH("INDIGO IN Equity","SALES_REV_TURN","FQ1 2020","FQ1 2020","Currency=INR","Period=FQ","BEST_FPERIOD_OVERRIDE=FQ","FILING_STATUS=MR","EQY_CONSOLIDATED=N","SCALING_FORMAT=MLN","FA_ADJUSTED=GAAP","Sort=A","Dates=H","DateFormat=P","Fill=—","Direction=H","UseDPDF=Y")</f>
        <v>94200.61</v>
      </c>
      <c r="M6" s="11">
        <f>_xll.BDH("INDIGO IN Equity","SALES_REV_TURN","FQ2 2020","FQ2 2020","Currency=INR","Period=FQ","BEST_FPERIOD_OVERRIDE=FQ","FILING_STATUS=MR","EQY_CONSOLIDATED=N","SCALING_FORMAT=MLN","FA_ADJUSTED=GAAP","Sort=A","Dates=H","DateFormat=P","Fill=—","Direction=H","UseDPDF=Y")</f>
        <v>81051.94</v>
      </c>
      <c r="N6" s="11">
        <f>_xll.BDH("INDIGO IN Equity","SALES_REV_TURN","FQ3 2020","FQ3 2020","Currency=INR","Period=FQ","BEST_FPERIOD_OVERRIDE=FQ","FILING_STATUS=MR","EQY_CONSOLIDATED=N","SCALING_FORMAT=MLN","FA_ADJUSTED=GAAP","Sort=A","Dates=H","DateFormat=P","Fill=—","Direction=H","UseDPDF=Y")</f>
        <v>99316.88</v>
      </c>
      <c r="O6" s="11">
        <f>_xll.BDH("INDIGO IN Equity","SALES_REV_TURN","FQ4 2020","FQ4 2020","Currency=INR","Period=FQ","BEST_FPERIOD_OVERRIDE=FQ","FILING_STATUS=MR","EQY_CONSOLIDATED=N","SCALING_FORMAT=MLN","FA_ADJUSTED=GAAP","Sort=A","Dates=H","DateFormat=P","Fill=—","Direction=H","UseDPDF=Y")</f>
        <v>82990.58</v>
      </c>
      <c r="P6" s="11">
        <f>_xll.BDH("INDIGO IN Equity","SALES_REV_TURN","FQ1 2021","FQ1 2021","Currency=INR","Period=FQ","BEST_FPERIOD_OVERRIDE=FQ","FILING_STATUS=MR","EQY_CONSOLIDATED=N","SCALING_FORMAT=MLN","FA_ADJUSTED=GAAP","Sort=A","Dates=H","DateFormat=P","Fill=—","Direction=H","UseDPDF=Y")</f>
        <v>7667.38</v>
      </c>
      <c r="Q6" s="11">
        <f>_xll.BDH("INDIGO IN Equity","SALES_REV_TURN","FQ2 2021","FQ2 2021","Currency=INR","Period=FQ","BEST_FPERIOD_OVERRIDE=FQ","FILING_STATUS=MR","EQY_CONSOLIDATED=N","SCALING_FORMAT=MLN","FA_ADJUSTED=GAAP","Sort=A","Dates=H","DateFormat=P","Fill=—","Direction=H","UseDPDF=Y")</f>
        <v>27409.62</v>
      </c>
      <c r="R6" s="11">
        <f>_xll.BDH("INDIGO IN Equity","SALES_REV_TURN","FQ3 2021","FQ3 2021","Currency=INR","Period=FQ","BEST_FPERIOD_OVERRIDE=FQ","FILING_STATUS=MR","EQY_CONSOLIDATED=N","SCALING_FORMAT=MLN","FA_ADJUSTED=GAAP","Sort=A","Dates=H","DateFormat=P","Fill=—","Direction=H","UseDPDF=Y")</f>
        <v>49099.82</v>
      </c>
      <c r="S6" s="11">
        <f>_xll.BDH("INDIGO IN Equity","SALES_REV_TURN","FQ4 2021","FQ4 2021","Currency=INR","Period=FQ","BEST_FPERIOD_OVERRIDE=FQ","FILING_STATUS=MR","EQY_CONSOLIDATED=N","SCALING_FORMAT=MLN","FA_ADJUSTED=GAAP","Sort=A","Dates=H","DateFormat=P","Fill=—","Direction=H","UseDPDF=Y")</f>
        <v>62229.49</v>
      </c>
      <c r="T6" s="11">
        <f>_xll.BDH("INDIGO IN Equity","SALES_REV_TURN","FQ1 2022","FQ1 2022","Currency=INR","Period=FQ","BEST_FPERIOD_OVERRIDE=FQ","FILING_STATUS=MR","EQY_CONSOLIDATED=N","SCALING_FORMAT=MLN","FA_ADJUSTED=GAAP","Sort=A","Dates=H","DateFormat=P","Fill=—","Direction=H","UseDPDF=Y")</f>
        <v>30069.13</v>
      </c>
      <c r="U6" s="11">
        <f>_xll.BDH("INDIGO IN Equity","SALES_REV_TURN","FQ2 2022","FQ2 2022","Currency=INR","Period=FQ","BEST_FPERIOD_OVERRIDE=FQ","FILING_STATUS=MR","EQY_CONSOLIDATED=N","SCALING_FORMAT=MLN","FA_ADJUSTED=GAAP","Sort=A","Dates=H","DateFormat=P","Fill=—","Direction=H","UseDPDF=Y")</f>
        <v>56084.98</v>
      </c>
      <c r="V6" s="11">
        <f>_xll.BDH("INDIGO IN Equity","SALES_REV_TURN","FQ3 2022","FQ3 2022","Currency=INR","Period=FQ","BEST_FPERIOD_OVERRIDE=FQ","FILING_STATUS=MR","EQY_CONSOLIDATED=N","SCALING_FORMAT=MLN","FA_ADJUSTED=GAAP","Sort=A","Dates=H","DateFormat=P","Fill=—","Direction=H","UseDPDF=Y")</f>
        <v>92947.69</v>
      </c>
      <c r="W6" s="11">
        <f>_xll.BDH("INDIGO IN Equity","SALES_REV_TURN","FQ4 2022","FQ4 2022","Currency=INR","Period=FQ","BEST_FPERIOD_OVERRIDE=FQ","FILING_STATUS=MR","EQY_CONSOLIDATED=N","SCALING_FORMAT=MLN","FA_ADJUSTED=GAAP","Sort=A","Dates=H","DateFormat=P","Fill=—","Direction=H","UseDPDF=Y")</f>
        <v>80207.47</v>
      </c>
      <c r="X6" s="11">
        <f>_xll.BDH("INDIGO IN Equity","SALES_REV_TURN","FQ1 2023","FQ1 2023","Currency=INR","Period=FQ","BEST_FPERIOD_OVERRIDE=FQ","FILING_STATUS=MR","EQY_CONSOLIDATED=N","SCALING_FORMAT=MLN","FA_ADJUSTED=GAAP","Sort=A","Dates=H","DateFormat=P","Fill=—","Direction=H","UseDPDF=Y")</f>
        <v>128552.94</v>
      </c>
      <c r="Y6" s="11">
        <f>_xll.BDH("INDIGO IN Equity","SALES_REV_TURN","FQ2 2023","FQ2 2023","Currency=INR","Period=FQ","BEST_FPERIOD_OVERRIDE=FQ","FILING_STATUS=MR","EQY_CONSOLIDATED=N","SCALING_FORMAT=MLN","FA_ADJUSTED=GAAP","Sort=A","Dates=H","DateFormat=P","Fill=—","Direction=H","UseDPDF=Y")</f>
        <v>124975.87</v>
      </c>
      <c r="Z6" s="11">
        <f>_xll.BDH("INDIGO IN Equity","SALES_REV_TURN","FQ3 2023","FQ3 2023","Currency=INR","Period=FQ","BEST_FPERIOD_OVERRIDE=FQ","FILING_STATUS=MR","EQY_CONSOLIDATED=N","SCALING_FORMAT=MLN","FA_ADJUSTED=GAAP","Sort=A","Dates=H","DateFormat=P","Fill=—","Direction=H","UseDPDF=Y")</f>
        <v>149329.70000000001</v>
      </c>
      <c r="AA6" s="11">
        <f>_xll.BDH("INDIGO IN Equity","SALES_REV_TURN","FQ4 2023","FQ4 2023","Currency=INR","Period=FQ","BEST_FPERIOD_OVERRIDE=FQ","FILING_STATUS=MR","EQY_CONSOLIDATED=N","SCALING_FORMAT=MLN","FA_ADJUSTED=GAAP","Sort=A","Dates=H","DateFormat=P","Fill=—","Direction=H","UseDPDF=Y")</f>
        <v>141606.01999999999</v>
      </c>
      <c r="AB6" s="11">
        <f>_xll.BDH("INDIGO IN Equity","SALES_REV_TURN","FQ1 2024","FQ1 2024","Currency=INR","Period=FQ","BEST_FPERIOD_OVERRIDE=FQ","FILING_STATUS=MR","EQY_CONSOLIDATED=N","SCALING_FORMAT=MLN","FA_ADJUSTED=GAAP","Sort=A","Dates=H","DateFormat=P","Fill=—","Direction=H","UseDPDF=Y")</f>
        <v>166830.51999999999</v>
      </c>
      <c r="AC6" s="11">
        <f>_xll.BDH("INDIGO IN Equity","SALES_REV_TURN","FQ2 2024","FQ2 2024","Currency=INR","Period=FQ","BEST_FPERIOD_OVERRIDE=FQ","FILING_STATUS=MR","EQY_CONSOLIDATED=N","SCALING_FORMAT=MLN","FA_ADJUSTED=GAAP","Sort=A","Dates=H","DateFormat=P","Fill=—","Direction=H","UseDPDF=Y")</f>
        <v>149438.75</v>
      </c>
      <c r="AD6" s="11">
        <f>_xll.BDH("INDIGO IN Equity","SALES_REV_TURN","FQ3 2024","FQ3 2024","Currency=INR","Period=FQ","BEST_FPERIOD_OVERRIDE=FQ","FILING_STATUS=MR","EQY_CONSOLIDATED=N","SCALING_FORMAT=MLN","FA_ADJUSTED=GAAP","Sort=A","Dates=H","DateFormat=P","Fill=—","Direction=H","UseDPDF=Y")</f>
        <v>194521.48</v>
      </c>
      <c r="AE6" s="11">
        <f>_xll.BDH("INDIGO IN Equity","SALES_REV_TURN","FQ4 2024","FQ4 2024","Currency=INR","Period=FQ","BEST_FPERIOD_OVERRIDE=FQ","FILING_STATUS=MR","EQY_CONSOLIDATED=N","SCALING_FORMAT=MLN","FA_ADJUSTED=GAAP","Sort=A","Dates=H","DateFormat=P","Fill=—","Direction=H","UseDPDF=Y")</f>
        <v>178252.67</v>
      </c>
      <c r="AF6" s="11">
        <f>_xll.BDH("INDIGO IN Equity","SALES_REV_TURN","FQ1 2025","FQ1 2025","Currency=INR","Period=FQ","BEST_FPERIOD_OVERRIDE=FQ","FILING_STATUS=MR","EQY_CONSOLIDATED=N","SCALING_FORMAT=MLN","FA_ADJUSTED=GAAP","Sort=A","Dates=H","DateFormat=P","Fill=—","Direction=H","UseDPDF=Y")</f>
        <v>195707</v>
      </c>
      <c r="AG6" s="11">
        <f>_xll.BDH("INDIGO IN Equity","SALES_REV_TURN","FQ2 2025","FQ2 2025","Currency=INR","Period=FQ","BEST_FPERIOD_OVERRIDE=FQ","FILING_STATUS=MR","EQY_CONSOLIDATED=N","SCALING_FORMAT=MLN","FA_ADJUSTED=GAAP","Sort=A","Dates=H","DateFormat=P","Fill=—","Direction=H","UseDPDF=Y")</f>
        <v>169696</v>
      </c>
      <c r="AH6" s="11">
        <f>_xll.BDH("INDIGO IN Equity","SALES_REV_TURN","FQ3 2025","FQ3 2025","Currency=INR","Period=FQ","BEST_FPERIOD_OVERRIDE=FQ","FILING_STATUS=MR","EQY_CONSOLIDATED=N","SCALING_FORMAT=MLN","FA_ADJUSTED=GAAP","Sort=A","Dates=H","DateFormat=P","Fill=—","Direction=H","UseDPDF=Y")</f>
        <v>221107</v>
      </c>
      <c r="AI6" s="11">
        <f>_xll.BDH("INDIGO IN Equity","SALES_REV_TURN","FQ4 2025","FQ4 2025","Currency=INR","Period=FQ","BEST_FPERIOD_OVERRIDE=FQ","FILING_STATUS=MR","EQY_CONSOLIDATED=N","SCALING_FORMAT=MLN","FA_ADJUSTED=GAAP","Sort=A","Dates=H","DateFormat=P","Fill=—","Direction=H","UseDPDF=Y")</f>
        <v>221520</v>
      </c>
      <c r="AJ6" s="11">
        <f>_xll.BDH("INDIGO IN Equity","SALES_REV_TURN","FQ1 2026","FQ1 2026","Currency=INR","Period=FQ","BEST_FPERIOD_OVERRIDE=FQ","FILING_STATUS=MR","EQY_CONSOLIDATED=N","SCALING_FORMAT=MLN","FA_ADJUSTED=GAAP","Sort=A","Dates=H","DateFormat=P","Fill=—","Direction=H","UseDPDF=Y")</f>
        <v>204963</v>
      </c>
      <c r="AK6" s="11">
        <f>_xll.BDH("INDIGO IN Equity","SALES_REV_TURN","FQ2 2026","FQ2 2026","Currency=INR","Period=FQ","BEST_FPERIOD_OVERRIDE=FQ","FILING_STATUS=MR","EQY_CONSOLIDATED=N","SCALING_FORMAT=MLN","FA_ADJUSTED=GAAP","Sort=A","Dates=H","DateFormat=P","Fill=—","Direction=H","UseDPDF=Y")</f>
        <v>185553</v>
      </c>
      <c r="AL6" s="11">
        <f>_xll.BDH("INDIGO IN Equity","SALES_REV_TURN","FQ3 2026","FQ3 2026","Currency=INR","Period=FQ","BEST_FPERIOD_OVERRIDE=FQ","FILING_STATUS=MR","EQY_CONSOLIDATED=N","SCALING_FORMAT=MLN","FA_ADJUSTED=GAAP","Sort=A","Dates=H","DateFormat=P","Fill=—","Direction=H","UseDPDF=Y")</f>
        <v>234719</v>
      </c>
      <c r="AM6" s="11">
        <f>_xll.BDH("INDIGO IN Equity","SALES_REV_TURN","FQ4 2026","FQ4 2026","Currency=INR","Period=FQ","BEST_FPERIOD_OVERRIDE=FQ","FILING_STATUS=MR","EQY_CONSOLIDATED=N","SCALING_FORMAT=MLN","FA_ADJUSTED=GAAP","Sort=A","Dates=H","DateFormat=P","Fill=—","Direction=H","UseDPDF=Y")</f>
        <v>224384</v>
      </c>
      <c r="AN6" s="11">
        <f>_xll.BDH("INDIGO IN Equity","SALES_REV_TURN","FQ1 2027","FQ1 2027","Currency=INR","Period=FQ","BEST_FPERIOD_OVERRIDE=FQ","FILING_STATUS=MR","EQY_CONSOLIDATED=N","SCALING_FORMAT=MLN","FA_ADJUSTED=GAAP","Sort=A","Dates=H","DateFormat=P","Fill=—","Direction=H","UseDPDF=Y")</f>
        <v>245841</v>
      </c>
      <c r="AO6" s="11">
        <v>228495.375</v>
      </c>
      <c r="AP6" s="11">
        <v>286042.66666666698</v>
      </c>
    </row>
    <row r="7" spans="1:42" x14ac:dyDescent="0.25">
      <c r="A7" s="12" t="s">
        <v>102</v>
      </c>
      <c r="B7" s="12" t="s">
        <v>103</v>
      </c>
      <c r="C7" s="13">
        <f>_xll.BDH("INDIGO IN Equity","IS_SALES_AND_SERVICES_REVENUES","FQ4 2017","FQ4 2017","Currency=INR","Period=FQ","BEST_FPERIOD_OVERRIDE=FQ","FILING_STATUS=MR","EQY_CONSOLIDATED=N","SCALING_FORMAT=MLN","FA_ADJUSTED=GAAP","Sort=A","Dates=H","DateFormat=P","Fill=—","Direction=H","UseDPDF=Y")</f>
        <v>48482.19</v>
      </c>
      <c r="D7" s="13">
        <f>_xll.BDH("INDIGO IN Equity","IS_SALES_AND_SERVICES_REVENUES","FQ1 2018","FQ1 2018","Currency=INR","Period=FQ","BEST_FPERIOD_OVERRIDE=FQ","FILING_STATUS=MR","EQY_CONSOLIDATED=N","SCALING_FORMAT=MLN","FA_ADJUSTED=GAAP","Sort=A","Dates=H","DateFormat=P","Fill=—","Direction=H","UseDPDF=Y")</f>
        <v>57529.120000000003</v>
      </c>
      <c r="E7" s="13">
        <f>_xll.BDH("INDIGO IN Equity","IS_SALES_AND_SERVICES_REVENUES","FQ2 2018","FQ2 2018","Currency=INR","Period=FQ","BEST_FPERIOD_OVERRIDE=FQ","FILING_STATUS=MR","EQY_CONSOLIDATED=N","SCALING_FORMAT=MLN","FA_ADJUSTED=GAAP","Sort=A","Dates=H","DateFormat=P","Fill=—","Direction=H","UseDPDF=Y")</f>
        <v>52909.8</v>
      </c>
      <c r="F7" s="13">
        <f>_xll.BDH("INDIGO IN Equity","IS_SALES_AND_SERVICES_REVENUES","FQ3 2018","FQ3 2018","Currency=INR","Period=FQ","BEST_FPERIOD_OVERRIDE=FQ","FILING_STATUS=MR","EQY_CONSOLIDATED=N","SCALING_FORMAT=MLN","FA_ADJUSTED=GAAP","Sort=A","Dates=H","DateFormat=P","Fill=—","Direction=H","UseDPDF=Y")</f>
        <v>61778.82</v>
      </c>
      <c r="G7" s="13">
        <f>_xll.BDH("INDIGO IN Equity","IS_SALES_AND_SERVICES_REVENUES","FQ4 2018","FQ4 2018","Currency=INR","Period=FQ","BEST_FPERIOD_OVERRIDE=FQ","FILING_STATUS=MR","EQY_CONSOLIDATED=N","SCALING_FORMAT=MLN","FA_ADJUSTED=GAAP","Sort=A","Dates=H","DateFormat=P","Fill=—","Direction=H","UseDPDF=Y")</f>
        <v>57991.13</v>
      </c>
      <c r="H7" s="13">
        <f>_xll.BDH("INDIGO IN Equity","IS_SALES_AND_SERVICES_REVENUES","FQ1 2019","FQ1 2019","Currency=INR","Period=FQ","BEST_FPERIOD_OVERRIDE=FQ","FILING_STATUS=MR","EQY_CONSOLIDATED=N","SCALING_FORMAT=MLN","FA_ADJUSTED=GAAP","Sort=A","Dates=H","DateFormat=P","Fill=—","Direction=H","UseDPDF=Y")</f>
        <v>65119.74</v>
      </c>
      <c r="I7" s="13">
        <f>_xll.BDH("INDIGO IN Equity","IS_SALES_AND_SERVICES_REVENUES","FQ2 2019","FQ2 2019","Currency=INR","Period=FQ","BEST_FPERIOD_OVERRIDE=FQ","FILING_STATUS=MR","EQY_CONSOLIDATED=N","SCALING_FORMAT=MLN","FA_ADJUSTED=GAAP","Sort=A","Dates=H","DateFormat=P","Fill=—","Direction=H","UseDPDF=Y")</f>
        <v>61853.120000000003</v>
      </c>
      <c r="J7" s="13">
        <f>_xll.BDH("INDIGO IN Equity","IS_SALES_AND_SERVICES_REVENUES","FQ3 2019","FQ3 2019","Currency=INR","Period=FQ","BEST_FPERIOD_OVERRIDE=FQ","FILING_STATUS=MR","EQY_CONSOLIDATED=N","SCALING_FORMAT=MLN","FA_ADJUSTED=GAAP","Sort=A","Dates=H","DateFormat=P","Fill=—","Direction=H","UseDPDF=Y")</f>
        <v>79162.210000000006</v>
      </c>
      <c r="K7" s="13">
        <f>_xll.BDH("INDIGO IN Equity","IS_SALES_AND_SERVICES_REVENUES","FQ4 2019","FQ4 2019","Currency=INR","Period=FQ","BEST_FPERIOD_OVERRIDE=FQ","FILING_STATUS=MR","EQY_CONSOLIDATED=N","SCALING_FORMAT=MLN","FA_ADJUSTED=GAAP","Sort=A","Dates=H","DateFormat=P","Fill=—","Direction=H","UseDPDF=Y")</f>
        <v>78832.649999999994</v>
      </c>
      <c r="L7" s="13">
        <f>_xll.BDH("INDIGO IN Equity","IS_SALES_AND_SERVICES_REVENUES","FQ1 2020","FQ1 2020","Currency=INR","Period=FQ","BEST_FPERIOD_OVERRIDE=FQ","FILING_STATUS=MR","EQY_CONSOLIDATED=N","SCALING_FORMAT=MLN","FA_ADJUSTED=GAAP","Sort=A","Dates=H","DateFormat=P","Fill=—","Direction=H","UseDPDF=Y")</f>
        <v>94200.61</v>
      </c>
      <c r="M7" s="13">
        <f>_xll.BDH("INDIGO IN Equity","IS_SALES_AND_SERVICES_REVENUES","FQ2 2020","FQ2 2020","Currency=INR","Period=FQ","BEST_FPERIOD_OVERRIDE=FQ","FILING_STATUS=MR","EQY_CONSOLIDATED=N","SCALING_FORMAT=MLN","FA_ADJUSTED=GAAP","Sort=A","Dates=H","DateFormat=P","Fill=—","Direction=H","UseDPDF=Y")</f>
        <v>81051.94</v>
      </c>
      <c r="N7" s="13">
        <f>_xll.BDH("INDIGO IN Equity","IS_SALES_AND_SERVICES_REVENUES","FQ3 2020","FQ3 2020","Currency=INR","Period=FQ","BEST_FPERIOD_OVERRIDE=FQ","FILING_STATUS=MR","EQY_CONSOLIDATED=N","SCALING_FORMAT=MLN","FA_ADJUSTED=GAAP","Sort=A","Dates=H","DateFormat=P","Fill=—","Direction=H","UseDPDF=Y")</f>
        <v>99316.88</v>
      </c>
      <c r="O7" s="13">
        <f>_xll.BDH("INDIGO IN Equity","IS_SALES_AND_SERVICES_REVENUES","FQ4 2020","FQ4 2020","Currency=INR","Period=FQ","BEST_FPERIOD_OVERRIDE=FQ","FILING_STATUS=MR","EQY_CONSOLIDATED=N","SCALING_FORMAT=MLN","FA_ADJUSTED=GAAP","Sort=A","Dates=H","DateFormat=P","Fill=—","Direction=H","UseDPDF=Y")</f>
        <v>82990.58</v>
      </c>
      <c r="P7" s="13">
        <f>_xll.BDH("INDIGO IN Equity","IS_SALES_AND_SERVICES_REVENUES","FQ1 2021","FQ1 2021","Currency=INR","Period=FQ","BEST_FPERIOD_OVERRIDE=FQ","FILING_STATUS=MR","EQY_CONSOLIDATED=N","SCALING_FORMAT=MLN","FA_ADJUSTED=GAAP","Sort=A","Dates=H","DateFormat=P","Fill=—","Direction=H","UseDPDF=Y")</f>
        <v>7667.38</v>
      </c>
      <c r="Q7" s="13">
        <f>_xll.BDH("INDIGO IN Equity","IS_SALES_AND_SERVICES_REVENUES","FQ2 2021","FQ2 2021","Currency=INR","Period=FQ","BEST_FPERIOD_OVERRIDE=FQ","FILING_STATUS=MR","EQY_CONSOLIDATED=N","SCALING_FORMAT=MLN","FA_ADJUSTED=GAAP","Sort=A","Dates=H","DateFormat=P","Fill=—","Direction=H","UseDPDF=Y")</f>
        <v>27409.62</v>
      </c>
      <c r="R7" s="13">
        <f>_xll.BDH("INDIGO IN Equity","IS_SALES_AND_SERVICES_REVENUES","FQ3 2021","FQ3 2021","Currency=INR","Period=FQ","BEST_FPERIOD_OVERRIDE=FQ","FILING_STATUS=MR","EQY_CONSOLIDATED=N","SCALING_FORMAT=MLN","FA_ADJUSTED=GAAP","Sort=A","Dates=H","DateFormat=P","Fill=—","Direction=H","UseDPDF=Y")</f>
        <v>49099.82</v>
      </c>
      <c r="S7" s="13">
        <f>_xll.BDH("INDIGO IN Equity","IS_SALES_AND_SERVICES_REVENUES","FQ4 2021","FQ4 2021","Currency=INR","Period=FQ","BEST_FPERIOD_OVERRIDE=FQ","FILING_STATUS=MR","EQY_CONSOLIDATED=N","SCALING_FORMAT=MLN","FA_ADJUSTED=GAAP","Sort=A","Dates=H","DateFormat=P","Fill=—","Direction=H","UseDPDF=Y")</f>
        <v>62229.49</v>
      </c>
      <c r="T7" s="13">
        <f>_xll.BDH("INDIGO IN Equity","IS_SALES_AND_SERVICES_REVENUES","FQ1 2022","FQ1 2022","Currency=INR","Period=FQ","BEST_FPERIOD_OVERRIDE=FQ","FILING_STATUS=MR","EQY_CONSOLIDATED=N","SCALING_FORMAT=MLN","FA_ADJUSTED=GAAP","Sort=A","Dates=H","DateFormat=P","Fill=—","Direction=H","UseDPDF=Y")</f>
        <v>30069.13</v>
      </c>
      <c r="U7" s="13">
        <f>_xll.BDH("INDIGO IN Equity","IS_SALES_AND_SERVICES_REVENUES","FQ2 2022","FQ2 2022","Currency=INR","Period=FQ","BEST_FPERIOD_OVERRIDE=FQ","FILING_STATUS=MR","EQY_CONSOLIDATED=N","SCALING_FORMAT=MLN","FA_ADJUSTED=GAAP","Sort=A","Dates=H","DateFormat=P","Fill=—","Direction=H","UseDPDF=Y")</f>
        <v>56084.98</v>
      </c>
      <c r="V7" s="13">
        <f>_xll.BDH("INDIGO IN Equity","IS_SALES_AND_SERVICES_REVENUES","FQ3 2022","FQ3 2022","Currency=INR","Period=FQ","BEST_FPERIOD_OVERRIDE=FQ","FILING_STATUS=MR","EQY_CONSOLIDATED=N","SCALING_FORMAT=MLN","FA_ADJUSTED=GAAP","Sort=A","Dates=H","DateFormat=P","Fill=—","Direction=H","UseDPDF=Y")</f>
        <v>92947.69</v>
      </c>
      <c r="W7" s="13">
        <f>_xll.BDH("INDIGO IN Equity","IS_SALES_AND_SERVICES_REVENUES","FQ4 2022","FQ4 2022","Currency=INR","Period=FQ","BEST_FPERIOD_OVERRIDE=FQ","FILING_STATUS=MR","EQY_CONSOLIDATED=N","SCALING_FORMAT=MLN","FA_ADJUSTED=GAAP","Sort=A","Dates=H","DateFormat=P","Fill=—","Direction=H","UseDPDF=Y")</f>
        <v>80207.47</v>
      </c>
      <c r="X7" s="13">
        <f>_xll.BDH("INDIGO IN Equity","IS_SALES_AND_SERVICES_REVENUES","FQ1 2023","FQ1 2023","Currency=INR","Period=FQ","BEST_FPERIOD_OVERRIDE=FQ","FILING_STATUS=MR","EQY_CONSOLIDATED=N","SCALING_FORMAT=MLN","FA_ADJUSTED=GAAP","Sort=A","Dates=H","DateFormat=P","Fill=—","Direction=H","UseDPDF=Y")</f>
        <v>128552.94</v>
      </c>
      <c r="Y7" s="13">
        <f>_xll.BDH("INDIGO IN Equity","IS_SALES_AND_SERVICES_REVENUES","FQ2 2023","FQ2 2023","Currency=INR","Period=FQ","BEST_FPERIOD_OVERRIDE=FQ","FILING_STATUS=MR","EQY_CONSOLIDATED=N","SCALING_FORMAT=MLN","FA_ADJUSTED=GAAP","Sort=A","Dates=H","DateFormat=P","Fill=—","Direction=H","UseDPDF=Y")</f>
        <v>124975.87</v>
      </c>
      <c r="Z7" s="13">
        <f>_xll.BDH("INDIGO IN Equity","IS_SALES_AND_SERVICES_REVENUES","FQ3 2023","FQ3 2023","Currency=INR","Period=FQ","BEST_FPERIOD_OVERRIDE=FQ","FILING_STATUS=MR","EQY_CONSOLIDATED=N","SCALING_FORMAT=MLN","FA_ADJUSTED=GAAP","Sort=A","Dates=H","DateFormat=P","Fill=—","Direction=H","UseDPDF=Y")</f>
        <v>149329.70000000001</v>
      </c>
      <c r="AA7" s="13">
        <f>_xll.BDH("INDIGO IN Equity","IS_SALES_AND_SERVICES_REVENUES","FQ4 2023","FQ4 2023","Currency=INR","Period=FQ","BEST_FPERIOD_OVERRIDE=FQ","FILING_STATUS=MR","EQY_CONSOLIDATED=N","SCALING_FORMAT=MLN","FA_ADJUSTED=GAAP","Sort=A","Dates=H","DateFormat=P","Fill=—","Direction=H","UseDPDF=Y")</f>
        <v>141606.01999999999</v>
      </c>
      <c r="AB7" s="13">
        <f>_xll.BDH("INDIGO IN Equity","IS_SALES_AND_SERVICES_REVENUES","FQ1 2024","FQ1 2024","Currency=INR","Period=FQ","BEST_FPERIOD_OVERRIDE=FQ","FILING_STATUS=MR","EQY_CONSOLIDATED=N","SCALING_FORMAT=MLN","FA_ADJUSTED=GAAP","Sort=A","Dates=H","DateFormat=P","Fill=—","Direction=H","UseDPDF=Y")</f>
        <v>166830.51999999999</v>
      </c>
      <c r="AC7" s="13">
        <f>_xll.BDH("INDIGO IN Equity","IS_SALES_AND_SERVICES_REVENUES","FQ2 2024","FQ2 2024","Currency=INR","Period=FQ","BEST_FPERIOD_OVERRIDE=FQ","FILING_STATUS=MR","EQY_CONSOLIDATED=N","SCALING_FORMAT=MLN","FA_ADJUSTED=GAAP","Sort=A","Dates=H","DateFormat=P","Fill=—","Direction=H","UseDPDF=Y")</f>
        <v>149438.75</v>
      </c>
      <c r="AD7" s="13">
        <f>_xll.BDH("INDIGO IN Equity","IS_SALES_AND_SERVICES_REVENUES","FQ3 2024","FQ3 2024","Currency=INR","Period=FQ","BEST_FPERIOD_OVERRIDE=FQ","FILING_STATUS=MR","EQY_CONSOLIDATED=N","SCALING_FORMAT=MLN","FA_ADJUSTED=GAAP","Sort=A","Dates=H","DateFormat=P","Fill=—","Direction=H","UseDPDF=Y")</f>
        <v>194521.48</v>
      </c>
      <c r="AE7" s="13">
        <f>_xll.BDH("INDIGO IN Equity","IS_SALES_AND_SERVICES_REVENUES","FQ4 2024","FQ4 2024","Currency=INR","Period=FQ","BEST_FPERIOD_OVERRIDE=FQ","FILING_STATUS=MR","EQY_CONSOLIDATED=N","SCALING_FORMAT=MLN","FA_ADJUSTED=GAAP","Sort=A","Dates=H","DateFormat=P","Fill=—","Direction=H","UseDPDF=Y")</f>
        <v>178252.67</v>
      </c>
      <c r="AF7" s="13">
        <f>_xll.BDH("INDIGO IN Equity","IS_SALES_AND_SERVICES_REVENUES","FQ1 2025","FQ1 2025","Currency=INR","Period=FQ","BEST_FPERIOD_OVERRIDE=FQ","FILING_STATUS=MR","EQY_CONSOLIDATED=N","SCALING_FORMAT=MLN","FA_ADJUSTED=GAAP","Sort=A","Dates=H","DateFormat=P","Fill=—","Direction=H","UseDPDF=Y")</f>
        <v>195707</v>
      </c>
      <c r="AG7" s="13">
        <f>_xll.BDH("INDIGO IN Equity","IS_SALES_AND_SERVICES_REVENUES","FQ2 2025","FQ2 2025","Currency=INR","Period=FQ","BEST_FPERIOD_OVERRIDE=FQ","FILING_STATUS=MR","EQY_CONSOLIDATED=N","SCALING_FORMAT=MLN","FA_ADJUSTED=GAAP","Sort=A","Dates=H","DateFormat=P","Fill=—","Direction=H","UseDPDF=Y")</f>
        <v>169696</v>
      </c>
      <c r="AH7" s="13">
        <f>_xll.BDH("INDIGO IN Equity","IS_SALES_AND_SERVICES_REVENUES","FQ3 2025","FQ3 2025","Currency=INR","Period=FQ","BEST_FPERIOD_OVERRIDE=FQ","FILING_STATUS=MR","EQY_CONSOLIDATED=N","SCALING_FORMAT=MLN","FA_ADJUSTED=GAAP","Sort=A","Dates=H","DateFormat=P","Fill=—","Direction=H","UseDPDF=Y")</f>
        <v>221107</v>
      </c>
      <c r="AI7" s="13">
        <f>_xll.BDH("INDIGO IN Equity","IS_SALES_AND_SERVICES_REVENUES","FQ4 2025","FQ4 2025","Currency=INR","Period=FQ","BEST_FPERIOD_OVERRIDE=FQ","FILING_STATUS=MR","EQY_CONSOLIDATED=N","SCALING_FORMAT=MLN","FA_ADJUSTED=GAAP","Sort=A","Dates=H","DateFormat=P","Fill=—","Direction=H","UseDPDF=Y")</f>
        <v>221520</v>
      </c>
      <c r="AJ7" s="13">
        <f>_xll.BDH("INDIGO IN Equity","IS_SALES_AND_SERVICES_REVENUES","FQ1 2026","FQ1 2026","Currency=INR","Period=FQ","BEST_FPERIOD_OVERRIDE=FQ","FILING_STATUS=MR","EQY_CONSOLIDATED=N","SCALING_FORMAT=MLN","FA_ADJUSTED=GAAP","Sort=A","Dates=H","DateFormat=P","Fill=—","Direction=H","UseDPDF=Y")</f>
        <v>204963</v>
      </c>
      <c r="AK7" s="13">
        <f>_xll.BDH("INDIGO IN Equity","IS_SALES_AND_SERVICES_REVENUES","FQ2 2026","FQ2 2026","Currency=INR","Period=FQ","BEST_FPERIOD_OVERRIDE=FQ","FILING_STATUS=MR","EQY_CONSOLIDATED=N","SCALING_FORMAT=MLN","FA_ADJUSTED=GAAP","Sort=A","Dates=H","DateFormat=P","Fill=—","Direction=H","UseDPDF=Y")</f>
        <v>185553</v>
      </c>
      <c r="AL7" s="13">
        <f>_xll.BDH("INDIGO IN Equity","IS_SALES_AND_SERVICES_REVENUES","FQ3 2026","FQ3 2026","Currency=INR","Period=FQ","BEST_FPERIOD_OVERRIDE=FQ","FILING_STATUS=MR","EQY_CONSOLIDATED=N","SCALING_FORMAT=MLN","FA_ADJUSTED=GAAP","Sort=A","Dates=H","DateFormat=P","Fill=—","Direction=H","UseDPDF=Y")</f>
        <v>234719</v>
      </c>
      <c r="AM7" s="13">
        <f>_xll.BDH("INDIGO IN Equity","IS_SALES_AND_SERVICES_REVENUES","FQ4 2026","FQ4 2026","Currency=INR","Period=FQ","BEST_FPERIOD_OVERRIDE=FQ","FILING_STATUS=MR","EQY_CONSOLIDATED=N","SCALING_FORMAT=MLN","FA_ADJUSTED=GAAP","Sort=A","Dates=H","DateFormat=P","Fill=—","Direction=H","UseDPDF=Y")</f>
        <v>224384</v>
      </c>
      <c r="AN7" s="13">
        <f>_xll.BDH("INDIGO IN Equity","IS_SALES_AND_SERVICES_REVENUES","FQ1 2027","FQ1 2027","Currency=INR","Period=FQ","BEST_FPERIOD_OVERRIDE=FQ","FILING_STATUS=MR","EQY_CONSOLIDATED=N","SCALING_FORMAT=MLN","FA_ADJUSTED=GAAP","Sort=A","Dates=H","DateFormat=P","Fill=—","Direction=H","UseDPDF=Y")</f>
        <v>245841</v>
      </c>
      <c r="AO7" s="13"/>
      <c r="AP7" s="13"/>
    </row>
    <row r="8" spans="1:42" x14ac:dyDescent="0.25">
      <c r="A8" s="12" t="s">
        <v>104</v>
      </c>
      <c r="B8" s="12" t="s">
        <v>105</v>
      </c>
      <c r="C8" s="13" t="str">
        <f>_xll.BDH("INDIGO IN Equity","IS_OTHER_OPER_INC","FQ4 2017","FQ4 2017","Currency=INR","Period=FQ","BEST_FPERIOD_OVERRIDE=FQ","FILING_STATUS=MR","EQY_CONSOLIDATED=N","SCALING_FORMAT=MLN","FA_ADJUSTED=GAAP","Sort=A","Dates=H","DateFormat=P","Fill=—","Direction=H","UseDPDF=Y")</f>
        <v>—</v>
      </c>
      <c r="D8" s="13" t="str">
        <f>_xll.BDH("INDIGO IN Equity","IS_OTHER_OPER_INC","FQ1 2018","FQ1 2018","Currency=INR","Period=FQ","BEST_FPERIOD_OVERRIDE=FQ","FILING_STATUS=MR","EQY_CONSOLIDATED=N","SCALING_FORMAT=MLN","FA_ADJUSTED=GAAP","Sort=A","Dates=H","DateFormat=P","Fill=—","Direction=H","UseDPDF=Y")</f>
        <v>—</v>
      </c>
      <c r="E8" s="13" t="str">
        <f>_xll.BDH("INDIGO IN Equity","IS_OTHER_OPER_INC","FQ2 2018","FQ2 2018","Currency=INR","Period=FQ","BEST_FPERIOD_OVERRIDE=FQ","FILING_STATUS=MR","EQY_CONSOLIDATED=N","SCALING_FORMAT=MLN","FA_ADJUSTED=GAAP","Sort=A","Dates=H","DateFormat=P","Fill=—","Direction=H","UseDPDF=Y")</f>
        <v>—</v>
      </c>
      <c r="F8" s="13">
        <f>_xll.BDH("INDIGO IN Equity","IS_OTHER_OPER_INC","FQ3 2018","FQ3 2018","Currency=INR","Period=FQ","BEST_FPERIOD_OVERRIDE=FQ","FILING_STATUS=MR","EQY_CONSOLIDATED=N","SCALING_FORMAT=MLN","FA_ADJUSTED=GAAP","Sort=A","Dates=H","DateFormat=P","Fill=—","Direction=H","UseDPDF=Y")</f>
        <v>0</v>
      </c>
      <c r="G8" s="13" t="str">
        <f>_xll.BDH("INDIGO IN Equity","IS_OTHER_OPER_INC","FQ4 2018","FQ4 2018","Currency=INR","Period=FQ","BEST_FPERIOD_OVERRIDE=FQ","FILING_STATUS=MR","EQY_CONSOLIDATED=N","SCALING_FORMAT=MLN","FA_ADJUSTED=GAAP","Sort=A","Dates=H","DateFormat=P","Fill=—","Direction=H","UseDPDF=Y")</f>
        <v>—</v>
      </c>
      <c r="H8" s="13" t="str">
        <f>_xll.BDH("INDIGO IN Equity","IS_OTHER_OPER_INC","FQ1 2019","FQ1 2019","Currency=INR","Period=FQ","BEST_FPERIOD_OVERRIDE=FQ","FILING_STATUS=MR","EQY_CONSOLIDATED=N","SCALING_FORMAT=MLN","FA_ADJUSTED=GAAP","Sort=A","Dates=H","DateFormat=P","Fill=—","Direction=H","UseDPDF=Y")</f>
        <v>—</v>
      </c>
      <c r="I8" s="13" t="str">
        <f>_xll.BDH("INDIGO IN Equity","IS_OTHER_OPER_INC","FQ2 2019","FQ2 2019","Currency=INR","Period=FQ","BEST_FPERIOD_OVERRIDE=FQ","FILING_STATUS=MR","EQY_CONSOLIDATED=N","SCALING_FORMAT=MLN","FA_ADJUSTED=GAAP","Sort=A","Dates=H","DateFormat=P","Fill=—","Direction=H","UseDPDF=Y")</f>
        <v>—</v>
      </c>
      <c r="J8" s="13">
        <f>_xll.BDH("INDIGO IN Equity","IS_OTHER_OPER_INC","FQ3 2019","FQ3 2019","Currency=INR","Period=FQ","BEST_FPERIOD_OVERRIDE=FQ","FILING_STATUS=MR","EQY_CONSOLIDATED=N","SCALING_FORMAT=MLN","FA_ADJUSTED=GAAP","Sort=A","Dates=H","DateFormat=P","Fill=—","Direction=H","UseDPDF=Y")</f>
        <v>0</v>
      </c>
      <c r="K8" s="13" t="str">
        <f>_xll.BDH("INDIGO IN Equity","IS_OTHER_OPER_INC","FQ4 2019","FQ4 2019","Currency=INR","Period=FQ","BEST_FPERIOD_OVERRIDE=FQ","FILING_STATUS=MR","EQY_CONSOLIDATED=N","SCALING_FORMAT=MLN","FA_ADJUSTED=GAAP","Sort=A","Dates=H","DateFormat=P","Fill=—","Direction=H","UseDPDF=Y")</f>
        <v>—</v>
      </c>
      <c r="L8" s="13" t="str">
        <f>_xll.BDH("INDIGO IN Equity","IS_OTHER_OPER_INC","FQ1 2020","FQ1 2020","Currency=INR","Period=FQ","BEST_FPERIOD_OVERRIDE=FQ","FILING_STATUS=MR","EQY_CONSOLIDATED=N","SCALING_FORMAT=MLN","FA_ADJUSTED=GAAP","Sort=A","Dates=H","DateFormat=P","Fill=—","Direction=H","UseDPDF=Y")</f>
        <v>—</v>
      </c>
      <c r="M8" s="13" t="str">
        <f>_xll.BDH("INDIGO IN Equity","IS_OTHER_OPER_INC","FQ2 2020","FQ2 2020","Currency=INR","Period=FQ","BEST_FPERIOD_OVERRIDE=FQ","FILING_STATUS=MR","EQY_CONSOLIDATED=N","SCALING_FORMAT=MLN","FA_ADJUSTED=GAAP","Sort=A","Dates=H","DateFormat=P","Fill=—","Direction=H","UseDPDF=Y")</f>
        <v>—</v>
      </c>
      <c r="N8" s="13" t="str">
        <f>_xll.BDH("INDIGO IN Equity","IS_OTHER_OPER_INC","FQ3 2020","FQ3 2020","Currency=INR","Period=FQ","BEST_FPERIOD_OVERRIDE=FQ","FILING_STATUS=MR","EQY_CONSOLIDATED=N","SCALING_FORMAT=MLN","FA_ADJUSTED=GAAP","Sort=A","Dates=H","DateFormat=P","Fill=—","Direction=H","UseDPDF=Y")</f>
        <v>—</v>
      </c>
      <c r="O8" s="13" t="str">
        <f>_xll.BDH("INDIGO IN Equity","IS_OTHER_OPER_INC","FQ4 2020","FQ4 2020","Currency=INR","Period=FQ","BEST_FPERIOD_OVERRIDE=FQ","FILING_STATUS=MR","EQY_CONSOLIDATED=N","SCALING_FORMAT=MLN","FA_ADJUSTED=GAAP","Sort=A","Dates=H","DateFormat=P","Fill=—","Direction=H","UseDPDF=Y")</f>
        <v>—</v>
      </c>
      <c r="P8" s="13" t="str">
        <f>_xll.BDH("INDIGO IN Equity","IS_OTHER_OPER_INC","FQ1 2021","FQ1 2021","Currency=INR","Period=FQ","BEST_FPERIOD_OVERRIDE=FQ","FILING_STATUS=MR","EQY_CONSOLIDATED=N","SCALING_FORMAT=MLN","FA_ADJUSTED=GAAP","Sort=A","Dates=H","DateFormat=P","Fill=—","Direction=H","UseDPDF=Y")</f>
        <v>—</v>
      </c>
      <c r="Q8" s="13" t="str">
        <f>_xll.BDH("INDIGO IN Equity","IS_OTHER_OPER_INC","FQ2 2021","FQ2 2021","Currency=INR","Period=FQ","BEST_FPERIOD_OVERRIDE=FQ","FILING_STATUS=MR","EQY_CONSOLIDATED=N","SCALING_FORMAT=MLN","FA_ADJUSTED=GAAP","Sort=A","Dates=H","DateFormat=P","Fill=—","Direction=H","UseDPDF=Y")</f>
        <v>—</v>
      </c>
      <c r="R8" s="13" t="str">
        <f>_xll.BDH("INDIGO IN Equity","IS_OTHER_OPER_INC","FQ3 2021","FQ3 2021","Currency=INR","Period=FQ","BEST_FPERIOD_OVERRIDE=FQ","FILING_STATUS=MR","EQY_CONSOLIDATED=N","SCALING_FORMAT=MLN","FA_ADJUSTED=GAAP","Sort=A","Dates=H","DateFormat=P","Fill=—","Direction=H","UseDPDF=Y")</f>
        <v>—</v>
      </c>
      <c r="S8" s="13" t="str">
        <f>_xll.BDH("INDIGO IN Equity","IS_OTHER_OPER_INC","FQ4 2021","FQ4 2021","Currency=INR","Period=FQ","BEST_FPERIOD_OVERRIDE=FQ","FILING_STATUS=MR","EQY_CONSOLIDATED=N","SCALING_FORMAT=MLN","FA_ADJUSTED=GAAP","Sort=A","Dates=H","DateFormat=P","Fill=—","Direction=H","UseDPDF=Y")</f>
        <v>—</v>
      </c>
      <c r="T8" s="13" t="str">
        <f>_xll.BDH("INDIGO IN Equity","IS_OTHER_OPER_INC","FQ1 2022","FQ1 2022","Currency=INR","Period=FQ","BEST_FPERIOD_OVERRIDE=FQ","FILING_STATUS=MR","EQY_CONSOLIDATED=N","SCALING_FORMAT=MLN","FA_ADJUSTED=GAAP","Sort=A","Dates=H","DateFormat=P","Fill=—","Direction=H","UseDPDF=Y")</f>
        <v>—</v>
      </c>
      <c r="U8" s="13">
        <f>_xll.BDH("INDIGO IN Equity","IS_OTHER_OPER_INC","FQ2 2022","FQ2 2022","Currency=INR","Period=FQ","BEST_FPERIOD_OVERRIDE=FQ","FILING_STATUS=MR","EQY_CONSOLIDATED=N","SCALING_FORMAT=MLN","FA_ADJUSTED=GAAP","Sort=A","Dates=H","DateFormat=P","Fill=—","Direction=H","UseDPDF=Y")</f>
        <v>0</v>
      </c>
      <c r="V8" s="13" t="str">
        <f>_xll.BDH("INDIGO IN Equity","IS_OTHER_OPER_INC","FQ3 2022","FQ3 2022","Currency=INR","Period=FQ","BEST_FPERIOD_OVERRIDE=FQ","FILING_STATUS=MR","EQY_CONSOLIDATED=N","SCALING_FORMAT=MLN","FA_ADJUSTED=GAAP","Sort=A","Dates=H","DateFormat=P","Fill=—","Direction=H","UseDPDF=Y")</f>
        <v>—</v>
      </c>
      <c r="W8" s="13" t="str">
        <f>_xll.BDH("INDIGO IN Equity","IS_OTHER_OPER_INC","FQ4 2022","FQ4 2022","Currency=INR","Period=FQ","BEST_FPERIOD_OVERRIDE=FQ","FILING_STATUS=MR","EQY_CONSOLIDATED=N","SCALING_FORMAT=MLN","FA_ADJUSTED=GAAP","Sort=A","Dates=H","DateFormat=P","Fill=—","Direction=H","UseDPDF=Y")</f>
        <v>—</v>
      </c>
      <c r="X8" s="13" t="str">
        <f>_xll.BDH("INDIGO IN Equity","IS_OTHER_OPER_INC","FQ1 2023","FQ1 2023","Currency=INR","Period=FQ","BEST_FPERIOD_OVERRIDE=FQ","FILING_STATUS=MR","EQY_CONSOLIDATED=N","SCALING_FORMAT=MLN","FA_ADJUSTED=GAAP","Sort=A","Dates=H","DateFormat=P","Fill=—","Direction=H","UseDPDF=Y")</f>
        <v>—</v>
      </c>
      <c r="Y8" s="13">
        <f>_xll.BDH("INDIGO IN Equity","IS_OTHER_OPER_INC","FQ2 2023","FQ2 2023","Currency=INR","Period=FQ","BEST_FPERIOD_OVERRIDE=FQ","FILING_STATUS=MR","EQY_CONSOLIDATED=N","SCALING_FORMAT=MLN","FA_ADJUSTED=GAAP","Sort=A","Dates=H","DateFormat=P","Fill=—","Direction=H","UseDPDF=Y")</f>
        <v>0</v>
      </c>
      <c r="Z8" s="13" t="str">
        <f>_xll.BDH("INDIGO IN Equity","IS_OTHER_OPER_INC","FQ3 2023","FQ3 2023","Currency=INR","Period=FQ","BEST_FPERIOD_OVERRIDE=FQ","FILING_STATUS=MR","EQY_CONSOLIDATED=N","SCALING_FORMAT=MLN","FA_ADJUSTED=GAAP","Sort=A","Dates=H","DateFormat=P","Fill=—","Direction=H","UseDPDF=Y")</f>
        <v>—</v>
      </c>
      <c r="AA8" s="13" t="str">
        <f>_xll.BDH("INDIGO IN Equity","IS_OTHER_OPER_INC","FQ4 2023","FQ4 2023","Currency=INR","Period=FQ","BEST_FPERIOD_OVERRIDE=FQ","FILING_STATUS=MR","EQY_CONSOLIDATED=N","SCALING_FORMAT=MLN","FA_ADJUSTED=GAAP","Sort=A","Dates=H","DateFormat=P","Fill=—","Direction=H","UseDPDF=Y")</f>
        <v>—</v>
      </c>
      <c r="AB8" s="13" t="str">
        <f>_xll.BDH("INDIGO IN Equity","IS_OTHER_OPER_INC","FQ1 2024","FQ1 2024","Currency=INR","Period=FQ","BEST_FPERIOD_OVERRIDE=FQ","FILING_STATUS=MR","EQY_CONSOLIDATED=N","SCALING_FORMAT=MLN","FA_ADJUSTED=GAAP","Sort=A","Dates=H","DateFormat=P","Fill=—","Direction=H","UseDPDF=Y")</f>
        <v>—</v>
      </c>
      <c r="AC8" s="13" t="str">
        <f>_xll.BDH("INDIGO IN Equity","IS_OTHER_OPER_INC","FQ2 2024","FQ2 2024","Currency=INR","Period=FQ","BEST_FPERIOD_OVERRIDE=FQ","FILING_STATUS=MR","EQY_CONSOLIDATED=N","SCALING_FORMAT=MLN","FA_ADJUSTED=GAAP","Sort=A","Dates=H","DateFormat=P","Fill=—","Direction=H","UseDPDF=Y")</f>
        <v>—</v>
      </c>
      <c r="AD8" s="13" t="str">
        <f>_xll.BDH("INDIGO IN Equity","IS_OTHER_OPER_INC","FQ3 2024","FQ3 2024","Currency=INR","Period=FQ","BEST_FPERIOD_OVERRIDE=FQ","FILING_STATUS=MR","EQY_CONSOLIDATED=N","SCALING_FORMAT=MLN","FA_ADJUSTED=GAAP","Sort=A","Dates=H","DateFormat=P","Fill=—","Direction=H","UseDPDF=Y")</f>
        <v>—</v>
      </c>
      <c r="AE8" s="13">
        <f>_xll.BDH("INDIGO IN Equity","IS_OTHER_OPER_INC","FQ4 2024","FQ4 2024","Currency=INR","Period=FQ","BEST_FPERIOD_OVERRIDE=FQ","FILING_STATUS=MR","EQY_CONSOLIDATED=N","SCALING_FORMAT=MLN","FA_ADJUSTED=GAAP","Sort=A","Dates=H","DateFormat=P","Fill=—","Direction=H","UseDPDF=Y")</f>
        <v>0</v>
      </c>
      <c r="AF8" s="13" t="str">
        <f>_xll.BDH("INDIGO IN Equity","IS_OTHER_OPER_INC","FQ1 2025","FQ1 2025","Currency=INR","Period=FQ","BEST_FPERIOD_OVERRIDE=FQ","FILING_STATUS=MR","EQY_CONSOLIDATED=N","SCALING_FORMAT=MLN","FA_ADJUSTED=GAAP","Sort=A","Dates=H","DateFormat=P","Fill=—","Direction=H","UseDPDF=Y")</f>
        <v>—</v>
      </c>
      <c r="AG8" s="13">
        <f>_xll.BDH("INDIGO IN Equity","IS_OTHER_OPER_INC","FQ2 2025","FQ2 2025","Currency=INR","Period=FQ","BEST_FPERIOD_OVERRIDE=FQ","FILING_STATUS=MR","EQY_CONSOLIDATED=N","SCALING_FORMAT=MLN","FA_ADJUSTED=GAAP","Sort=A","Dates=H","DateFormat=P","Fill=—","Direction=H","UseDPDF=Y")</f>
        <v>0</v>
      </c>
      <c r="AH8" s="13">
        <f>_xll.BDH("INDIGO IN Equity","IS_OTHER_OPER_INC","FQ3 2025","FQ3 2025","Currency=INR","Period=FQ","BEST_FPERIOD_OVERRIDE=FQ","FILING_STATUS=MR","EQY_CONSOLIDATED=N","SCALING_FORMAT=MLN","FA_ADJUSTED=GAAP","Sort=A","Dates=H","DateFormat=P","Fill=—","Direction=H","UseDPDF=Y")</f>
        <v>0</v>
      </c>
      <c r="AI8" s="13">
        <f>_xll.BDH("INDIGO IN Equity","IS_OTHER_OPER_INC","FQ4 2025","FQ4 2025","Currency=INR","Period=FQ","BEST_FPERIOD_OVERRIDE=FQ","FILING_STATUS=MR","EQY_CONSOLIDATED=N","SCALING_FORMAT=MLN","FA_ADJUSTED=GAAP","Sort=A","Dates=H","DateFormat=P","Fill=—","Direction=H","UseDPDF=Y")</f>
        <v>0</v>
      </c>
      <c r="AJ8" s="13">
        <f>_xll.BDH("INDIGO IN Equity","IS_OTHER_OPER_INC","FQ1 2026","FQ1 2026","Currency=INR","Period=FQ","BEST_FPERIOD_OVERRIDE=FQ","FILING_STATUS=MR","EQY_CONSOLIDATED=N","SCALING_FORMAT=MLN","FA_ADJUSTED=GAAP","Sort=A","Dates=H","DateFormat=P","Fill=—","Direction=H","UseDPDF=Y")</f>
        <v>0</v>
      </c>
      <c r="AK8" s="13">
        <f>_xll.BDH("INDIGO IN Equity","IS_OTHER_OPER_INC","FQ2 2026","FQ2 2026","Currency=INR","Period=FQ","BEST_FPERIOD_OVERRIDE=FQ","FILING_STATUS=MR","EQY_CONSOLIDATED=N","SCALING_FORMAT=MLN","FA_ADJUSTED=GAAP","Sort=A","Dates=H","DateFormat=P","Fill=—","Direction=H","UseDPDF=Y")</f>
        <v>0</v>
      </c>
      <c r="AL8" s="13">
        <f>_xll.BDH("INDIGO IN Equity","IS_OTHER_OPER_INC","FQ3 2026","FQ3 2026","Currency=INR","Period=FQ","BEST_FPERIOD_OVERRIDE=FQ","FILING_STATUS=MR","EQY_CONSOLIDATED=N","SCALING_FORMAT=MLN","FA_ADJUSTED=GAAP","Sort=A","Dates=H","DateFormat=P","Fill=—","Direction=H","UseDPDF=Y")</f>
        <v>0</v>
      </c>
      <c r="AM8" s="13">
        <f>_xll.BDH("INDIGO IN Equity","IS_OTHER_OPER_INC","FQ4 2026","FQ4 2026","Currency=INR","Period=FQ","BEST_FPERIOD_OVERRIDE=FQ","FILING_STATUS=MR","EQY_CONSOLIDATED=N","SCALING_FORMAT=MLN","FA_ADJUSTED=GAAP","Sort=A","Dates=H","DateFormat=P","Fill=—","Direction=H","UseDPDF=Y")</f>
        <v>0</v>
      </c>
      <c r="AN8" s="13">
        <f>_xll.BDH("INDIGO IN Equity","IS_OTHER_OPER_INC","FQ1 2027","FQ1 2027","Currency=INR","Period=FQ","BEST_FPERIOD_OVERRIDE=FQ","FILING_STATUS=MR","EQY_CONSOLIDATED=N","SCALING_FORMAT=MLN","FA_ADJUSTED=GAAP","Sort=A","Dates=H","DateFormat=P","Fill=—","Direction=H","UseDPDF=Y")</f>
        <v>0</v>
      </c>
      <c r="AO8" s="13"/>
      <c r="AP8" s="13"/>
    </row>
    <row r="9" spans="1:42" x14ac:dyDescent="0.25">
      <c r="A9" s="12" t="s">
        <v>106</v>
      </c>
      <c r="B9" s="12" t="s">
        <v>107</v>
      </c>
      <c r="C9" s="13">
        <f>_xll.BDH("INDIGO IN Equity","IS_OPERATING_EXPN","FQ4 2017","FQ4 2017","Currency=INR","Period=FQ","BEST_FPERIOD_OVERRIDE=FQ","FILING_STATUS=MR","EQY_CONSOLIDATED=N","SCALING_FORMAT=MLN","FA_ADJUSTED=GAAP","Sort=A","Dates=H","DateFormat=P","Fill=—","Direction=H","UseDPDF=Y")</f>
        <v>44453.86</v>
      </c>
      <c r="D9" s="13">
        <f>_xll.BDH("INDIGO IN Equity","IS_OPERATING_EXPN","FQ1 2018","FQ1 2018","Currency=INR","Period=FQ","BEST_FPERIOD_OVERRIDE=FQ","FILING_STATUS=MR","EQY_CONSOLIDATED=N","SCALING_FORMAT=MLN","FA_ADJUSTED=GAAP","Sort=A","Dates=H","DateFormat=P","Fill=—","Direction=H","UseDPDF=Y")</f>
        <v>47542.37</v>
      </c>
      <c r="E9" s="13">
        <f>_xll.BDH("INDIGO IN Equity","IS_OPERATING_EXPN","FQ2 2018","FQ2 2018","Currency=INR","Period=FQ","BEST_FPERIOD_OVERRIDE=FQ","FILING_STATUS=MR","EQY_CONSOLIDATED=N","SCALING_FORMAT=MLN","FA_ADJUSTED=GAAP","Sort=A","Dates=H","DateFormat=P","Fill=—","Direction=H","UseDPDF=Y")</f>
        <v>46553.57</v>
      </c>
      <c r="F9" s="13">
        <f>_xll.BDH("INDIGO IN Equity","IS_OPERATING_EXPN","FQ3 2018","FQ3 2018","Currency=INR","Period=FQ","BEST_FPERIOD_OVERRIDE=FQ","FILING_STATUS=MR","EQY_CONSOLIDATED=N","SCALING_FORMAT=MLN","FA_ADJUSTED=GAAP","Sort=A","Dates=H","DateFormat=P","Fill=—","Direction=H","UseDPDF=Y")</f>
        <v>52937.51</v>
      </c>
      <c r="G9" s="13">
        <f>_xll.BDH("INDIGO IN Equity","IS_OPERATING_EXPN","FQ4 2018","FQ4 2018","Currency=INR","Period=FQ","BEST_FPERIOD_OVERRIDE=FQ","FILING_STATUS=MR","EQY_CONSOLIDATED=N","SCALING_FORMAT=MLN","FA_ADJUSTED=GAAP","Sort=A","Dates=H","DateFormat=P","Fill=—","Direction=H","UseDPDF=Y")</f>
        <v>57979.06</v>
      </c>
      <c r="H9" s="13">
        <f>_xll.BDH("INDIGO IN Equity","IS_OPERATING_EXPN","FQ1 2019","FQ1 2019","Currency=INR","Period=FQ","BEST_FPERIOD_OVERRIDE=FQ","FILING_STATUS=MR","EQY_CONSOLIDATED=N","SCALING_FORMAT=MLN","FA_ADJUSTED=GAAP","Sort=A","Dates=H","DateFormat=P","Fill=—","Direction=H","UseDPDF=Y")</f>
        <v>66783.100000000006</v>
      </c>
      <c r="I9" s="13">
        <f>_xll.BDH("INDIGO IN Equity","IS_OPERATING_EXPN","FQ2 2019","FQ2 2019","Currency=INR","Period=FQ","BEST_FPERIOD_OVERRIDE=FQ","FILING_STATUS=MR","EQY_CONSOLIDATED=N","SCALING_FORMAT=MLN","FA_ADJUSTED=GAAP","Sort=A","Dates=H","DateFormat=P","Fill=—","Direction=H","UseDPDF=Y")</f>
        <v>70368.72</v>
      </c>
      <c r="J9" s="13">
        <f>_xll.BDH("INDIGO IN Equity","IS_OPERATING_EXPN","FQ3 2019","FQ3 2019","Currency=INR","Period=FQ","BEST_FPERIOD_OVERRIDE=FQ","FILING_STATUS=MR","EQY_CONSOLIDATED=N","SCALING_FORMAT=MLN","FA_ADJUSTED=GAAP","Sort=A","Dates=H","DateFormat=P","Fill=—","Direction=H","UseDPDF=Y")</f>
        <v>80042.84</v>
      </c>
      <c r="K9" s="13">
        <f>_xll.BDH("INDIGO IN Equity","IS_OPERATING_EXPN","FQ4 2019","FQ4 2019","Currency=INR","Period=FQ","BEST_FPERIOD_OVERRIDE=FQ","FILING_STATUS=MR","EQY_CONSOLIDATED=N","SCALING_FORMAT=MLN","FA_ADJUSTED=GAAP","Sort=A","Dates=H","DateFormat=P","Fill=—","Direction=H","UseDPDF=Y")</f>
        <v>75209.45</v>
      </c>
      <c r="L9" s="13">
        <f>_xll.BDH("INDIGO IN Equity","IS_OPERATING_EXPN","FQ1 2020","FQ1 2020","Currency=INR","Period=FQ","BEST_FPERIOD_OVERRIDE=FQ","FILING_STATUS=MR","EQY_CONSOLIDATED=N","SCALING_FORMAT=MLN","FA_ADJUSTED=GAAP","Sort=A","Dates=H","DateFormat=P","Fill=—","Direction=H","UseDPDF=Y")</f>
        <v>78421.83</v>
      </c>
      <c r="M9" s="13">
        <f>_xll.BDH("INDIGO IN Equity","IS_OPERATING_EXPN","FQ2 2020","FQ2 2020","Currency=INR","Period=FQ","BEST_FPERIOD_OVERRIDE=FQ","FILING_STATUS=MR","EQY_CONSOLIDATED=N","SCALING_FORMAT=MLN","FA_ADJUSTED=GAAP","Sort=A","Dates=H","DateFormat=P","Fill=—","Direction=H","UseDPDF=Y")</f>
        <v>87021.64</v>
      </c>
      <c r="N9" s="13">
        <f>_xll.BDH("INDIGO IN Equity","IS_OPERATING_EXPN","FQ3 2020","FQ3 2020","Currency=INR","Period=FQ","BEST_FPERIOD_OVERRIDE=FQ","FILING_STATUS=MR","EQY_CONSOLIDATED=N","SCALING_FORMAT=MLN","FA_ADJUSTED=GAAP","Sort=A","Dates=H","DateFormat=P","Fill=—","Direction=H","UseDPDF=Y")</f>
        <v>91744.81</v>
      </c>
      <c r="O9" s="13">
        <f>_xll.BDH("INDIGO IN Equity","IS_OPERATING_EXPN","FQ4 2020","FQ4 2020","Currency=INR","Period=FQ","BEST_FPERIOD_OVERRIDE=FQ","FILING_STATUS=MR","EQY_CONSOLIDATED=N","SCALING_FORMAT=MLN","FA_ADJUSTED=GAAP","Sort=A","Dates=H","DateFormat=P","Fill=—","Direction=H","UseDPDF=Y")</f>
        <v>84264.44</v>
      </c>
      <c r="P9" s="13">
        <f>_xll.BDH("INDIGO IN Equity","IS_OPERATING_EXPN","FQ1 2021","FQ1 2021","Currency=INR","Period=FQ","BEST_FPERIOD_OVERRIDE=FQ","FILING_STATUS=MR","EQY_CONSOLIDATED=N","SCALING_FORMAT=MLN","FA_ADJUSTED=GAAP","Sort=A","Dates=H","DateFormat=P","Fill=—","Direction=H","UseDPDF=Y")</f>
        <v>34072.559999999998</v>
      </c>
      <c r="Q9" s="13">
        <f>_xll.BDH("INDIGO IN Equity","IS_OPERATING_EXPN","FQ2 2021","FQ2 2021","Currency=INR","Period=FQ","BEST_FPERIOD_OVERRIDE=FQ","FILING_STATUS=MR","EQY_CONSOLIDATED=N","SCALING_FORMAT=MLN","FA_ADJUSTED=GAAP","Sort=A","Dates=H","DateFormat=P","Fill=—","Direction=H","UseDPDF=Y")</f>
        <v>41747.32</v>
      </c>
      <c r="R9" s="13">
        <f>_xll.BDH("INDIGO IN Equity","IS_OPERATING_EXPN","FQ3 2021","FQ3 2021","Currency=INR","Period=FQ","BEST_FPERIOD_OVERRIDE=FQ","FILING_STATUS=MR","EQY_CONSOLIDATED=N","SCALING_FORMAT=MLN","FA_ADJUSTED=GAAP","Sort=A","Dates=H","DateFormat=P","Fill=—","Direction=H","UseDPDF=Y")</f>
        <v>54299.4</v>
      </c>
      <c r="S9" s="13">
        <f>_xll.BDH("INDIGO IN Equity","IS_OPERATING_EXPN","FQ4 2021","FQ4 2021","Currency=INR","Period=FQ","BEST_FPERIOD_OVERRIDE=FQ","FILING_STATUS=MR","EQY_CONSOLIDATED=N","SCALING_FORMAT=MLN","FA_ADJUSTED=GAAP","Sort=A","Dates=H","DateFormat=P","Fill=—","Direction=H","UseDPDF=Y")</f>
        <v>68758.7</v>
      </c>
      <c r="T9" s="13">
        <f>_xll.BDH("INDIGO IN Equity","IS_OPERATING_EXPN","FQ1 2022","FQ1 2022","Currency=INR","Period=FQ","BEST_FPERIOD_OVERRIDE=FQ","FILING_STATUS=MR","EQY_CONSOLIDATED=N","SCALING_FORMAT=MLN","FA_ADJUSTED=GAAP","Sort=A","Dates=H","DateFormat=P","Fill=—","Direction=H","UseDPDF=Y")</f>
        <v>54265.38</v>
      </c>
      <c r="U9" s="13">
        <f>_xll.BDH("INDIGO IN Equity","IS_OPERATING_EXPN","FQ2 2022","FQ2 2022","Currency=INR","Period=FQ","BEST_FPERIOD_OVERRIDE=FQ","FILING_STATUS=MR","EQY_CONSOLIDATED=N","SCALING_FORMAT=MLN","FA_ADJUSTED=GAAP","Sort=A","Dates=H","DateFormat=P","Fill=—","Direction=H","UseDPDF=Y")</f>
        <v>67041.61</v>
      </c>
      <c r="V9" s="13">
        <f>_xll.BDH("INDIGO IN Equity","IS_OPERATING_EXPN","FQ3 2022","FQ3 2022","Currency=INR","Period=FQ","BEST_FPERIOD_OVERRIDE=FQ","FILING_STATUS=MR","EQY_CONSOLIDATED=N","SCALING_FORMAT=MLN","FA_ADJUSTED=GAAP","Sort=A","Dates=H","DateFormat=P","Fill=—","Direction=H","UseDPDF=Y")</f>
        <v>87549.54</v>
      </c>
      <c r="W9" s="13">
        <f>_xll.BDH("INDIGO IN Equity","IS_OPERATING_EXPN","FQ4 2022","FQ4 2022","Currency=INR","Period=FQ","BEST_FPERIOD_OVERRIDE=FQ","FILING_STATUS=MR","EQY_CONSOLIDATED=N","SCALING_FORMAT=MLN","FA_ADJUSTED=GAAP","Sort=A","Dates=H","DateFormat=P","Fill=—","Direction=H","UseDPDF=Y")</f>
        <v>86419.88</v>
      </c>
      <c r="X9" s="13">
        <f>_xll.BDH("INDIGO IN Equity","IS_OPERATING_EXPN","FQ1 2023","FQ1 2023","Currency=INR","Period=FQ","BEST_FPERIOD_OVERRIDE=FQ","FILING_STATUS=MR","EQY_CONSOLIDATED=N","SCALING_FORMAT=MLN","FA_ADJUSTED=GAAP","Sort=A","Dates=H","DateFormat=P","Fill=—","Direction=H","UseDPDF=Y")</f>
        <v>120028.71</v>
      </c>
      <c r="Y9" s="13">
        <f>_xll.BDH("INDIGO IN Equity","IS_OPERATING_EXPN","FQ2 2023","FQ2 2023","Currency=INR","Period=FQ","BEST_FPERIOD_OVERRIDE=FQ","FILING_STATUS=MR","EQY_CONSOLIDATED=N","SCALING_FORMAT=MLN","FA_ADJUSTED=GAAP","Sort=A","Dates=H","DateFormat=P","Fill=—","Direction=H","UseDPDF=Y")</f>
        <v>125079.43</v>
      </c>
      <c r="Z9" s="13">
        <f>_xll.BDH("INDIGO IN Equity","IS_OPERATING_EXPN","FQ3 2023","FQ3 2023","Currency=INR","Period=FQ","BEST_FPERIOD_OVERRIDE=FQ","FILING_STATUS=MR","EQY_CONSOLIDATED=N","SCALING_FORMAT=MLN","FA_ADJUSTED=GAAP","Sort=A","Dates=H","DateFormat=P","Fill=—","Direction=H","UseDPDF=Y")</f>
        <v>125747.42</v>
      </c>
      <c r="AA9" s="13">
        <f>_xll.BDH("INDIGO IN Equity","IS_OPERATING_EXPN","FQ4 2023","FQ4 2023","Currency=INR","Period=FQ","BEST_FPERIOD_OVERRIDE=FQ","FILING_STATUS=MR","EQY_CONSOLIDATED=N","SCALING_FORMAT=MLN","FA_ADJUSTED=GAAP","Sort=A","Dates=H","DateFormat=P","Fill=—","Direction=H","UseDPDF=Y")</f>
        <v>130175.44</v>
      </c>
      <c r="AB9" s="13">
        <f>_xll.BDH("INDIGO IN Equity","IS_OPERATING_EXPN","FQ1 2024","FQ1 2024","Currency=INR","Period=FQ","BEST_FPERIOD_OVERRIDE=FQ","FILING_STATUS=MR","EQY_CONSOLIDATED=N","SCALING_FORMAT=MLN","FA_ADJUSTED=GAAP","Sort=A","Dates=H","DateFormat=P","Fill=—","Direction=H","UseDPDF=Y")</f>
        <v>132356.13</v>
      </c>
      <c r="AC9" s="13">
        <f>_xll.BDH("INDIGO IN Equity","IS_OPERATING_EXPN","FQ2 2024","FQ2 2024","Currency=INR","Period=FQ","BEST_FPERIOD_OVERRIDE=FQ","FILING_STATUS=MR","EQY_CONSOLIDATED=N","SCALING_FORMAT=MLN","FA_ADJUSTED=GAAP","Sort=A","Dates=H","DateFormat=P","Fill=—","Direction=H","UseDPDF=Y")</f>
        <v>136758.81</v>
      </c>
      <c r="AD9" s="13">
        <f>_xll.BDH("INDIGO IN Equity","IS_OPERATING_EXPN","FQ3 2024","FQ3 2024","Currency=INR","Period=FQ","BEST_FPERIOD_OVERRIDE=FQ","FILING_STATUS=MR","EQY_CONSOLIDATED=N","SCALING_FORMAT=MLN","FA_ADJUSTED=GAAP","Sort=A","Dates=H","DateFormat=P","Fill=—","Direction=H","UseDPDF=Y")</f>
        <v>159172.85999999999</v>
      </c>
      <c r="AE9" s="13">
        <f>_xll.BDH("INDIGO IN Equity","IS_OPERATING_EXPN","FQ4 2024","FQ4 2024","Currency=INR","Period=FQ","BEST_FPERIOD_OVERRIDE=FQ","FILING_STATUS=MR","EQY_CONSOLIDATED=N","SCALING_FORMAT=MLN","FA_ADJUSTED=GAAP","Sort=A","Dates=H","DateFormat=P","Fill=—","Direction=H","UseDPDF=Y")</f>
        <v>154711.59</v>
      </c>
      <c r="AF9" s="13">
        <f>_xll.BDH("INDIGO IN Equity","IS_OPERATING_EXPN","FQ1 2025","FQ1 2025","Currency=INR","Period=FQ","BEST_FPERIOD_OVERRIDE=FQ","FILING_STATUS=MR","EQY_CONSOLIDATED=N","SCALING_FORMAT=MLN","FA_ADJUSTED=GAAP","Sort=A","Dates=H","DateFormat=P","Fill=—","Direction=H","UseDPDF=Y")</f>
        <v>162336</v>
      </c>
      <c r="AG9" s="13">
        <f>_xll.BDH("INDIGO IN Equity","IS_OPERATING_EXPN","FQ2 2025","FQ2 2025","Currency=INR","Period=FQ","BEST_FPERIOD_OVERRIDE=FQ","FILING_STATUS=MR","EQY_CONSOLIDATED=N","SCALING_FORMAT=MLN","FA_ADJUSTED=GAAP","Sort=A","Dates=H","DateFormat=P","Fill=—","Direction=H","UseDPDF=Y")</f>
        <v>171888</v>
      </c>
      <c r="AH9" s="13">
        <f>_xll.BDH("INDIGO IN Equity","IS_OPERATING_EXPN","FQ3 2025","FQ3 2025","Currency=INR","Period=FQ","BEST_FPERIOD_OVERRIDE=FQ","FILING_STATUS=MR","EQY_CONSOLIDATED=N","SCALING_FORMAT=MLN","FA_ADJUSTED=GAAP","Sort=A","Dates=H","DateFormat=P","Fill=—","Direction=H","UseDPDF=Y")</f>
        <v>177078</v>
      </c>
      <c r="AI9" s="13">
        <f>_xll.BDH("INDIGO IN Equity","IS_OPERATING_EXPN","FQ4 2025","FQ4 2025","Currency=INR","Period=FQ","BEST_FPERIOD_OVERRIDE=FQ","FILING_STATUS=MR","EQY_CONSOLIDATED=N","SCALING_FORMAT=MLN","FA_ADJUSTED=GAAP","Sort=A","Dates=H","DateFormat=P","Fill=—","Direction=H","UseDPDF=Y")</f>
        <v>186843</v>
      </c>
      <c r="AJ9" s="13">
        <f>_xll.BDH("INDIGO IN Equity","IS_OPERATING_EXPN","FQ1 2026","FQ1 2026","Currency=INR","Period=FQ","BEST_FPERIOD_OVERRIDE=FQ","FILING_STATUS=MR","EQY_CONSOLIDATED=N","SCALING_FORMAT=MLN","FA_ADJUSTED=GAAP","Sort=A","Dates=H","DateFormat=P","Fill=—","Direction=H","UseDPDF=Y")</f>
        <v>176972</v>
      </c>
      <c r="AK9" s="13">
        <f>_xll.BDH("INDIGO IN Equity","IS_OPERATING_EXPN","FQ2 2026","FQ2 2026","Currency=INR","Period=FQ","BEST_FPERIOD_OVERRIDE=FQ","FILING_STATUS=MR","EQY_CONSOLIDATED=N","SCALING_FORMAT=MLN","FA_ADJUSTED=GAAP","Sort=A","Dates=H","DateFormat=P","Fill=—","Direction=H","UseDPDF=Y")</f>
        <v>177344</v>
      </c>
      <c r="AL9" s="13">
        <f>_xll.BDH("INDIGO IN Equity","IS_OPERATING_EXPN","FQ3 2026","FQ3 2026","Currency=INR","Period=FQ","BEST_FPERIOD_OVERRIDE=FQ","FILING_STATUS=MR","EQY_CONSOLIDATED=N","SCALING_FORMAT=MLN","FA_ADJUSTED=GAAP","Sort=A","Dates=H","DateFormat=P","Fill=—","Direction=H","UseDPDF=Y")</f>
        <v>197704</v>
      </c>
      <c r="AM9" s="13">
        <f>_xll.BDH("INDIGO IN Equity","IS_OPERATING_EXPN","FQ4 2026","FQ4 2026","Currency=INR","Period=FQ","BEST_FPERIOD_OVERRIDE=FQ","FILING_STATUS=MR","EQY_CONSOLIDATED=N","SCALING_FORMAT=MLN","FA_ADJUSTED=GAAP","Sort=A","Dates=H","DateFormat=P","Fill=—","Direction=H","UseDPDF=Y")</f>
        <v>196165</v>
      </c>
      <c r="AN9" s="13">
        <f>_xll.BDH("INDIGO IN Equity","IS_OPERATING_EXPN","FQ1 2027","FQ1 2027","Currency=INR","Period=FQ","BEST_FPERIOD_OVERRIDE=FQ","FILING_STATUS=MR","EQY_CONSOLIDATED=N","SCALING_FORMAT=MLN","FA_ADJUSTED=GAAP","Sort=A","Dates=H","DateFormat=P","Fill=—","Direction=H","UseDPDF=Y")</f>
        <v>242456</v>
      </c>
      <c r="AO9" s="13"/>
      <c r="AP9" s="13"/>
    </row>
    <row r="10" spans="1:42" x14ac:dyDescent="0.25">
      <c r="A10" s="12" t="s">
        <v>108</v>
      </c>
      <c r="B10" s="12" t="s">
        <v>109</v>
      </c>
      <c r="C10" s="13" t="str">
        <f>_xll.BDH("INDIGO IN Equity","IS_OPER_EXPENSES_RD_GAAP","FQ4 2017","FQ4 2017","Currency=INR","Period=FQ","BEST_FPERIOD_OVERRIDE=FQ","FILING_STATUS=MR","EQY_CONSOLIDATED=N","SCALING_FORMAT=MLN","FA_ADJUSTED=GAAP","Sort=A","Dates=H","DateFormat=P","Fill=—","Direction=H","UseDPDF=Y")</f>
        <v>—</v>
      </c>
      <c r="D10" s="13" t="str">
        <f>_xll.BDH("INDIGO IN Equity","IS_OPER_EXPENSES_RD_GAAP","FQ1 2018","FQ1 2018","Currency=INR","Period=FQ","BEST_FPERIOD_OVERRIDE=FQ","FILING_STATUS=MR","EQY_CONSOLIDATED=N","SCALING_FORMAT=MLN","FA_ADJUSTED=GAAP","Sort=A","Dates=H","DateFormat=P","Fill=—","Direction=H","UseDPDF=Y")</f>
        <v>—</v>
      </c>
      <c r="E10" s="13" t="str">
        <f>_xll.BDH("INDIGO IN Equity","IS_OPER_EXPENSES_RD_GAAP","FQ2 2018","FQ2 2018","Currency=INR","Period=FQ","BEST_FPERIOD_OVERRIDE=FQ","FILING_STATUS=MR","EQY_CONSOLIDATED=N","SCALING_FORMAT=MLN","FA_ADJUSTED=GAAP","Sort=A","Dates=H","DateFormat=P","Fill=—","Direction=H","UseDPDF=Y")</f>
        <v>—</v>
      </c>
      <c r="F10" s="13" t="str">
        <f>_xll.BDH("INDIGO IN Equity","IS_OPER_EXPENSES_RD_GAAP","FQ3 2018","FQ3 2018","Currency=INR","Period=FQ","BEST_FPERIOD_OVERRIDE=FQ","FILING_STATUS=MR","EQY_CONSOLIDATED=N","SCALING_FORMAT=MLN","FA_ADJUSTED=GAAP","Sort=A","Dates=H","DateFormat=P","Fill=—","Direction=H","UseDPDF=Y")</f>
        <v>—</v>
      </c>
      <c r="G10" s="13" t="str">
        <f>_xll.BDH("INDIGO IN Equity","IS_OPER_EXPENSES_RD_GAAP","FQ4 2018","FQ4 2018","Currency=INR","Period=FQ","BEST_FPERIOD_OVERRIDE=FQ","FILING_STATUS=MR","EQY_CONSOLIDATED=N","SCALING_FORMAT=MLN","FA_ADJUSTED=GAAP","Sort=A","Dates=H","DateFormat=P","Fill=—","Direction=H","UseDPDF=Y")</f>
        <v>—</v>
      </c>
      <c r="H10" s="13" t="str">
        <f>_xll.BDH("INDIGO IN Equity","IS_OPER_EXPENSES_RD_GAAP","FQ1 2019","FQ1 2019","Currency=INR","Period=FQ","BEST_FPERIOD_OVERRIDE=FQ","FILING_STATUS=MR","EQY_CONSOLIDATED=N","SCALING_FORMAT=MLN","FA_ADJUSTED=GAAP","Sort=A","Dates=H","DateFormat=P","Fill=—","Direction=H","UseDPDF=Y")</f>
        <v>—</v>
      </c>
      <c r="I10" s="13" t="str">
        <f>_xll.BDH("INDIGO IN Equity","IS_OPER_EXPENSES_RD_GAAP","FQ2 2019","FQ2 2019","Currency=INR","Period=FQ","BEST_FPERIOD_OVERRIDE=FQ","FILING_STATUS=MR","EQY_CONSOLIDATED=N","SCALING_FORMAT=MLN","FA_ADJUSTED=GAAP","Sort=A","Dates=H","DateFormat=P","Fill=—","Direction=H","UseDPDF=Y")</f>
        <v>—</v>
      </c>
      <c r="J10" s="13" t="str">
        <f>_xll.BDH("INDIGO IN Equity","IS_OPER_EXPENSES_RD_GAAP","FQ3 2019","FQ3 2019","Currency=INR","Period=FQ","BEST_FPERIOD_OVERRIDE=FQ","FILING_STATUS=MR","EQY_CONSOLIDATED=N","SCALING_FORMAT=MLN","FA_ADJUSTED=GAAP","Sort=A","Dates=H","DateFormat=P","Fill=—","Direction=H","UseDPDF=Y")</f>
        <v>—</v>
      </c>
      <c r="K10" s="13" t="str">
        <f>_xll.BDH("INDIGO IN Equity","IS_OPER_EXPENSES_RD_GAAP","FQ4 2019","FQ4 2019","Currency=INR","Period=FQ","BEST_FPERIOD_OVERRIDE=FQ","FILING_STATUS=MR","EQY_CONSOLIDATED=N","SCALING_FORMAT=MLN","FA_ADJUSTED=GAAP","Sort=A","Dates=H","DateFormat=P","Fill=—","Direction=H","UseDPDF=Y")</f>
        <v>—</v>
      </c>
      <c r="L10" s="13" t="str">
        <f>_xll.BDH("INDIGO IN Equity","IS_OPER_EXPENSES_RD_GAAP","FQ1 2020","FQ1 2020","Currency=INR","Period=FQ","BEST_FPERIOD_OVERRIDE=FQ","FILING_STATUS=MR","EQY_CONSOLIDATED=N","SCALING_FORMAT=MLN","FA_ADJUSTED=GAAP","Sort=A","Dates=H","DateFormat=P","Fill=—","Direction=H","UseDPDF=Y")</f>
        <v>—</v>
      </c>
      <c r="M10" s="13" t="str">
        <f>_xll.BDH("INDIGO IN Equity","IS_OPER_EXPENSES_RD_GAAP","FQ2 2020","FQ2 2020","Currency=INR","Period=FQ","BEST_FPERIOD_OVERRIDE=FQ","FILING_STATUS=MR","EQY_CONSOLIDATED=N","SCALING_FORMAT=MLN","FA_ADJUSTED=GAAP","Sort=A","Dates=H","DateFormat=P","Fill=—","Direction=H","UseDPDF=Y")</f>
        <v>—</v>
      </c>
      <c r="N10" s="13" t="str">
        <f>_xll.BDH("INDIGO IN Equity","IS_OPER_EXPENSES_RD_GAAP","FQ3 2020","FQ3 2020","Currency=INR","Period=FQ","BEST_FPERIOD_OVERRIDE=FQ","FILING_STATUS=MR","EQY_CONSOLIDATED=N","SCALING_FORMAT=MLN","FA_ADJUSTED=GAAP","Sort=A","Dates=H","DateFormat=P","Fill=—","Direction=H","UseDPDF=Y")</f>
        <v>—</v>
      </c>
      <c r="O10" s="13" t="str">
        <f>_xll.BDH("INDIGO IN Equity","IS_OPER_EXPENSES_RD_GAAP","FQ4 2020","FQ4 2020","Currency=INR","Period=FQ","BEST_FPERIOD_OVERRIDE=FQ","FILING_STATUS=MR","EQY_CONSOLIDATED=N","SCALING_FORMAT=MLN","FA_ADJUSTED=GAAP","Sort=A","Dates=H","DateFormat=P","Fill=—","Direction=H","UseDPDF=Y")</f>
        <v>—</v>
      </c>
      <c r="P10" s="13" t="str">
        <f>_xll.BDH("INDIGO IN Equity","IS_OPER_EXPENSES_RD_GAAP","FQ1 2021","FQ1 2021","Currency=INR","Period=FQ","BEST_FPERIOD_OVERRIDE=FQ","FILING_STATUS=MR","EQY_CONSOLIDATED=N","SCALING_FORMAT=MLN","FA_ADJUSTED=GAAP","Sort=A","Dates=H","DateFormat=P","Fill=—","Direction=H","UseDPDF=Y")</f>
        <v>—</v>
      </c>
      <c r="Q10" s="13" t="str">
        <f>_xll.BDH("INDIGO IN Equity","IS_OPER_EXPENSES_RD_GAAP","FQ2 2021","FQ2 2021","Currency=INR","Period=FQ","BEST_FPERIOD_OVERRIDE=FQ","FILING_STATUS=MR","EQY_CONSOLIDATED=N","SCALING_FORMAT=MLN","FA_ADJUSTED=GAAP","Sort=A","Dates=H","DateFormat=P","Fill=—","Direction=H","UseDPDF=Y")</f>
        <v>—</v>
      </c>
      <c r="R10" s="13" t="str">
        <f>_xll.BDH("INDIGO IN Equity","IS_OPER_EXPENSES_RD_GAAP","FQ3 2021","FQ3 2021","Currency=INR","Period=FQ","BEST_FPERIOD_OVERRIDE=FQ","FILING_STATUS=MR","EQY_CONSOLIDATED=N","SCALING_FORMAT=MLN","FA_ADJUSTED=GAAP","Sort=A","Dates=H","DateFormat=P","Fill=—","Direction=H","UseDPDF=Y")</f>
        <v>—</v>
      </c>
      <c r="S10" s="13" t="str">
        <f>_xll.BDH("INDIGO IN Equity","IS_OPER_EXPENSES_RD_GAAP","FQ4 2021","FQ4 2021","Currency=INR","Period=FQ","BEST_FPERIOD_OVERRIDE=FQ","FILING_STATUS=MR","EQY_CONSOLIDATED=N","SCALING_FORMAT=MLN","FA_ADJUSTED=GAAP","Sort=A","Dates=H","DateFormat=P","Fill=—","Direction=H","UseDPDF=Y")</f>
        <v>—</v>
      </c>
      <c r="T10" s="13" t="str">
        <f>_xll.BDH("INDIGO IN Equity","IS_OPER_EXPENSES_RD_GAAP","FQ1 2022","FQ1 2022","Currency=INR","Period=FQ","BEST_FPERIOD_OVERRIDE=FQ","FILING_STATUS=MR","EQY_CONSOLIDATED=N","SCALING_FORMAT=MLN","FA_ADJUSTED=GAAP","Sort=A","Dates=H","DateFormat=P","Fill=—","Direction=H","UseDPDF=Y")</f>
        <v>—</v>
      </c>
      <c r="U10" s="13" t="str">
        <f>_xll.BDH("INDIGO IN Equity","IS_OPER_EXPENSES_RD_GAAP","FQ2 2022","FQ2 2022","Currency=INR","Period=FQ","BEST_FPERIOD_OVERRIDE=FQ","FILING_STATUS=MR","EQY_CONSOLIDATED=N","SCALING_FORMAT=MLN","FA_ADJUSTED=GAAP","Sort=A","Dates=H","DateFormat=P","Fill=—","Direction=H","UseDPDF=Y")</f>
        <v>—</v>
      </c>
      <c r="V10" s="13" t="str">
        <f>_xll.BDH("INDIGO IN Equity","IS_OPER_EXPENSES_RD_GAAP","FQ3 2022","FQ3 2022","Currency=INR","Period=FQ","BEST_FPERIOD_OVERRIDE=FQ","FILING_STATUS=MR","EQY_CONSOLIDATED=N","SCALING_FORMAT=MLN","FA_ADJUSTED=GAAP","Sort=A","Dates=H","DateFormat=P","Fill=—","Direction=H","UseDPDF=Y")</f>
        <v>—</v>
      </c>
      <c r="W10" s="13" t="str">
        <f>_xll.BDH("INDIGO IN Equity","IS_OPER_EXPENSES_RD_GAAP","FQ4 2022","FQ4 2022","Currency=INR","Period=FQ","BEST_FPERIOD_OVERRIDE=FQ","FILING_STATUS=MR","EQY_CONSOLIDATED=N","SCALING_FORMAT=MLN","FA_ADJUSTED=GAAP","Sort=A","Dates=H","DateFormat=P","Fill=—","Direction=H","UseDPDF=Y")</f>
        <v>—</v>
      </c>
      <c r="X10" s="13" t="str">
        <f>_xll.BDH("INDIGO IN Equity","IS_OPER_EXPENSES_RD_GAAP","FQ1 2023","FQ1 2023","Currency=INR","Period=FQ","BEST_FPERIOD_OVERRIDE=FQ","FILING_STATUS=MR","EQY_CONSOLIDATED=N","SCALING_FORMAT=MLN","FA_ADJUSTED=GAAP","Sort=A","Dates=H","DateFormat=P","Fill=—","Direction=H","UseDPDF=Y")</f>
        <v>—</v>
      </c>
      <c r="Y10" s="13" t="str">
        <f>_xll.BDH("INDIGO IN Equity","IS_OPER_EXPENSES_RD_GAAP","FQ2 2023","FQ2 2023","Currency=INR","Period=FQ","BEST_FPERIOD_OVERRIDE=FQ","FILING_STATUS=MR","EQY_CONSOLIDATED=N","SCALING_FORMAT=MLN","FA_ADJUSTED=GAAP","Sort=A","Dates=H","DateFormat=P","Fill=—","Direction=H","UseDPDF=Y")</f>
        <v>—</v>
      </c>
      <c r="Z10" s="13" t="str">
        <f>_xll.BDH("INDIGO IN Equity","IS_OPER_EXPENSES_RD_GAAP","FQ3 2023","FQ3 2023","Currency=INR","Period=FQ","BEST_FPERIOD_OVERRIDE=FQ","FILING_STATUS=MR","EQY_CONSOLIDATED=N","SCALING_FORMAT=MLN","FA_ADJUSTED=GAAP","Sort=A","Dates=H","DateFormat=P","Fill=—","Direction=H","UseDPDF=Y")</f>
        <v>—</v>
      </c>
      <c r="AA10" s="13" t="str">
        <f>_xll.BDH("INDIGO IN Equity","IS_OPER_EXPENSES_RD_GAAP","FQ4 2023","FQ4 2023","Currency=INR","Period=FQ","BEST_FPERIOD_OVERRIDE=FQ","FILING_STATUS=MR","EQY_CONSOLIDATED=N","SCALING_FORMAT=MLN","FA_ADJUSTED=GAAP","Sort=A","Dates=H","DateFormat=P","Fill=—","Direction=H","UseDPDF=Y")</f>
        <v>—</v>
      </c>
      <c r="AB10" s="13" t="str">
        <f>_xll.BDH("INDIGO IN Equity","IS_OPER_EXPENSES_RD_GAAP","FQ1 2024","FQ1 2024","Currency=INR","Period=FQ","BEST_FPERIOD_OVERRIDE=FQ","FILING_STATUS=MR","EQY_CONSOLIDATED=N","SCALING_FORMAT=MLN","FA_ADJUSTED=GAAP","Sort=A","Dates=H","DateFormat=P","Fill=—","Direction=H","UseDPDF=Y")</f>
        <v>—</v>
      </c>
      <c r="AC10" s="13" t="str">
        <f>_xll.BDH("INDIGO IN Equity","IS_OPER_EXPENSES_RD_GAAP","FQ2 2024","FQ2 2024","Currency=INR","Period=FQ","BEST_FPERIOD_OVERRIDE=FQ","FILING_STATUS=MR","EQY_CONSOLIDATED=N","SCALING_FORMAT=MLN","FA_ADJUSTED=GAAP","Sort=A","Dates=H","DateFormat=P","Fill=—","Direction=H","UseDPDF=Y")</f>
        <v>—</v>
      </c>
      <c r="AD10" s="13" t="str">
        <f>_xll.BDH("INDIGO IN Equity","IS_OPER_EXPENSES_RD_GAAP","FQ3 2024","FQ3 2024","Currency=INR","Period=FQ","BEST_FPERIOD_OVERRIDE=FQ","FILING_STATUS=MR","EQY_CONSOLIDATED=N","SCALING_FORMAT=MLN","FA_ADJUSTED=GAAP","Sort=A","Dates=H","DateFormat=P","Fill=—","Direction=H","UseDPDF=Y")</f>
        <v>—</v>
      </c>
      <c r="AE10" s="13" t="str">
        <f>_xll.BDH("INDIGO IN Equity","IS_OPER_EXPENSES_RD_GAAP","FQ4 2024","FQ4 2024","Currency=INR","Period=FQ","BEST_FPERIOD_OVERRIDE=FQ","FILING_STATUS=MR","EQY_CONSOLIDATED=N","SCALING_FORMAT=MLN","FA_ADJUSTED=GAAP","Sort=A","Dates=H","DateFormat=P","Fill=—","Direction=H","UseDPDF=Y")</f>
        <v>—</v>
      </c>
      <c r="AF10" s="13" t="str">
        <f>_xll.BDH("INDIGO IN Equity","IS_OPER_EXPENSES_RD_GAAP","FQ1 2025","FQ1 2025","Currency=INR","Period=FQ","BEST_FPERIOD_OVERRIDE=FQ","FILING_STATUS=MR","EQY_CONSOLIDATED=N","SCALING_FORMAT=MLN","FA_ADJUSTED=GAAP","Sort=A","Dates=H","DateFormat=P","Fill=—","Direction=H","UseDPDF=Y")</f>
        <v>—</v>
      </c>
      <c r="AG10" s="13" t="str">
        <f>_xll.BDH("INDIGO IN Equity","IS_OPER_EXPENSES_RD_GAAP","FQ2 2025","FQ2 2025","Currency=INR","Period=FQ","BEST_FPERIOD_OVERRIDE=FQ","FILING_STATUS=MR","EQY_CONSOLIDATED=N","SCALING_FORMAT=MLN","FA_ADJUSTED=GAAP","Sort=A","Dates=H","DateFormat=P","Fill=—","Direction=H","UseDPDF=Y")</f>
        <v>—</v>
      </c>
      <c r="AH10" s="13" t="str">
        <f>_xll.BDH("INDIGO IN Equity","IS_OPER_EXPENSES_RD_GAAP","FQ3 2025","FQ3 2025","Currency=INR","Period=FQ","BEST_FPERIOD_OVERRIDE=FQ","FILING_STATUS=MR","EQY_CONSOLIDATED=N","SCALING_FORMAT=MLN","FA_ADJUSTED=GAAP","Sort=A","Dates=H","DateFormat=P","Fill=—","Direction=H","UseDPDF=Y")</f>
        <v>—</v>
      </c>
      <c r="AI10" s="13">
        <f>_xll.BDH("INDIGO IN Equity","IS_OPER_EXPENSES_RD_GAAP","FQ4 2025","FQ4 2025","Currency=INR","Period=FQ","BEST_FPERIOD_OVERRIDE=FQ","FILING_STATUS=MR","EQY_CONSOLIDATED=N","SCALING_FORMAT=MLN","FA_ADJUSTED=GAAP","Sort=A","Dates=H","DateFormat=P","Fill=—","Direction=H","UseDPDF=Y")</f>
        <v>0</v>
      </c>
      <c r="AJ10" s="13" t="str">
        <f>_xll.BDH("INDIGO IN Equity","IS_OPER_EXPENSES_RD_GAAP","FQ1 2026","FQ1 2026","Currency=INR","Period=FQ","BEST_FPERIOD_OVERRIDE=FQ","FILING_STATUS=MR","EQY_CONSOLIDATED=N","SCALING_FORMAT=MLN","FA_ADJUSTED=GAAP","Sort=A","Dates=H","DateFormat=P","Fill=—","Direction=H","UseDPDF=Y")</f>
        <v>—</v>
      </c>
      <c r="AK10" s="13" t="str">
        <f>_xll.BDH("INDIGO IN Equity","IS_OPER_EXPENSES_RD_GAAP","FQ2 2026","FQ2 2026","Currency=INR","Period=FQ","BEST_FPERIOD_OVERRIDE=FQ","FILING_STATUS=MR","EQY_CONSOLIDATED=N","SCALING_FORMAT=MLN","FA_ADJUSTED=GAAP","Sort=A","Dates=H","DateFormat=P","Fill=—","Direction=H","UseDPDF=Y")</f>
        <v>—</v>
      </c>
      <c r="AL10" s="13" t="str">
        <f>_xll.BDH("INDIGO IN Equity","IS_OPER_EXPENSES_RD_GAAP","FQ3 2026","FQ3 2026","Currency=INR","Period=FQ","BEST_FPERIOD_OVERRIDE=FQ","FILING_STATUS=MR","EQY_CONSOLIDATED=N","SCALING_FORMAT=MLN","FA_ADJUSTED=GAAP","Sort=A","Dates=H","DateFormat=P","Fill=—","Direction=H","UseDPDF=Y")</f>
        <v>—</v>
      </c>
      <c r="AM10" s="13" t="str">
        <f>_xll.BDH("INDIGO IN Equity","IS_OPER_EXPENSES_RD_GAAP","FQ4 2026","FQ4 2026","Currency=INR","Period=FQ","BEST_FPERIOD_OVERRIDE=FQ","FILING_STATUS=MR","EQY_CONSOLIDATED=N","SCALING_FORMAT=MLN","FA_ADJUSTED=GAAP","Sort=A","Dates=H","DateFormat=P","Fill=—","Direction=H","UseDPDF=Y")</f>
        <v>—</v>
      </c>
      <c r="AN10" s="13" t="str">
        <f>_xll.BDH("INDIGO IN Equity","IS_OPER_EXPENSES_RD_GAAP","FQ1 2027","FQ1 2027","Currency=INR","Period=FQ","BEST_FPERIOD_OVERRIDE=FQ","FILING_STATUS=MR","EQY_CONSOLIDATED=N","SCALING_FORMAT=MLN","FA_ADJUSTED=GAAP","Sort=A","Dates=H","DateFormat=P","Fill=—","Direction=H","UseDPDF=Y")</f>
        <v>—</v>
      </c>
      <c r="AO10" s="13"/>
      <c r="AP10" s="13"/>
    </row>
    <row r="11" spans="1:42" x14ac:dyDescent="0.25">
      <c r="A11" s="12" t="s">
        <v>110</v>
      </c>
      <c r="B11" s="12" t="s">
        <v>111</v>
      </c>
      <c r="C11" s="13">
        <f>_xll.BDH("INDIGO IN Equity","IS_DEPRECIATION_AND_AMORTIZATION","FQ4 2017","FQ4 2017","Currency=INR","Period=FQ","BEST_FPERIOD_OVERRIDE=FQ","FILING_STATUS=MR","EQY_CONSOLIDATED=N","SCALING_FORMAT=MLN","FA_ADJUSTED=GAAP","Sort=A","Dates=H","DateFormat=P","Fill=—","Direction=H","UseDPDF=Y")</f>
        <v>1051.7</v>
      </c>
      <c r="D11" s="13">
        <f>_xll.BDH("INDIGO IN Equity","IS_DEPRECIATION_AND_AMORTIZATION","FQ1 2018","FQ1 2018","Currency=INR","Period=FQ","BEST_FPERIOD_OVERRIDE=FQ","FILING_STATUS=MR","EQY_CONSOLIDATED=N","SCALING_FORMAT=MLN","FA_ADJUSTED=GAAP","Sort=A","Dates=H","DateFormat=P","Fill=—","Direction=H","UseDPDF=Y")</f>
        <v>983.41</v>
      </c>
      <c r="E11" s="13">
        <f>_xll.BDH("INDIGO IN Equity","IS_DEPRECIATION_AND_AMORTIZATION","FQ2 2018","FQ2 2018","Currency=INR","Period=FQ","BEST_FPERIOD_OVERRIDE=FQ","FILING_STATUS=MR","EQY_CONSOLIDATED=N","SCALING_FORMAT=MLN","FA_ADJUSTED=GAAP","Sort=A","Dates=H","DateFormat=P","Fill=—","Direction=H","UseDPDF=Y")</f>
        <v>1025.26</v>
      </c>
      <c r="F11" s="13">
        <f>_xll.BDH("INDIGO IN Equity","IS_DEPRECIATION_AND_AMORTIZATION","FQ3 2018","FQ3 2018","Currency=INR","Period=FQ","BEST_FPERIOD_OVERRIDE=FQ","FILING_STATUS=MR","EQY_CONSOLIDATED=N","SCALING_FORMAT=MLN","FA_ADJUSTED=GAAP","Sort=A","Dates=H","DateFormat=P","Fill=—","Direction=H","UseDPDF=Y")</f>
        <v>1073.75</v>
      </c>
      <c r="G11" s="13">
        <f>_xll.BDH("INDIGO IN Equity","IS_DEPRECIATION_AND_AMORTIZATION","FQ4 2018","FQ4 2018","Currency=INR","Period=FQ","BEST_FPERIOD_OVERRIDE=FQ","FILING_STATUS=MR","EQY_CONSOLIDATED=N","SCALING_FORMAT=MLN","FA_ADJUSTED=GAAP","Sort=A","Dates=H","DateFormat=P","Fill=—","Direction=H","UseDPDF=Y")</f>
        <v>1286.3499999999999</v>
      </c>
      <c r="H11" s="13">
        <f>_xll.BDH("INDIGO IN Equity","IS_DEPRECIATION_AND_AMORTIZATION","FQ1 2019","FQ1 2019","Currency=INR","Period=FQ","BEST_FPERIOD_OVERRIDE=FQ","FILING_STATUS=MR","EQY_CONSOLIDATED=N","SCALING_FORMAT=MLN","FA_ADJUSTED=GAAP","Sort=A","Dates=H","DateFormat=P","Fill=—","Direction=H","UseDPDF=Y")</f>
        <v>1552.65</v>
      </c>
      <c r="I11" s="13">
        <f>_xll.BDH("INDIGO IN Equity","IS_DEPRECIATION_AND_AMORTIZATION","FQ2 2019","FQ2 2019","Currency=INR","Period=FQ","BEST_FPERIOD_OVERRIDE=FQ","FILING_STATUS=MR","EQY_CONSOLIDATED=N","SCALING_FORMAT=MLN","FA_ADJUSTED=GAAP","Sort=A","Dates=H","DateFormat=P","Fill=—","Direction=H","UseDPDF=Y")</f>
        <v>1819.71</v>
      </c>
      <c r="J11" s="13">
        <f>_xll.BDH("INDIGO IN Equity","IS_DEPRECIATION_AND_AMORTIZATION","FQ3 2019","FQ3 2019","Currency=INR","Period=FQ","BEST_FPERIOD_OVERRIDE=FQ","FILING_STATUS=MR","EQY_CONSOLIDATED=N","SCALING_FORMAT=MLN","FA_ADJUSTED=GAAP","Sort=A","Dates=H","DateFormat=P","Fill=—","Direction=H","UseDPDF=Y")</f>
        <v>2038.26</v>
      </c>
      <c r="K11" s="13">
        <f>_xll.BDH("INDIGO IN Equity","IS_DEPRECIATION_AND_AMORTIZATION","FQ4 2019","FQ4 2019","Currency=INR","Period=FQ","BEST_FPERIOD_OVERRIDE=FQ","FILING_STATUS=MR","EQY_CONSOLIDATED=N","SCALING_FORMAT=MLN","FA_ADJUSTED=GAAP","Sort=A","Dates=H","DateFormat=P","Fill=—","Direction=H","UseDPDF=Y")</f>
        <v>2185.1799999999998</v>
      </c>
      <c r="L11" s="13">
        <f>_xll.BDH("INDIGO IN Equity","IS_DEPRECIATION_AND_AMORTIZATION","FQ1 2020","FQ1 2020","Currency=INR","Period=FQ","BEST_FPERIOD_OVERRIDE=FQ","FILING_STATUS=MR","EQY_CONSOLIDATED=N","SCALING_FORMAT=MLN","FA_ADJUSTED=GAAP","Sort=A","Dates=H","DateFormat=P","Fill=—","Direction=H","UseDPDF=Y")</f>
        <v>9009.1200000000008</v>
      </c>
      <c r="M11" s="13">
        <f>_xll.BDH("INDIGO IN Equity","IS_DEPRECIATION_AND_AMORTIZATION","FQ2 2020","FQ2 2020","Currency=INR","Period=FQ","BEST_FPERIOD_OVERRIDE=FQ","FILING_STATUS=MR","EQY_CONSOLIDATED=N","SCALING_FORMAT=MLN","FA_ADJUSTED=GAAP","Sort=A","Dates=H","DateFormat=P","Fill=—","Direction=H","UseDPDF=Y")</f>
        <v>10287.36</v>
      </c>
      <c r="N11" s="13">
        <f>_xll.BDH("INDIGO IN Equity","IS_DEPRECIATION_AND_AMORTIZATION","FQ3 2020","FQ3 2020","Currency=INR","Period=FQ","BEST_FPERIOD_OVERRIDE=FQ","FILING_STATUS=MR","EQY_CONSOLIDATED=N","SCALING_FORMAT=MLN","FA_ADJUSTED=GAAP","Sort=A","Dates=H","DateFormat=P","Fill=—","Direction=H","UseDPDF=Y")</f>
        <v>10376.93</v>
      </c>
      <c r="O11" s="13">
        <f>_xll.BDH("INDIGO IN Equity","IS_DEPRECIATION_AND_AMORTIZATION","FQ4 2020","FQ4 2020","Currency=INR","Period=FQ","BEST_FPERIOD_OVERRIDE=FQ","FILING_STATUS=MR","EQY_CONSOLIDATED=N","SCALING_FORMAT=MLN","FA_ADJUSTED=GAAP","Sort=A","Dates=H","DateFormat=P","Fill=—","Direction=H","UseDPDF=Y")</f>
        <v>10062.719999999999</v>
      </c>
      <c r="P11" s="13">
        <f>_xll.BDH("INDIGO IN Equity","IS_DEPRECIATION_AND_AMORTIZATION","FQ1 2021","FQ1 2021","Currency=INR","Period=FQ","BEST_FPERIOD_OVERRIDE=FQ","FILING_STATUS=MR","EQY_CONSOLIDATED=N","SCALING_FORMAT=MLN","FA_ADJUSTED=GAAP","Sort=A","Dates=H","DateFormat=P","Fill=—","Direction=H","UseDPDF=Y")</f>
        <v>10963.75</v>
      </c>
      <c r="Q11" s="13">
        <f>_xll.BDH("INDIGO IN Equity","IS_DEPRECIATION_AND_AMORTIZATION","FQ2 2021","FQ2 2021","Currency=INR","Period=FQ","BEST_FPERIOD_OVERRIDE=FQ","FILING_STATUS=MR","EQY_CONSOLIDATED=N","SCALING_FORMAT=MLN","FA_ADJUSTED=GAAP","Sort=A","Dates=H","DateFormat=P","Fill=—","Direction=H","UseDPDF=Y")</f>
        <v>11263.95</v>
      </c>
      <c r="R11" s="13">
        <f>_xll.BDH("INDIGO IN Equity","IS_DEPRECIATION_AND_AMORTIZATION","FQ3 2021","FQ3 2021","Currency=INR","Period=FQ","BEST_FPERIOD_OVERRIDE=FQ","FILING_STATUS=MR","EQY_CONSOLIDATED=N","SCALING_FORMAT=MLN","FA_ADJUSTED=GAAP","Sort=A","Dates=H","DateFormat=P","Fill=—","Direction=H","UseDPDF=Y")</f>
        <v>11564.63</v>
      </c>
      <c r="S11" s="13">
        <f>_xll.BDH("INDIGO IN Equity","IS_DEPRECIATION_AND_AMORTIZATION","FQ4 2021","FQ4 2021","Currency=INR","Period=FQ","BEST_FPERIOD_OVERRIDE=FQ","FILING_STATUS=MR","EQY_CONSOLIDATED=N","SCALING_FORMAT=MLN","FA_ADJUSTED=GAAP","Sort=A","Dates=H","DateFormat=P","Fill=—","Direction=H","UseDPDF=Y")</f>
        <v>13194.52</v>
      </c>
      <c r="T11" s="13">
        <f>_xll.BDH("INDIGO IN Equity","IS_DEPRECIATION_AND_AMORTIZATION","FQ1 2022","FQ1 2022","Currency=INR","Period=FQ","BEST_FPERIOD_OVERRIDE=FQ","FILING_STATUS=MR","EQY_CONSOLIDATED=N","SCALING_FORMAT=MLN","FA_ADJUSTED=GAAP","Sort=A","Dates=H","DateFormat=P","Fill=—","Direction=H","UseDPDF=Y")</f>
        <v>13170.84</v>
      </c>
      <c r="U11" s="13">
        <f>_xll.BDH("INDIGO IN Equity","IS_DEPRECIATION_AND_AMORTIZATION","FQ2 2022","FQ2 2022","Currency=INR","Period=FQ","BEST_FPERIOD_OVERRIDE=FQ","FILING_STATUS=MR","EQY_CONSOLIDATED=N","SCALING_FORMAT=MLN","FA_ADJUSTED=GAAP","Sort=A","Dates=H","DateFormat=P","Fill=—","Direction=H","UseDPDF=Y")</f>
        <v>12478.88</v>
      </c>
      <c r="V11" s="13">
        <f>_xll.BDH("INDIGO IN Equity","IS_DEPRECIATION_AND_AMORTIZATION","FQ3 2022","FQ3 2022","Currency=INR","Period=FQ","BEST_FPERIOD_OVERRIDE=FQ","FILING_STATUS=MR","EQY_CONSOLIDATED=N","SCALING_FORMAT=MLN","FA_ADJUSTED=GAAP","Sort=A","Dates=H","DateFormat=P","Fill=—","Direction=H","UseDPDF=Y")</f>
        <v>12335.87</v>
      </c>
      <c r="W11" s="13">
        <f>_xll.BDH("INDIGO IN Equity","IS_DEPRECIATION_AND_AMORTIZATION","FQ4 2022","FQ4 2022","Currency=INR","Period=FQ","BEST_FPERIOD_OVERRIDE=FQ","FILING_STATUS=MR","EQY_CONSOLIDATED=N","SCALING_FORMAT=MLN","FA_ADJUSTED=GAAP","Sort=A","Dates=H","DateFormat=P","Fill=—","Direction=H","UseDPDF=Y")</f>
        <v>12692.88</v>
      </c>
      <c r="X11" s="13">
        <f>_xll.BDH("INDIGO IN Equity","IS_DEPRECIATION_AND_AMORTIZATION","FQ1 2023","FQ1 2023","Currency=INR","Period=FQ","BEST_FPERIOD_OVERRIDE=FQ","FILING_STATUS=MR","EQY_CONSOLIDATED=N","SCALING_FORMAT=MLN","FA_ADJUSTED=GAAP","Sort=A","Dates=H","DateFormat=P","Fill=—","Direction=H","UseDPDF=Y")</f>
        <v>11696.16</v>
      </c>
      <c r="Y11" s="13">
        <f>_xll.BDH("INDIGO IN Equity","IS_DEPRECIATION_AND_AMORTIZATION","FQ2 2023","FQ2 2023","Currency=INR","Period=FQ","BEST_FPERIOD_OVERRIDE=FQ","FILING_STATUS=MR","EQY_CONSOLIDATED=N","SCALING_FORMAT=MLN","FA_ADJUSTED=GAAP","Sort=A","Dates=H","DateFormat=P","Fill=—","Direction=H","UseDPDF=Y")</f>
        <v>12372.58</v>
      </c>
      <c r="Z11" s="13">
        <f>_xll.BDH("INDIGO IN Equity","IS_DEPRECIATION_AND_AMORTIZATION","FQ3 2023","FQ3 2023","Currency=INR","Period=FQ","BEST_FPERIOD_OVERRIDE=FQ","FILING_STATUS=MR","EQY_CONSOLIDATED=N","SCALING_FORMAT=MLN","FA_ADJUSTED=GAAP","Sort=A","Dates=H","DateFormat=P","Fill=—","Direction=H","UseDPDF=Y")</f>
        <v>13418.78</v>
      </c>
      <c r="AA11" s="13">
        <f>_xll.BDH("INDIGO IN Equity","IS_DEPRECIATION_AND_AMORTIZATION","FQ4 2023","FQ4 2023","Currency=INR","Period=FQ","BEST_FPERIOD_OVERRIDE=FQ","FILING_STATUS=MR","EQY_CONSOLIDATED=N","SCALING_FORMAT=MLN","FA_ADJUSTED=GAAP","Sort=A","Dates=H","DateFormat=P","Fill=—","Direction=H","UseDPDF=Y")</f>
        <v>13524.85</v>
      </c>
      <c r="AB11" s="13">
        <f>_xll.BDH("INDIGO IN Equity","IS_DEPRECIATION_AND_AMORTIZATION","FQ1 2024","FQ1 2024","Currency=INR","Period=FQ","BEST_FPERIOD_OVERRIDE=FQ","FILING_STATUS=MR","EQY_CONSOLIDATED=N","SCALING_FORMAT=MLN","FA_ADJUSTED=GAAP","Sort=A","Dates=H","DateFormat=P","Fill=—","Direction=H","UseDPDF=Y")</f>
        <v>14043.35</v>
      </c>
      <c r="AC11" s="13">
        <f>_xll.BDH("INDIGO IN Equity","IS_DEPRECIATION_AND_AMORTIZATION","FQ2 2024","FQ2 2024","Currency=INR","Period=FQ","BEST_FPERIOD_OVERRIDE=FQ","FILING_STATUS=MR","EQY_CONSOLIDATED=N","SCALING_FORMAT=MLN","FA_ADJUSTED=GAAP","Sort=A","Dates=H","DateFormat=P","Fill=—","Direction=H","UseDPDF=Y")</f>
        <v>15454.62</v>
      </c>
      <c r="AD11" s="13">
        <f>_xll.BDH("INDIGO IN Equity","IS_DEPRECIATION_AND_AMORTIZATION","FQ3 2024","FQ3 2024","Currency=INR","Period=FQ","BEST_FPERIOD_OVERRIDE=FQ","FILING_STATUS=MR","EQY_CONSOLIDATED=N","SCALING_FORMAT=MLN","FA_ADJUSTED=GAAP","Sort=A","Dates=H","DateFormat=P","Fill=—","Direction=H","UseDPDF=Y")</f>
        <v>16603.45</v>
      </c>
      <c r="AE11" s="13">
        <f>_xll.BDH("INDIGO IN Equity","IS_DEPRECIATION_AND_AMORTIZATION","FQ4 2024","FQ4 2024","Currency=INR","Period=FQ","BEST_FPERIOD_OVERRIDE=FQ","FILING_STATUS=MR","EQY_CONSOLIDATED=N","SCALING_FORMAT=MLN","FA_ADJUSTED=GAAP","Sort=A","Dates=H","DateFormat=P","Fill=—","Direction=H","UseDPDF=Y")</f>
        <v>17954.669999999998</v>
      </c>
      <c r="AF11" s="13">
        <f>_xll.BDH("INDIGO IN Equity","IS_DEPRECIATION_AND_AMORTIZATION","FQ1 2025","FQ1 2025","Currency=INR","Period=FQ","BEST_FPERIOD_OVERRIDE=FQ","FILING_STATUS=MR","EQY_CONSOLIDATED=N","SCALING_FORMAT=MLN","FA_ADJUSTED=GAAP","Sort=A","Dates=H","DateFormat=P","Fill=—","Direction=H","UseDPDF=Y")</f>
        <v>18665</v>
      </c>
      <c r="AG11" s="13">
        <f>_xll.BDH("INDIGO IN Equity","IS_DEPRECIATION_AND_AMORTIZATION","FQ2 2025","FQ2 2025","Currency=INR","Period=FQ","BEST_FPERIOD_OVERRIDE=FQ","FILING_STATUS=MR","EQY_CONSOLIDATED=N","SCALING_FORMAT=MLN","FA_ADJUSTED=GAAP","Sort=A","Dates=H","DateFormat=P","Fill=—","Direction=H","UseDPDF=Y")</f>
        <v>20776</v>
      </c>
      <c r="AH11" s="13">
        <f>_xll.BDH("INDIGO IN Equity","IS_DEPRECIATION_AND_AMORTIZATION","FQ3 2025","FQ3 2025","Currency=INR","Period=FQ","BEST_FPERIOD_OVERRIDE=FQ","FILING_STATUS=MR","EQY_CONSOLIDATED=N","SCALING_FORMAT=MLN","FA_ADJUSTED=GAAP","Sort=A","Dates=H","DateFormat=P","Fill=—","Direction=H","UseDPDF=Y")</f>
        <v>22154</v>
      </c>
      <c r="AI11" s="13">
        <f>_xll.BDH("INDIGO IN Equity","IS_DEPRECIATION_AND_AMORTIZATION","FQ4 2025","FQ4 2025","Currency=INR","Period=FQ","BEST_FPERIOD_OVERRIDE=FQ","FILING_STATUS=MR","EQY_CONSOLIDATED=N","SCALING_FORMAT=MLN","FA_ADJUSTED=GAAP","Sort=A","Dates=H","DateFormat=P","Fill=—","Direction=H","UseDPDF=Y")</f>
        <v>24771</v>
      </c>
      <c r="AJ11" s="13">
        <f>_xll.BDH("INDIGO IN Equity","IS_DEPRECIATION_AND_AMORTIZATION","FQ1 2026","FQ1 2026","Currency=INR","Period=FQ","BEST_FPERIOD_OVERRIDE=FQ","FILING_STATUS=MR","EQY_CONSOLIDATED=N","SCALING_FORMAT=MLN","FA_ADJUSTED=GAAP","Sort=A","Dates=H","DateFormat=P","Fill=—","Direction=H","UseDPDF=Y")</f>
        <v>25531</v>
      </c>
      <c r="AK11" s="13">
        <f>_xll.BDH("INDIGO IN Equity","IS_DEPRECIATION_AND_AMORTIZATION","FQ2 2026","FQ2 2026","Currency=INR","Period=FQ","BEST_FPERIOD_OVERRIDE=FQ","FILING_STATUS=MR","EQY_CONSOLIDATED=N","SCALING_FORMAT=MLN","FA_ADJUSTED=GAAP","Sort=A","Dates=H","DateFormat=P","Fill=—","Direction=H","UseDPDF=Y")</f>
        <v>26293</v>
      </c>
      <c r="AL11" s="13">
        <f>_xll.BDH("INDIGO IN Equity","IS_DEPRECIATION_AND_AMORTIZATION","FQ3 2026","FQ3 2026","Currency=INR","Period=FQ","BEST_FPERIOD_OVERRIDE=FQ","FILING_STATUS=MR","EQY_CONSOLIDATED=N","SCALING_FORMAT=MLN","FA_ADJUSTED=GAAP","Sort=A","Dates=H","DateFormat=P","Fill=—","Direction=H","UseDPDF=Y")</f>
        <v>27681</v>
      </c>
      <c r="AM11" s="13">
        <f>_xll.BDH("INDIGO IN Equity","IS_DEPRECIATION_AND_AMORTIZATION","FQ4 2026","FQ4 2026","Currency=INR","Period=FQ","BEST_FPERIOD_OVERRIDE=FQ","FILING_STATUS=MR","EQY_CONSOLIDATED=N","SCALING_FORMAT=MLN","FA_ADJUSTED=GAAP","Sort=A","Dates=H","DateFormat=P","Fill=—","Direction=H","UseDPDF=Y")</f>
        <v>28009</v>
      </c>
      <c r="AN11" s="13">
        <f>_xll.BDH("INDIGO IN Equity","IS_DEPRECIATION_AND_AMORTIZATION","FQ1 2027","FQ1 2027","Currency=INR","Period=FQ","BEST_FPERIOD_OVERRIDE=FQ","FILING_STATUS=MR","EQY_CONSOLIDATED=N","SCALING_FORMAT=MLN","FA_ADJUSTED=GAAP","Sort=A","Dates=H","DateFormat=P","Fill=—","Direction=H","UseDPDF=Y")</f>
        <v>29517</v>
      </c>
      <c r="AO11" s="13"/>
      <c r="AP11" s="13"/>
    </row>
    <row r="12" spans="1:42" x14ac:dyDescent="0.25">
      <c r="A12" s="12" t="s">
        <v>112</v>
      </c>
      <c r="B12" s="12" t="s">
        <v>113</v>
      </c>
      <c r="C12" s="13">
        <f>_xll.BDH("INDIGO IN Equity","OTHER_OPERATING_EXPENSES_RATIO","FQ4 2017","FQ4 2017","Currency=INR","Period=FQ","BEST_FPERIOD_OVERRIDE=FQ","FILING_STATUS=MR","EQY_CONSOLIDATED=N","SCALING_FORMAT=MLN","FA_ADJUSTED=GAAP","Sort=A","Dates=H","DateFormat=P","Fill=—","Direction=H","UseDPDF=Y")</f>
        <v>43402.16</v>
      </c>
      <c r="D12" s="13">
        <f>_xll.BDH("INDIGO IN Equity","OTHER_OPERATING_EXPENSES_RATIO","FQ1 2018","FQ1 2018","Currency=INR","Period=FQ","BEST_FPERIOD_OVERRIDE=FQ","FILING_STATUS=MR","EQY_CONSOLIDATED=N","SCALING_FORMAT=MLN","FA_ADJUSTED=GAAP","Sort=A","Dates=H","DateFormat=P","Fill=—","Direction=H","UseDPDF=Y")</f>
        <v>46558.96</v>
      </c>
      <c r="E12" s="13">
        <f>_xll.BDH("INDIGO IN Equity","OTHER_OPERATING_EXPENSES_RATIO","FQ2 2018","FQ2 2018","Currency=INR","Period=FQ","BEST_FPERIOD_OVERRIDE=FQ","FILING_STATUS=MR","EQY_CONSOLIDATED=N","SCALING_FORMAT=MLN","FA_ADJUSTED=GAAP","Sort=A","Dates=H","DateFormat=P","Fill=—","Direction=H","UseDPDF=Y")</f>
        <v>45528.31</v>
      </c>
      <c r="F12" s="13">
        <f>_xll.BDH("INDIGO IN Equity","OTHER_OPERATING_EXPENSES_RATIO","FQ3 2018","FQ3 2018","Currency=INR","Period=FQ","BEST_FPERIOD_OVERRIDE=FQ","FILING_STATUS=MR","EQY_CONSOLIDATED=N","SCALING_FORMAT=MLN","FA_ADJUSTED=GAAP","Sort=A","Dates=H","DateFormat=P","Fill=—","Direction=H","UseDPDF=Y")</f>
        <v>51863.76</v>
      </c>
      <c r="G12" s="13">
        <f>_xll.BDH("INDIGO IN Equity","OTHER_OPERATING_EXPENSES_RATIO","FQ4 2018","FQ4 2018","Currency=INR","Period=FQ","BEST_FPERIOD_OVERRIDE=FQ","FILING_STATUS=MR","EQY_CONSOLIDATED=N","SCALING_FORMAT=MLN","FA_ADJUSTED=GAAP","Sort=A","Dates=H","DateFormat=P","Fill=—","Direction=H","UseDPDF=Y")</f>
        <v>56692.71</v>
      </c>
      <c r="H12" s="13">
        <f>_xll.BDH("INDIGO IN Equity","OTHER_OPERATING_EXPENSES_RATIO","FQ1 2019","FQ1 2019","Currency=INR","Period=FQ","BEST_FPERIOD_OVERRIDE=FQ","FILING_STATUS=MR","EQY_CONSOLIDATED=N","SCALING_FORMAT=MLN","FA_ADJUSTED=GAAP","Sort=A","Dates=H","DateFormat=P","Fill=—","Direction=H","UseDPDF=Y")</f>
        <v>65230.45</v>
      </c>
      <c r="I12" s="13">
        <f>_xll.BDH("INDIGO IN Equity","OTHER_OPERATING_EXPENSES_RATIO","FQ2 2019","FQ2 2019","Currency=INR","Period=FQ","BEST_FPERIOD_OVERRIDE=FQ","FILING_STATUS=MR","EQY_CONSOLIDATED=N","SCALING_FORMAT=MLN","FA_ADJUSTED=GAAP","Sort=A","Dates=H","DateFormat=P","Fill=—","Direction=H","UseDPDF=Y")</f>
        <v>68549.009999999995</v>
      </c>
      <c r="J12" s="13">
        <f>_xll.BDH("INDIGO IN Equity","OTHER_OPERATING_EXPENSES_RATIO","FQ3 2019","FQ3 2019","Currency=INR","Period=FQ","BEST_FPERIOD_OVERRIDE=FQ","FILING_STATUS=MR","EQY_CONSOLIDATED=N","SCALING_FORMAT=MLN","FA_ADJUSTED=GAAP","Sort=A","Dates=H","DateFormat=P","Fill=—","Direction=H","UseDPDF=Y")</f>
        <v>78004.58</v>
      </c>
      <c r="K12" s="13">
        <f>_xll.BDH("INDIGO IN Equity","OTHER_OPERATING_EXPENSES_RATIO","FQ4 2019","FQ4 2019","Currency=INR","Period=FQ","BEST_FPERIOD_OVERRIDE=FQ","FILING_STATUS=MR","EQY_CONSOLIDATED=N","SCALING_FORMAT=MLN","FA_ADJUSTED=GAAP","Sort=A","Dates=H","DateFormat=P","Fill=—","Direction=H","UseDPDF=Y")</f>
        <v>73024.27</v>
      </c>
      <c r="L12" s="13">
        <f>_xll.BDH("INDIGO IN Equity","OTHER_OPERATING_EXPENSES_RATIO","FQ1 2020","FQ1 2020","Currency=INR","Period=FQ","BEST_FPERIOD_OVERRIDE=FQ","FILING_STATUS=MR","EQY_CONSOLIDATED=N","SCALING_FORMAT=MLN","FA_ADJUSTED=GAAP","Sort=A","Dates=H","DateFormat=P","Fill=—","Direction=H","UseDPDF=Y")</f>
        <v>69412.710000000006</v>
      </c>
      <c r="M12" s="13">
        <f>_xll.BDH("INDIGO IN Equity","OTHER_OPERATING_EXPENSES_RATIO","FQ2 2020","FQ2 2020","Currency=INR","Period=FQ","BEST_FPERIOD_OVERRIDE=FQ","FILING_STATUS=MR","EQY_CONSOLIDATED=N","SCALING_FORMAT=MLN","FA_ADJUSTED=GAAP","Sort=A","Dates=H","DateFormat=P","Fill=—","Direction=H","UseDPDF=Y")</f>
        <v>76734.28</v>
      </c>
      <c r="N12" s="13">
        <f>_xll.BDH("INDIGO IN Equity","OTHER_OPERATING_EXPENSES_RATIO","FQ3 2020","FQ3 2020","Currency=INR","Period=FQ","BEST_FPERIOD_OVERRIDE=FQ","FILING_STATUS=MR","EQY_CONSOLIDATED=N","SCALING_FORMAT=MLN","FA_ADJUSTED=GAAP","Sort=A","Dates=H","DateFormat=P","Fill=—","Direction=H","UseDPDF=Y")</f>
        <v>81367.88</v>
      </c>
      <c r="O12" s="13">
        <f>_xll.BDH("INDIGO IN Equity","OTHER_OPERATING_EXPENSES_RATIO","FQ4 2020","FQ4 2020","Currency=INR","Period=FQ","BEST_FPERIOD_OVERRIDE=FQ","FILING_STATUS=MR","EQY_CONSOLIDATED=N","SCALING_FORMAT=MLN","FA_ADJUSTED=GAAP","Sort=A","Dates=H","DateFormat=P","Fill=—","Direction=H","UseDPDF=Y")</f>
        <v>74201.72</v>
      </c>
      <c r="P12" s="13">
        <f>_xll.BDH("INDIGO IN Equity","OTHER_OPERATING_EXPENSES_RATIO","FQ1 2021","FQ1 2021","Currency=INR","Period=FQ","BEST_FPERIOD_OVERRIDE=FQ","FILING_STATUS=MR","EQY_CONSOLIDATED=N","SCALING_FORMAT=MLN","FA_ADJUSTED=GAAP","Sort=A","Dates=H","DateFormat=P","Fill=—","Direction=H","UseDPDF=Y")</f>
        <v>23108.81</v>
      </c>
      <c r="Q12" s="13">
        <f>_xll.BDH("INDIGO IN Equity","OTHER_OPERATING_EXPENSES_RATIO","FQ2 2021","FQ2 2021","Currency=INR","Period=FQ","BEST_FPERIOD_OVERRIDE=FQ","FILING_STATUS=MR","EQY_CONSOLIDATED=N","SCALING_FORMAT=MLN","FA_ADJUSTED=GAAP","Sort=A","Dates=H","DateFormat=P","Fill=—","Direction=H","UseDPDF=Y")</f>
        <v>30483.37</v>
      </c>
      <c r="R12" s="13">
        <f>_xll.BDH("INDIGO IN Equity","OTHER_OPERATING_EXPENSES_RATIO","FQ3 2021","FQ3 2021","Currency=INR","Period=FQ","BEST_FPERIOD_OVERRIDE=FQ","FILING_STATUS=MR","EQY_CONSOLIDATED=N","SCALING_FORMAT=MLN","FA_ADJUSTED=GAAP","Sort=A","Dates=H","DateFormat=P","Fill=—","Direction=H","UseDPDF=Y")</f>
        <v>42734.77</v>
      </c>
      <c r="S12" s="13">
        <f>_xll.BDH("INDIGO IN Equity","OTHER_OPERATING_EXPENSES_RATIO","FQ4 2021","FQ4 2021","Currency=INR","Period=FQ","BEST_FPERIOD_OVERRIDE=FQ","FILING_STATUS=MR","EQY_CONSOLIDATED=N","SCALING_FORMAT=MLN","FA_ADJUSTED=GAAP","Sort=A","Dates=H","DateFormat=P","Fill=—","Direction=H","UseDPDF=Y")</f>
        <v>55564.18</v>
      </c>
      <c r="T12" s="13">
        <f>_xll.BDH("INDIGO IN Equity","OTHER_OPERATING_EXPENSES_RATIO","FQ1 2022","FQ1 2022","Currency=INR","Period=FQ","BEST_FPERIOD_OVERRIDE=FQ","FILING_STATUS=MR","EQY_CONSOLIDATED=N","SCALING_FORMAT=MLN","FA_ADJUSTED=GAAP","Sort=A","Dates=H","DateFormat=P","Fill=—","Direction=H","UseDPDF=Y")</f>
        <v>41094.54</v>
      </c>
      <c r="U12" s="13">
        <f>_xll.BDH("INDIGO IN Equity","OTHER_OPERATING_EXPENSES_RATIO","FQ2 2022","FQ2 2022","Currency=INR","Period=FQ","BEST_FPERIOD_OVERRIDE=FQ","FILING_STATUS=MR","EQY_CONSOLIDATED=N","SCALING_FORMAT=MLN","FA_ADJUSTED=GAAP","Sort=A","Dates=H","DateFormat=P","Fill=—","Direction=H","UseDPDF=Y")</f>
        <v>54562.73</v>
      </c>
      <c r="V12" s="13">
        <f>_xll.BDH("INDIGO IN Equity","OTHER_OPERATING_EXPENSES_RATIO","FQ3 2022","FQ3 2022","Currency=INR","Period=FQ","BEST_FPERIOD_OVERRIDE=FQ","FILING_STATUS=MR","EQY_CONSOLIDATED=N","SCALING_FORMAT=MLN","FA_ADJUSTED=GAAP","Sort=A","Dates=H","DateFormat=P","Fill=—","Direction=H","UseDPDF=Y")</f>
        <v>75213.67</v>
      </c>
      <c r="W12" s="13">
        <f>_xll.BDH("INDIGO IN Equity","OTHER_OPERATING_EXPENSES_RATIO","FQ4 2022","FQ4 2022","Currency=INR","Period=FQ","BEST_FPERIOD_OVERRIDE=FQ","FILING_STATUS=MR","EQY_CONSOLIDATED=N","SCALING_FORMAT=MLN","FA_ADJUSTED=GAAP","Sort=A","Dates=H","DateFormat=P","Fill=—","Direction=H","UseDPDF=Y")</f>
        <v>73727</v>
      </c>
      <c r="X12" s="13">
        <f>_xll.BDH("INDIGO IN Equity","OTHER_OPERATING_EXPENSES_RATIO","FQ1 2023","FQ1 2023","Currency=INR","Period=FQ","BEST_FPERIOD_OVERRIDE=FQ","FILING_STATUS=MR","EQY_CONSOLIDATED=N","SCALING_FORMAT=MLN","FA_ADJUSTED=GAAP","Sort=A","Dates=H","DateFormat=P","Fill=—","Direction=H","UseDPDF=Y")</f>
        <v>108332.55</v>
      </c>
      <c r="Y12" s="13">
        <f>_xll.BDH("INDIGO IN Equity","OTHER_OPERATING_EXPENSES_RATIO","FQ2 2023","FQ2 2023","Currency=INR","Period=FQ","BEST_FPERIOD_OVERRIDE=FQ","FILING_STATUS=MR","EQY_CONSOLIDATED=N","SCALING_FORMAT=MLN","FA_ADJUSTED=GAAP","Sort=A","Dates=H","DateFormat=P","Fill=—","Direction=H","UseDPDF=Y")</f>
        <v>112706.85</v>
      </c>
      <c r="Z12" s="13">
        <f>_xll.BDH("INDIGO IN Equity","OTHER_OPERATING_EXPENSES_RATIO","FQ3 2023","FQ3 2023","Currency=INR","Period=FQ","BEST_FPERIOD_OVERRIDE=FQ","FILING_STATUS=MR","EQY_CONSOLIDATED=N","SCALING_FORMAT=MLN","FA_ADJUSTED=GAAP","Sort=A","Dates=H","DateFormat=P","Fill=—","Direction=H","UseDPDF=Y")</f>
        <v>112328.64</v>
      </c>
      <c r="AA12" s="13">
        <f>_xll.BDH("INDIGO IN Equity","OTHER_OPERATING_EXPENSES_RATIO","FQ4 2023","FQ4 2023","Currency=INR","Period=FQ","BEST_FPERIOD_OVERRIDE=FQ","FILING_STATUS=MR","EQY_CONSOLIDATED=N","SCALING_FORMAT=MLN","FA_ADJUSTED=GAAP","Sort=A","Dates=H","DateFormat=P","Fill=—","Direction=H","UseDPDF=Y")</f>
        <v>116650.59</v>
      </c>
      <c r="AB12" s="13">
        <f>_xll.BDH("INDIGO IN Equity","OTHER_OPERATING_EXPENSES_RATIO","FQ1 2024","FQ1 2024","Currency=INR","Period=FQ","BEST_FPERIOD_OVERRIDE=FQ","FILING_STATUS=MR","EQY_CONSOLIDATED=N","SCALING_FORMAT=MLN","FA_ADJUSTED=GAAP","Sort=A","Dates=H","DateFormat=P","Fill=—","Direction=H","UseDPDF=Y")</f>
        <v>118312.78</v>
      </c>
      <c r="AC12" s="13">
        <f>_xll.BDH("INDIGO IN Equity","OTHER_OPERATING_EXPENSES_RATIO","FQ2 2024","FQ2 2024","Currency=INR","Period=FQ","BEST_FPERIOD_OVERRIDE=FQ","FILING_STATUS=MR","EQY_CONSOLIDATED=N","SCALING_FORMAT=MLN","FA_ADJUSTED=GAAP","Sort=A","Dates=H","DateFormat=P","Fill=—","Direction=H","UseDPDF=Y")</f>
        <v>121304.19</v>
      </c>
      <c r="AD12" s="13">
        <f>_xll.BDH("INDIGO IN Equity","OTHER_OPERATING_EXPENSES_RATIO","FQ3 2024","FQ3 2024","Currency=INR","Period=FQ","BEST_FPERIOD_OVERRIDE=FQ","FILING_STATUS=MR","EQY_CONSOLIDATED=N","SCALING_FORMAT=MLN","FA_ADJUSTED=GAAP","Sort=A","Dates=H","DateFormat=P","Fill=—","Direction=H","UseDPDF=Y")</f>
        <v>142569.41</v>
      </c>
      <c r="AE12" s="13">
        <f>_xll.BDH("INDIGO IN Equity","OTHER_OPERATING_EXPENSES_RATIO","FQ4 2024","FQ4 2024","Currency=INR","Period=FQ","BEST_FPERIOD_OVERRIDE=FQ","FILING_STATUS=MR","EQY_CONSOLIDATED=N","SCALING_FORMAT=MLN","FA_ADJUSTED=GAAP","Sort=A","Dates=H","DateFormat=P","Fill=—","Direction=H","UseDPDF=Y")</f>
        <v>136756.92000000001</v>
      </c>
      <c r="AF12" s="13">
        <f>_xll.BDH("INDIGO IN Equity","OTHER_OPERATING_EXPENSES_RATIO","FQ1 2025","FQ1 2025","Currency=INR","Period=FQ","BEST_FPERIOD_OVERRIDE=FQ","FILING_STATUS=MR","EQY_CONSOLIDATED=N","SCALING_FORMAT=MLN","FA_ADJUSTED=GAAP","Sort=A","Dates=H","DateFormat=P","Fill=—","Direction=H","UseDPDF=Y")</f>
        <v>143671</v>
      </c>
      <c r="AG12" s="13">
        <f>_xll.BDH("INDIGO IN Equity","OTHER_OPERATING_EXPENSES_RATIO","FQ2 2025","FQ2 2025","Currency=INR","Period=FQ","BEST_FPERIOD_OVERRIDE=FQ","FILING_STATUS=MR","EQY_CONSOLIDATED=N","SCALING_FORMAT=MLN","FA_ADJUSTED=GAAP","Sort=A","Dates=H","DateFormat=P","Fill=—","Direction=H","UseDPDF=Y")</f>
        <v>151112</v>
      </c>
      <c r="AH12" s="13">
        <f>_xll.BDH("INDIGO IN Equity","OTHER_OPERATING_EXPENSES_RATIO","FQ3 2025","FQ3 2025","Currency=INR","Period=FQ","BEST_FPERIOD_OVERRIDE=FQ","FILING_STATUS=MR","EQY_CONSOLIDATED=N","SCALING_FORMAT=MLN","FA_ADJUSTED=GAAP","Sort=A","Dates=H","DateFormat=P","Fill=—","Direction=H","UseDPDF=Y")</f>
        <v>154924</v>
      </c>
      <c r="AI12" s="13">
        <f>_xll.BDH("INDIGO IN Equity","OTHER_OPERATING_EXPENSES_RATIO","FQ4 2025","FQ4 2025","Currency=INR","Period=FQ","BEST_FPERIOD_OVERRIDE=FQ","FILING_STATUS=MR","EQY_CONSOLIDATED=N","SCALING_FORMAT=MLN","FA_ADJUSTED=GAAP","Sort=A","Dates=H","DateFormat=P","Fill=—","Direction=H","UseDPDF=Y")</f>
        <v>162072</v>
      </c>
      <c r="AJ12" s="13">
        <f>_xll.BDH("INDIGO IN Equity","OTHER_OPERATING_EXPENSES_RATIO","FQ1 2026","FQ1 2026","Currency=INR","Period=FQ","BEST_FPERIOD_OVERRIDE=FQ","FILING_STATUS=MR","EQY_CONSOLIDATED=N","SCALING_FORMAT=MLN","FA_ADJUSTED=GAAP","Sort=A","Dates=H","DateFormat=P","Fill=—","Direction=H","UseDPDF=Y")</f>
        <v>151441</v>
      </c>
      <c r="AK12" s="13">
        <f>_xll.BDH("INDIGO IN Equity","OTHER_OPERATING_EXPENSES_RATIO","FQ2 2026","FQ2 2026","Currency=INR","Period=FQ","BEST_FPERIOD_OVERRIDE=FQ","FILING_STATUS=MR","EQY_CONSOLIDATED=N","SCALING_FORMAT=MLN","FA_ADJUSTED=GAAP","Sort=A","Dates=H","DateFormat=P","Fill=—","Direction=H","UseDPDF=Y")</f>
        <v>151051</v>
      </c>
      <c r="AL12" s="13">
        <f>_xll.BDH("INDIGO IN Equity","OTHER_OPERATING_EXPENSES_RATIO","FQ3 2026","FQ3 2026","Currency=INR","Period=FQ","BEST_FPERIOD_OVERRIDE=FQ","FILING_STATUS=MR","EQY_CONSOLIDATED=N","SCALING_FORMAT=MLN","FA_ADJUSTED=GAAP","Sort=A","Dates=H","DateFormat=P","Fill=—","Direction=H","UseDPDF=Y")</f>
        <v>170023</v>
      </c>
      <c r="AM12" s="13">
        <f>_xll.BDH("INDIGO IN Equity","OTHER_OPERATING_EXPENSES_RATIO","FQ4 2026","FQ4 2026","Currency=INR","Period=FQ","BEST_FPERIOD_OVERRIDE=FQ","FILING_STATUS=MR","EQY_CONSOLIDATED=N","SCALING_FORMAT=MLN","FA_ADJUSTED=GAAP","Sort=A","Dates=H","DateFormat=P","Fill=—","Direction=H","UseDPDF=Y")</f>
        <v>168156</v>
      </c>
      <c r="AN12" s="13">
        <f>_xll.BDH("INDIGO IN Equity","OTHER_OPERATING_EXPENSES_RATIO","FQ1 2027","FQ1 2027","Currency=INR","Period=FQ","BEST_FPERIOD_OVERRIDE=FQ","FILING_STATUS=MR","EQY_CONSOLIDATED=N","SCALING_FORMAT=MLN","FA_ADJUSTED=GAAP","Sort=A","Dates=H","DateFormat=P","Fill=—","Direction=H","UseDPDF=Y")</f>
        <v>212939</v>
      </c>
      <c r="AO12" s="13"/>
      <c r="AP12" s="13"/>
    </row>
    <row r="13" spans="1:42" x14ac:dyDescent="0.25">
      <c r="A13" s="10" t="s">
        <v>114</v>
      </c>
      <c r="B13" s="10" t="s">
        <v>115</v>
      </c>
      <c r="C13" s="11">
        <f>_xll.BDH("INDIGO IN Equity","IS_OPER_INC","FQ4 2017","FQ4 2017","Currency=INR","Period=FQ","BEST_FPERIOD_OVERRIDE=FQ","FILING_STATUS=MR","EQY_CONSOLIDATED=N","SCALING_FORMAT=MLN","FA_ADJUSTED=GAAP","Sort=A","Dates=H","DateFormat=P","Fill=—","Direction=H","UseDPDF=Y")</f>
        <v>4028.33</v>
      </c>
      <c r="D13" s="11">
        <f>_xll.BDH("INDIGO IN Equity","IS_OPER_INC","FQ1 2018","FQ1 2018","Currency=INR","Period=FQ","BEST_FPERIOD_OVERRIDE=FQ","FILING_STATUS=MR","EQY_CONSOLIDATED=N","SCALING_FORMAT=MLN","FA_ADJUSTED=GAAP","Sort=A","Dates=H","DateFormat=P","Fill=—","Direction=H","UseDPDF=Y")</f>
        <v>9986.75</v>
      </c>
      <c r="E13" s="11">
        <f>_xll.BDH("INDIGO IN Equity","IS_OPER_INC","FQ2 2018","FQ2 2018","Currency=INR","Period=FQ","BEST_FPERIOD_OVERRIDE=FQ","FILING_STATUS=MR","EQY_CONSOLIDATED=N","SCALING_FORMAT=MLN","FA_ADJUSTED=GAAP","Sort=A","Dates=H","DateFormat=P","Fill=—","Direction=H","UseDPDF=Y")</f>
        <v>6356.23</v>
      </c>
      <c r="F13" s="11">
        <f>_xll.BDH("INDIGO IN Equity","IS_OPER_INC","FQ3 2018","FQ3 2018","Currency=INR","Period=FQ","BEST_FPERIOD_OVERRIDE=FQ","FILING_STATUS=MR","EQY_CONSOLIDATED=N","SCALING_FORMAT=MLN","FA_ADJUSTED=GAAP","Sort=A","Dates=H","DateFormat=P","Fill=—","Direction=H","UseDPDF=Y")</f>
        <v>8841.31</v>
      </c>
      <c r="G13" s="11">
        <f>_xll.BDH("INDIGO IN Equity","IS_OPER_INC","FQ4 2018","FQ4 2018","Currency=INR","Period=FQ","BEST_FPERIOD_OVERRIDE=FQ","FILING_STATUS=MR","EQY_CONSOLIDATED=N","SCALING_FORMAT=MLN","FA_ADJUSTED=GAAP","Sort=A","Dates=H","DateFormat=P","Fill=—","Direction=H","UseDPDF=Y")</f>
        <v>12.07</v>
      </c>
      <c r="H13" s="11">
        <f>_xll.BDH("INDIGO IN Equity","IS_OPER_INC","FQ1 2019","FQ1 2019","Currency=INR","Period=FQ","BEST_FPERIOD_OVERRIDE=FQ","FILING_STATUS=MR","EQY_CONSOLIDATED=N","SCALING_FORMAT=MLN","FA_ADJUSTED=GAAP","Sort=A","Dates=H","DateFormat=P","Fill=—","Direction=H","UseDPDF=Y")</f>
        <v>-1663.36</v>
      </c>
      <c r="I13" s="11">
        <f>_xll.BDH("INDIGO IN Equity","IS_OPER_INC","FQ2 2019","FQ2 2019","Currency=INR","Period=FQ","BEST_FPERIOD_OVERRIDE=FQ","FILING_STATUS=MR","EQY_CONSOLIDATED=N","SCALING_FORMAT=MLN","FA_ADJUSTED=GAAP","Sort=A","Dates=H","DateFormat=P","Fill=—","Direction=H","UseDPDF=Y")</f>
        <v>-8515.6</v>
      </c>
      <c r="J13" s="11">
        <f>_xll.BDH("INDIGO IN Equity","IS_OPER_INC","FQ3 2019","FQ3 2019","Currency=INR","Period=FQ","BEST_FPERIOD_OVERRIDE=FQ","FILING_STATUS=MR","EQY_CONSOLIDATED=N","SCALING_FORMAT=MLN","FA_ADJUSTED=GAAP","Sort=A","Dates=H","DateFormat=P","Fill=—","Direction=H","UseDPDF=Y")</f>
        <v>-880.63</v>
      </c>
      <c r="K13" s="11">
        <f>_xll.BDH("INDIGO IN Equity","IS_OPER_INC","FQ4 2019","FQ4 2019","Currency=INR","Period=FQ","BEST_FPERIOD_OVERRIDE=FQ","FILING_STATUS=MR","EQY_CONSOLIDATED=N","SCALING_FORMAT=MLN","FA_ADJUSTED=GAAP","Sort=A","Dates=H","DateFormat=P","Fill=—","Direction=H","UseDPDF=Y")</f>
        <v>3623.2</v>
      </c>
      <c r="L13" s="11">
        <f>_xll.BDH("INDIGO IN Equity","IS_OPER_INC","FQ1 2020","FQ1 2020","Currency=INR","Period=FQ","BEST_FPERIOD_OVERRIDE=FQ","FILING_STATUS=MR","EQY_CONSOLIDATED=N","SCALING_FORMAT=MLN","FA_ADJUSTED=GAAP","Sort=A","Dates=H","DateFormat=P","Fill=—","Direction=H","UseDPDF=Y")</f>
        <v>15778.78</v>
      </c>
      <c r="M13" s="11">
        <f>_xll.BDH("INDIGO IN Equity","IS_OPER_INC","FQ2 2020","FQ2 2020","Currency=INR","Period=FQ","BEST_FPERIOD_OVERRIDE=FQ","FILING_STATUS=MR","EQY_CONSOLIDATED=N","SCALING_FORMAT=MLN","FA_ADJUSTED=GAAP","Sort=A","Dates=H","DateFormat=P","Fill=—","Direction=H","UseDPDF=Y")</f>
        <v>-5969.7</v>
      </c>
      <c r="N13" s="11">
        <f>_xll.BDH("INDIGO IN Equity","IS_OPER_INC","FQ3 2020","FQ3 2020","Currency=INR","Period=FQ","BEST_FPERIOD_OVERRIDE=FQ","FILING_STATUS=MR","EQY_CONSOLIDATED=N","SCALING_FORMAT=MLN","FA_ADJUSTED=GAAP","Sort=A","Dates=H","DateFormat=P","Fill=—","Direction=H","UseDPDF=Y")</f>
        <v>7572.07</v>
      </c>
      <c r="O13" s="11">
        <f>_xll.BDH("INDIGO IN Equity","IS_OPER_INC","FQ4 2020","FQ4 2020","Currency=INR","Period=FQ","BEST_FPERIOD_OVERRIDE=FQ","FILING_STATUS=MR","EQY_CONSOLIDATED=N","SCALING_FORMAT=MLN","FA_ADJUSTED=GAAP","Sort=A","Dates=H","DateFormat=P","Fill=—","Direction=H","UseDPDF=Y")</f>
        <v>-1273.8599999999999</v>
      </c>
      <c r="P13" s="11">
        <f>_xll.BDH("INDIGO IN Equity","IS_OPER_INC","FQ1 2021","FQ1 2021","Currency=INR","Period=FQ","BEST_FPERIOD_OVERRIDE=FQ","FILING_STATUS=MR","EQY_CONSOLIDATED=N","SCALING_FORMAT=MLN","FA_ADJUSTED=GAAP","Sort=A","Dates=H","DateFormat=P","Fill=—","Direction=H","UseDPDF=Y")</f>
        <v>-26405.18</v>
      </c>
      <c r="Q13" s="11">
        <f>_xll.BDH("INDIGO IN Equity","IS_OPER_INC","FQ2 2021","FQ2 2021","Currency=INR","Period=FQ","BEST_FPERIOD_OVERRIDE=FQ","FILING_STATUS=MR","EQY_CONSOLIDATED=N","SCALING_FORMAT=MLN","FA_ADJUSTED=GAAP","Sort=A","Dates=H","DateFormat=P","Fill=—","Direction=H","UseDPDF=Y")</f>
        <v>-14337.7</v>
      </c>
      <c r="R13" s="11">
        <f>_xll.BDH("INDIGO IN Equity","IS_OPER_INC","FQ3 2021","FQ3 2021","Currency=INR","Period=FQ","BEST_FPERIOD_OVERRIDE=FQ","FILING_STATUS=MR","EQY_CONSOLIDATED=N","SCALING_FORMAT=MLN","FA_ADJUSTED=GAAP","Sort=A","Dates=H","DateFormat=P","Fill=—","Direction=H","UseDPDF=Y")</f>
        <v>-5199.58</v>
      </c>
      <c r="S13" s="11">
        <f>_xll.BDH("INDIGO IN Equity","IS_OPER_INC","FQ4 2021","FQ4 2021","Currency=INR","Period=FQ","BEST_FPERIOD_OVERRIDE=FQ","FILING_STATUS=MR","EQY_CONSOLIDATED=N","SCALING_FORMAT=MLN","FA_ADJUSTED=GAAP","Sort=A","Dates=H","DateFormat=P","Fill=—","Direction=H","UseDPDF=Y")</f>
        <v>-6529.21</v>
      </c>
      <c r="T13" s="11">
        <f>_xll.BDH("INDIGO IN Equity","IS_OPER_INC","FQ1 2022","FQ1 2022","Currency=INR","Period=FQ","BEST_FPERIOD_OVERRIDE=FQ","FILING_STATUS=MR","EQY_CONSOLIDATED=N","SCALING_FORMAT=MLN","FA_ADJUSTED=GAAP","Sort=A","Dates=H","DateFormat=P","Fill=—","Direction=H","UseDPDF=Y")</f>
        <v>-24196.25</v>
      </c>
      <c r="U13" s="11">
        <f>_xll.BDH("INDIGO IN Equity","IS_OPER_INC","FQ2 2022","FQ2 2022","Currency=INR","Period=FQ","BEST_FPERIOD_OVERRIDE=FQ","FILING_STATUS=MR","EQY_CONSOLIDATED=N","SCALING_FORMAT=MLN","FA_ADJUSTED=GAAP","Sort=A","Dates=H","DateFormat=P","Fill=—","Direction=H","UseDPDF=Y")</f>
        <v>-10956.63</v>
      </c>
      <c r="V13" s="11">
        <f>_xll.BDH("INDIGO IN Equity","IS_OPER_INC","FQ3 2022","FQ3 2022","Currency=INR","Period=FQ","BEST_FPERIOD_OVERRIDE=FQ","FILING_STATUS=MR","EQY_CONSOLIDATED=N","SCALING_FORMAT=MLN","FA_ADJUSTED=GAAP","Sort=A","Dates=H","DateFormat=P","Fill=—","Direction=H","UseDPDF=Y")</f>
        <v>5398.15</v>
      </c>
      <c r="W13" s="11">
        <f>_xll.BDH("INDIGO IN Equity","IS_OPER_INC","FQ4 2022","FQ4 2022","Currency=INR","Period=FQ","BEST_FPERIOD_OVERRIDE=FQ","FILING_STATUS=MR","EQY_CONSOLIDATED=N","SCALING_FORMAT=MLN","FA_ADJUSTED=GAAP","Sort=A","Dates=H","DateFormat=P","Fill=—","Direction=H","UseDPDF=Y")</f>
        <v>-6212.41</v>
      </c>
      <c r="X13" s="11">
        <f>_xll.BDH("INDIGO IN Equity","IS_OPER_INC","FQ1 2023","FQ1 2023","Currency=INR","Period=FQ","BEST_FPERIOD_OVERRIDE=FQ","FILING_STATUS=MR","EQY_CONSOLIDATED=N","SCALING_FORMAT=MLN","FA_ADJUSTED=GAAP","Sort=A","Dates=H","DateFormat=P","Fill=—","Direction=H","UseDPDF=Y")</f>
        <v>8524.23</v>
      </c>
      <c r="Y13" s="11">
        <f>_xll.BDH("INDIGO IN Equity","IS_OPER_INC","FQ2 2023","FQ2 2023","Currency=INR","Period=FQ","BEST_FPERIOD_OVERRIDE=FQ","FILING_STATUS=MR","EQY_CONSOLIDATED=N","SCALING_FORMAT=MLN","FA_ADJUSTED=GAAP","Sort=A","Dates=H","DateFormat=P","Fill=—","Direction=H","UseDPDF=Y")</f>
        <v>-103.56</v>
      </c>
      <c r="Z13" s="11">
        <f>_xll.BDH("INDIGO IN Equity","IS_OPER_INC","FQ3 2023","FQ3 2023","Currency=INR","Period=FQ","BEST_FPERIOD_OVERRIDE=FQ","FILING_STATUS=MR","EQY_CONSOLIDATED=N","SCALING_FORMAT=MLN","FA_ADJUSTED=GAAP","Sort=A","Dates=H","DateFormat=P","Fill=—","Direction=H","UseDPDF=Y")</f>
        <v>23582.28</v>
      </c>
      <c r="AA13" s="11">
        <f>_xll.BDH("INDIGO IN Equity","IS_OPER_INC","FQ4 2023","FQ4 2023","Currency=INR","Period=FQ","BEST_FPERIOD_OVERRIDE=FQ","FILING_STATUS=MR","EQY_CONSOLIDATED=N","SCALING_FORMAT=MLN","FA_ADJUSTED=GAAP","Sort=A","Dates=H","DateFormat=P","Fill=—","Direction=H","UseDPDF=Y")</f>
        <v>11430.58</v>
      </c>
      <c r="AB13" s="11">
        <f>_xll.BDH("INDIGO IN Equity","IS_OPER_INC","FQ1 2024","FQ1 2024","Currency=INR","Period=FQ","BEST_FPERIOD_OVERRIDE=FQ","FILING_STATUS=MR","EQY_CONSOLIDATED=N","SCALING_FORMAT=MLN","FA_ADJUSTED=GAAP","Sort=A","Dates=H","DateFormat=P","Fill=—","Direction=H","UseDPDF=Y")</f>
        <v>34474.39</v>
      </c>
      <c r="AC13" s="11">
        <f>_xll.BDH("INDIGO IN Equity","IS_OPER_INC","FQ2 2024","FQ2 2024","Currency=INR","Period=FQ","BEST_FPERIOD_OVERRIDE=FQ","FILING_STATUS=MR","EQY_CONSOLIDATED=N","SCALING_FORMAT=MLN","FA_ADJUSTED=GAAP","Sort=A","Dates=H","DateFormat=P","Fill=—","Direction=H","UseDPDF=Y")</f>
        <v>12679.94</v>
      </c>
      <c r="AD13" s="11">
        <f>_xll.BDH("INDIGO IN Equity","IS_OPER_INC","FQ3 2024","FQ3 2024","Currency=INR","Period=FQ","BEST_FPERIOD_OVERRIDE=FQ","FILING_STATUS=MR","EQY_CONSOLIDATED=N","SCALING_FORMAT=MLN","FA_ADJUSTED=GAAP","Sort=A","Dates=H","DateFormat=P","Fill=—","Direction=H","UseDPDF=Y")</f>
        <v>35348.620000000003</v>
      </c>
      <c r="AE13" s="11">
        <f>_xll.BDH("INDIGO IN Equity","IS_OPER_INC","FQ4 2024","FQ4 2024","Currency=INR","Period=FQ","BEST_FPERIOD_OVERRIDE=FQ","FILING_STATUS=MR","EQY_CONSOLIDATED=N","SCALING_FORMAT=MLN","FA_ADJUSTED=GAAP","Sort=A","Dates=H","DateFormat=P","Fill=—","Direction=H","UseDPDF=Y")</f>
        <v>23541.08</v>
      </c>
      <c r="AF13" s="11">
        <f>_xll.BDH("INDIGO IN Equity","IS_OPER_INC","FQ1 2025","FQ1 2025","Currency=INR","Period=FQ","BEST_FPERIOD_OVERRIDE=FQ","FILING_STATUS=MR","EQY_CONSOLIDATED=N","SCALING_FORMAT=MLN","FA_ADJUSTED=GAAP","Sort=A","Dates=H","DateFormat=P","Fill=—","Direction=H","UseDPDF=Y")</f>
        <v>33371</v>
      </c>
      <c r="AG13" s="11">
        <f>_xll.BDH("INDIGO IN Equity","IS_OPER_INC","FQ2 2025","FQ2 2025","Currency=INR","Period=FQ","BEST_FPERIOD_OVERRIDE=FQ","FILING_STATUS=MR","EQY_CONSOLIDATED=N","SCALING_FORMAT=MLN","FA_ADJUSTED=GAAP","Sort=A","Dates=H","DateFormat=P","Fill=—","Direction=H","UseDPDF=Y")</f>
        <v>-2192</v>
      </c>
      <c r="AH13" s="11">
        <f>_xll.BDH("INDIGO IN Equity","IS_OPER_INC","FQ3 2025","FQ3 2025","Currency=INR","Period=FQ","BEST_FPERIOD_OVERRIDE=FQ","FILING_STATUS=MR","EQY_CONSOLIDATED=N","SCALING_FORMAT=MLN","FA_ADJUSTED=GAAP","Sort=A","Dates=H","DateFormat=P","Fill=—","Direction=H","UseDPDF=Y")</f>
        <v>44029</v>
      </c>
      <c r="AI13" s="11">
        <f>_xll.BDH("INDIGO IN Equity","IS_OPER_INC","FQ4 2025","FQ4 2025","Currency=INR","Period=FQ","BEST_FPERIOD_OVERRIDE=FQ","FILING_STATUS=MR","EQY_CONSOLIDATED=N","SCALING_FORMAT=MLN","FA_ADJUSTED=GAAP","Sort=A","Dates=H","DateFormat=P","Fill=—","Direction=H","UseDPDF=Y")</f>
        <v>34677</v>
      </c>
      <c r="AJ13" s="11">
        <f>_xll.BDH("INDIGO IN Equity","IS_OPER_INC","FQ1 2026","FQ1 2026","Currency=INR","Period=FQ","BEST_FPERIOD_OVERRIDE=FQ","FILING_STATUS=MR","EQY_CONSOLIDATED=N","SCALING_FORMAT=MLN","FA_ADJUSTED=GAAP","Sort=A","Dates=H","DateFormat=P","Fill=—","Direction=H","UseDPDF=Y")</f>
        <v>27991</v>
      </c>
      <c r="AK13" s="11">
        <f>_xll.BDH("INDIGO IN Equity","IS_OPER_INC","FQ2 2026","FQ2 2026","Currency=INR","Period=FQ","BEST_FPERIOD_OVERRIDE=FQ","FILING_STATUS=MR","EQY_CONSOLIDATED=N","SCALING_FORMAT=MLN","FA_ADJUSTED=GAAP","Sort=A","Dates=H","DateFormat=P","Fill=—","Direction=H","UseDPDF=Y")</f>
        <v>8209</v>
      </c>
      <c r="AL13" s="11">
        <f>_xll.BDH("INDIGO IN Equity","IS_OPER_INC","FQ3 2026","FQ3 2026","Currency=INR","Period=FQ","BEST_FPERIOD_OVERRIDE=FQ","FILING_STATUS=MR","EQY_CONSOLIDATED=N","SCALING_FORMAT=MLN","FA_ADJUSTED=GAAP","Sort=A","Dates=H","DateFormat=P","Fill=—","Direction=H","UseDPDF=Y")</f>
        <v>37015</v>
      </c>
      <c r="AM13" s="11">
        <f>_xll.BDH("INDIGO IN Equity","IS_OPER_INC","FQ4 2026","FQ4 2026","Currency=INR","Period=FQ","BEST_FPERIOD_OVERRIDE=FQ","FILING_STATUS=MR","EQY_CONSOLIDATED=N","SCALING_FORMAT=MLN","FA_ADJUSTED=GAAP","Sort=A","Dates=H","DateFormat=P","Fill=—","Direction=H","UseDPDF=Y")</f>
        <v>28219</v>
      </c>
      <c r="AN13" s="11">
        <f>_xll.BDH("INDIGO IN Equity","IS_OPER_INC","FQ1 2027","FQ1 2027","Currency=INR","Period=FQ","BEST_FPERIOD_OVERRIDE=FQ","FILING_STATUS=MR","EQY_CONSOLIDATED=N","SCALING_FORMAT=MLN","FA_ADJUSTED=GAAP","Sort=A","Dates=H","DateFormat=P","Fill=—","Direction=H","UseDPDF=Y")</f>
        <v>3385</v>
      </c>
      <c r="AO13" s="11">
        <v>-1523</v>
      </c>
      <c r="AP13" s="11">
        <v>29272</v>
      </c>
    </row>
    <row r="14" spans="1:42" x14ac:dyDescent="0.25">
      <c r="A14" s="12" t="s">
        <v>116</v>
      </c>
      <c r="B14" s="12" t="s">
        <v>117</v>
      </c>
      <c r="C14" s="13">
        <f>_xll.BDH("INDIGO IN Equity","NONOP_INCOME_LOSS","FQ4 2017","FQ4 2017","Currency=INR","Period=FQ","BEST_FPERIOD_OVERRIDE=FQ","FILING_STATUS=MR","EQY_CONSOLIDATED=N","SCALING_FORMAT=MLN","FA_ADJUSTED=GAAP","Sort=A","Dates=H","DateFormat=P","Fill=—","Direction=H","UseDPDF=Y")</f>
        <v>-2161.21</v>
      </c>
      <c r="D14" s="13">
        <f>_xll.BDH("INDIGO IN Equity","NONOP_INCOME_LOSS","FQ1 2018","FQ1 2018","Currency=INR","Period=FQ","BEST_FPERIOD_OVERRIDE=FQ","FILING_STATUS=MR","EQY_CONSOLIDATED=N","SCALING_FORMAT=MLN","FA_ADJUSTED=GAAP","Sort=A","Dates=H","DateFormat=P","Fill=—","Direction=H","UseDPDF=Y")</f>
        <v>-1256.5999999999999</v>
      </c>
      <c r="E14" s="13">
        <f>_xll.BDH("INDIGO IN Equity","NONOP_INCOME_LOSS","FQ2 2018","FQ2 2018","Currency=INR","Period=FQ","BEST_FPERIOD_OVERRIDE=FQ","FILING_STATUS=MR","EQY_CONSOLIDATED=N","SCALING_FORMAT=MLN","FA_ADJUSTED=GAAP","Sort=A","Dates=H","DateFormat=P","Fill=—","Direction=H","UseDPDF=Y")</f>
        <v>-1289.1400000000001</v>
      </c>
      <c r="F14" s="13">
        <f>_xll.BDH("INDIGO IN Equity","NONOP_INCOME_LOSS","FQ3 2018","FQ3 2018","Currency=INR","Period=FQ","BEST_FPERIOD_OVERRIDE=FQ","FILING_STATUS=MR","EQY_CONSOLIDATED=N","SCALING_FORMAT=MLN","FA_ADJUSTED=GAAP","Sort=A","Dates=H","DateFormat=P","Fill=—","Direction=H","UseDPDF=Y")</f>
        <v>-1874.68</v>
      </c>
      <c r="G14" s="13">
        <f>_xll.BDH("INDIGO IN Equity","NONOP_INCOME_LOSS","FQ4 2018","FQ4 2018","Currency=INR","Period=FQ","BEST_FPERIOD_OVERRIDE=FQ","FILING_STATUS=MR","EQY_CONSOLIDATED=N","SCALING_FORMAT=MLN","FA_ADJUSTED=GAAP","Sort=A","Dates=H","DateFormat=P","Fill=—","Direction=H","UseDPDF=Y")</f>
        <v>-1649.99</v>
      </c>
      <c r="H14" s="13">
        <f>_xll.BDH("INDIGO IN Equity","NONOP_INCOME_LOSS","FQ1 2019","FQ1 2019","Currency=INR","Period=FQ","BEST_FPERIOD_OVERRIDE=FQ","FILING_STATUS=MR","EQY_CONSOLIDATED=N","SCALING_FORMAT=MLN","FA_ADJUSTED=GAAP","Sort=A","Dates=H","DateFormat=P","Fill=—","Direction=H","UseDPDF=Y")</f>
        <v>-1976.77</v>
      </c>
      <c r="I14" s="13">
        <f>_xll.BDH("INDIGO IN Equity","NONOP_INCOME_LOSS","FQ2 2019","FQ2 2019","Currency=INR","Period=FQ","BEST_FPERIOD_OVERRIDE=FQ","FILING_STATUS=MR","EQY_CONSOLIDATED=N","SCALING_FORMAT=MLN","FA_ADJUSTED=GAAP","Sort=A","Dates=H","DateFormat=P","Fill=—","Direction=H","UseDPDF=Y")</f>
        <v>1365.16</v>
      </c>
      <c r="J14" s="13">
        <f>_xll.BDH("INDIGO IN Equity","NONOP_INCOME_LOSS","FQ3 2019","FQ3 2019","Currency=INR","Period=FQ","BEST_FPERIOD_OVERRIDE=FQ","FILING_STATUS=MR","EQY_CONSOLIDATED=N","SCALING_FORMAT=MLN","FA_ADJUSTED=GAAP","Sort=A","Dates=H","DateFormat=P","Fill=—","Direction=H","UseDPDF=Y")</f>
        <v>-2789.51</v>
      </c>
      <c r="K14" s="13">
        <f>_xll.BDH("INDIGO IN Equity","NONOP_INCOME_LOSS","FQ4 2019","FQ4 2019","Currency=INR","Period=FQ","BEST_FPERIOD_OVERRIDE=FQ","FILING_STATUS=MR","EQY_CONSOLIDATED=N","SCALING_FORMAT=MLN","FA_ADJUSTED=GAAP","Sort=A","Dates=H","DateFormat=P","Fill=—","Direction=H","UseDPDF=Y")</f>
        <v>-2544.8000000000002</v>
      </c>
      <c r="L14" s="13">
        <f>_xll.BDH("INDIGO IN Equity","NONOP_INCOME_LOSS","FQ1 2020","FQ1 2020","Currency=INR","Period=FQ","BEST_FPERIOD_OVERRIDE=FQ","FILING_STATUS=MR","EQY_CONSOLIDATED=N","SCALING_FORMAT=MLN","FA_ADJUSTED=GAAP","Sort=A","Dates=H","DateFormat=P","Fill=—","Direction=H","UseDPDF=Y")</f>
        <v>725.69</v>
      </c>
      <c r="M14" s="13">
        <f>_xll.BDH("INDIGO IN Equity","NONOP_INCOME_LOSS","FQ2 2020","FQ2 2020","Currency=INR","Period=FQ","BEST_FPERIOD_OVERRIDE=FQ","FILING_STATUS=MR","EQY_CONSOLIDATED=N","SCALING_FORMAT=MLN","FA_ADJUSTED=GAAP","Sort=A","Dates=H","DateFormat=P","Fill=—","Direction=H","UseDPDF=Y")</f>
        <v>4403.83</v>
      </c>
      <c r="N14" s="13">
        <f>_xll.BDH("INDIGO IN Equity","NONOP_INCOME_LOSS","FQ3 2020","FQ3 2020","Currency=INR","Period=FQ","BEST_FPERIOD_OVERRIDE=FQ","FILING_STATUS=MR","EQY_CONSOLIDATED=N","SCALING_FORMAT=MLN","FA_ADJUSTED=GAAP","Sort=A","Dates=H","DateFormat=P","Fill=—","Direction=H","UseDPDF=Y")</f>
        <v>2068.23</v>
      </c>
      <c r="O14" s="13">
        <f>_xll.BDH("INDIGO IN Equity","NONOP_INCOME_LOSS","FQ4 2020","FQ4 2020","Currency=INR","Period=FQ","BEST_FPERIOD_OVERRIDE=FQ","FILING_STATUS=MR","EQY_CONSOLIDATED=N","SCALING_FORMAT=MLN","FA_ADJUSTED=GAAP","Sort=A","Dates=H","DateFormat=P","Fill=—","Direction=H","UseDPDF=Y")</f>
        <v>11660.43</v>
      </c>
      <c r="P14" s="13">
        <f>_xll.BDH("INDIGO IN Equity","NONOP_INCOME_LOSS","FQ1 2021","FQ1 2021","Currency=INR","Period=FQ","BEST_FPERIOD_OVERRIDE=FQ","FILING_STATUS=MR","EQY_CONSOLIDATED=N","SCALING_FORMAT=MLN","FA_ADJUSTED=GAAP","Sort=A","Dates=H","DateFormat=P","Fill=—","Direction=H","UseDPDF=Y")</f>
        <v>2088.7399999999998</v>
      </c>
      <c r="Q14" s="13">
        <f>_xll.BDH("INDIGO IN Equity","NONOP_INCOME_LOSS","FQ2 2021","FQ2 2021","Currency=INR","Period=FQ","BEST_FPERIOD_OVERRIDE=FQ","FILING_STATUS=MR","EQY_CONSOLIDATED=N","SCALING_FORMAT=MLN","FA_ADJUSTED=GAAP","Sort=A","Dates=H","DateFormat=P","Fill=—","Direction=H","UseDPDF=Y")</f>
        <v>-2390</v>
      </c>
      <c r="R14" s="13">
        <f>_xll.BDH("INDIGO IN Equity","NONOP_INCOME_LOSS","FQ3 2021","FQ3 2021","Currency=INR","Period=FQ","BEST_FPERIOD_OVERRIDE=FQ","FILING_STATUS=MR","EQY_CONSOLIDATED=N","SCALING_FORMAT=MLN","FA_ADJUSTED=GAAP","Sort=A","Dates=H","DateFormat=P","Fill=—","Direction=H","UseDPDF=Y")</f>
        <v>1066.23</v>
      </c>
      <c r="S14" s="13">
        <f>_xll.BDH("INDIGO IN Equity","NONOP_INCOME_LOSS","FQ4 2021","FQ4 2021","Currency=INR","Period=FQ","BEST_FPERIOD_OVERRIDE=FQ","FILING_STATUS=MR","EQY_CONSOLIDATED=N","SCALING_FORMAT=MLN","FA_ADJUSTED=GAAP","Sort=A","Dates=H","DateFormat=P","Fill=—","Direction=H","UseDPDF=Y")</f>
        <v>5061.28</v>
      </c>
      <c r="T14" s="13">
        <f>_xll.BDH("INDIGO IN Equity","NONOP_INCOME_LOSS","FQ1 2022","FQ1 2022","Currency=INR","Period=FQ","BEST_FPERIOD_OVERRIDE=FQ","FILING_STATUS=MR","EQY_CONSOLIDATED=N","SCALING_FORMAT=MLN","FA_ADJUSTED=GAAP","Sort=A","Dates=H","DateFormat=P","Fill=—","Direction=H","UseDPDF=Y")</f>
        <v>7596.4</v>
      </c>
      <c r="U14" s="13">
        <f>_xll.BDH("INDIGO IN Equity","NONOP_INCOME_LOSS","FQ2 2022","FQ2 2022","Currency=INR","Period=FQ","BEST_FPERIOD_OVERRIDE=FQ","FILING_STATUS=MR","EQY_CONSOLIDATED=N","SCALING_FORMAT=MLN","FA_ADJUSTED=GAAP","Sort=A","Dates=H","DateFormat=P","Fill=—","Direction=H","UseDPDF=Y")</f>
        <v>3447.57</v>
      </c>
      <c r="V14" s="13">
        <f>_xll.BDH("INDIGO IN Equity","NONOP_INCOME_LOSS","FQ3 2022","FQ3 2022","Currency=INR","Period=FQ","BEST_FPERIOD_OVERRIDE=FQ","FILING_STATUS=MR","EQY_CONSOLIDATED=N","SCALING_FORMAT=MLN","FA_ADJUSTED=GAAP","Sort=A","Dates=H","DateFormat=P","Fill=—","Direction=H","UseDPDF=Y")</f>
        <v>4113.6499999999996</v>
      </c>
      <c r="W14" s="13">
        <f>_xll.BDH("INDIGO IN Equity","NONOP_INCOME_LOSS","FQ4 2022","FQ4 2022","Currency=INR","Period=FQ","BEST_FPERIOD_OVERRIDE=FQ","FILING_STATUS=MR","EQY_CONSOLIDATED=N","SCALING_FORMAT=MLN","FA_ADJUSTED=GAAP","Sort=A","Dates=H","DateFormat=P","Fill=—","Direction=H","UseDPDF=Y")</f>
        <v>10585.49</v>
      </c>
      <c r="X14" s="13">
        <f>_xll.BDH("INDIGO IN Equity","NONOP_INCOME_LOSS","FQ1 2023","FQ1 2023","Currency=INR","Period=FQ","BEST_FPERIOD_OVERRIDE=FQ","FILING_STATUS=MR","EQY_CONSOLIDATED=N","SCALING_FORMAT=MLN","FA_ADJUSTED=GAAP","Sort=A","Dates=H","DateFormat=P","Fill=—","Direction=H","UseDPDF=Y")</f>
        <v>19178.46</v>
      </c>
      <c r="Y14" s="13">
        <f>_xll.BDH("INDIGO IN Equity","NONOP_INCOME_LOSS","FQ2 2023","FQ2 2023","Currency=INR","Period=FQ","BEST_FPERIOD_OVERRIDE=FQ","FILING_STATUS=MR","EQY_CONSOLIDATED=N","SCALING_FORMAT=MLN","FA_ADJUSTED=GAAP","Sort=A","Dates=H","DateFormat=P","Fill=—","Direction=H","UseDPDF=Y")</f>
        <v>15751.29</v>
      </c>
      <c r="Z14" s="13">
        <f>_xll.BDH("INDIGO IN Equity","NONOP_INCOME_LOSS","FQ3 2023","FQ3 2023","Currency=INR","Period=FQ","BEST_FPERIOD_OVERRIDE=FQ","FILING_STATUS=MR","EQY_CONSOLIDATED=N","SCALING_FORMAT=MLN","FA_ADJUSTED=GAAP","Sort=A","Dates=H","DateFormat=P","Fill=—","Direction=H","UseDPDF=Y")</f>
        <v>9400.56</v>
      </c>
      <c r="AA14" s="13">
        <f>_xll.BDH("INDIGO IN Equity","NONOP_INCOME_LOSS","FQ4 2023","FQ4 2023","Currency=INR","Period=FQ","BEST_FPERIOD_OVERRIDE=FQ","FILING_STATUS=MR","EQY_CONSOLIDATED=N","SCALING_FORMAT=MLN","FA_ADJUSTED=GAAP","Sort=A","Dates=H","DateFormat=P","Fill=—","Direction=H","UseDPDF=Y")</f>
        <v>2270.38</v>
      </c>
      <c r="AB14" s="13">
        <f>_xll.BDH("INDIGO IN Equity","NONOP_INCOME_LOSS","FQ1 2024","FQ1 2024","Currency=INR","Period=FQ","BEST_FPERIOD_OVERRIDE=FQ","FILING_STATUS=MR","EQY_CONSOLIDATED=N","SCALING_FORMAT=MLN","FA_ADJUSTED=GAAP","Sort=A","Dates=H","DateFormat=P","Fill=—","Direction=H","UseDPDF=Y")</f>
        <v>3601.93</v>
      </c>
      <c r="AC14" s="13">
        <f>_xll.BDH("INDIGO IN Equity","NONOP_INCOME_LOSS","FQ2 2024","FQ2 2024","Currency=INR","Period=FQ","BEST_FPERIOD_OVERRIDE=FQ","FILING_STATUS=MR","EQY_CONSOLIDATED=N","SCALING_FORMAT=MLN","FA_ADJUSTED=GAAP","Sort=A","Dates=H","DateFormat=P","Fill=—","Direction=H","UseDPDF=Y")</f>
        <v>10801.34</v>
      </c>
      <c r="AD14" s="13">
        <f>_xll.BDH("INDIGO IN Equity","NONOP_INCOME_LOSS","FQ3 2024","FQ3 2024","Currency=INR","Period=FQ","BEST_FPERIOD_OVERRIDE=FQ","FILING_STATUS=MR","EQY_CONSOLIDATED=N","SCALING_FORMAT=MLN","FA_ADJUSTED=GAAP","Sort=A","Dates=H","DateFormat=P","Fill=—","Direction=H","UseDPDF=Y")</f>
        <v>5363.68</v>
      </c>
      <c r="AE14" s="13">
        <f>_xll.BDH("INDIGO IN Equity","NONOP_INCOME_LOSS","FQ4 2024","FQ4 2024","Currency=INR","Period=FQ","BEST_FPERIOD_OVERRIDE=FQ","FILING_STATUS=MR","EQY_CONSOLIDATED=N","SCALING_FORMAT=MLN","FA_ADJUSTED=GAAP","Sort=A","Dates=H","DateFormat=P","Fill=—","Direction=H","UseDPDF=Y")</f>
        <v>5844.67</v>
      </c>
      <c r="AF14" s="13">
        <f>_xll.BDH("INDIGO IN Equity","NONOP_INCOME_LOSS","FQ1 2025","FQ1 2025","Currency=INR","Period=FQ","BEST_FPERIOD_OVERRIDE=FQ","FILING_STATUS=MR","EQY_CONSOLIDATED=N","SCALING_FORMAT=MLN","FA_ADJUSTED=GAAP","Sort=A","Dates=H","DateFormat=P","Fill=—","Direction=H","UseDPDF=Y")</f>
        <v>5354</v>
      </c>
      <c r="AG14" s="13">
        <f>_xll.BDH("INDIGO IN Equity","NONOP_INCOME_LOSS","FQ2 2025","FQ2 2025","Currency=INR","Period=FQ","BEST_FPERIOD_OVERRIDE=FQ","FILING_STATUS=MR","EQY_CONSOLIDATED=N","SCALING_FORMAT=MLN","FA_ADJUSTED=GAAP","Sort=A","Dates=H","DateFormat=P","Fill=—","Direction=H","UseDPDF=Y")</f>
        <v>6902</v>
      </c>
      <c r="AH14" s="13">
        <f>_xll.BDH("INDIGO IN Equity","NONOP_INCOME_LOSS","FQ3 2025","FQ3 2025","Currency=INR","Period=FQ","BEST_FPERIOD_OVERRIDE=FQ","FILING_STATUS=MR","EQY_CONSOLIDATED=N","SCALING_FORMAT=MLN","FA_ADJUSTED=GAAP","Sort=A","Dates=H","DateFormat=P","Fill=—","Direction=H","UseDPDF=Y")</f>
        <v>18829</v>
      </c>
      <c r="AI14" s="13">
        <f>_xll.BDH("INDIGO IN Equity","NONOP_INCOME_LOSS","FQ4 2025","FQ4 2025","Currency=INR","Period=FQ","BEST_FPERIOD_OVERRIDE=FQ","FILING_STATUS=MR","EQY_CONSOLIDATED=N","SCALING_FORMAT=MLN","FA_ADJUSTED=GAAP","Sort=A","Dates=H","DateFormat=P","Fill=—","Direction=H","UseDPDF=Y")</f>
        <v>2925</v>
      </c>
      <c r="AJ14" s="13">
        <f>_xll.BDH("INDIGO IN Equity","NONOP_INCOME_LOSS","FQ1 2026","FQ1 2026","Currency=INR","Period=FQ","BEST_FPERIOD_OVERRIDE=FQ","FILING_STATUS=MR","EQY_CONSOLIDATED=N","SCALING_FORMAT=MLN","FA_ADJUSTED=GAAP","Sort=A","Dates=H","DateFormat=P","Fill=—","Direction=H","UseDPDF=Y")</f>
        <v>5037</v>
      </c>
      <c r="AK14" s="13">
        <f>_xll.BDH("INDIGO IN Equity","NONOP_INCOME_LOSS","FQ2 2026","FQ2 2026","Currency=INR","Period=FQ","BEST_FPERIOD_OVERRIDE=FQ","FILING_STATUS=MR","EQY_CONSOLIDATED=N","SCALING_FORMAT=MLN","FA_ADJUSTED=GAAP","Sort=A","Dates=H","DateFormat=P","Fill=—","Direction=H","UseDPDF=Y")</f>
        <v>33347</v>
      </c>
      <c r="AL14" s="13">
        <f>_xll.BDH("INDIGO IN Equity","NONOP_INCOME_LOSS","FQ3 2026","FQ3 2026","Currency=INR","Period=FQ","BEST_FPERIOD_OVERRIDE=FQ","FILING_STATUS=MR","EQY_CONSOLIDATED=N","SCALING_FORMAT=MLN","FA_ADJUSTED=GAAP","Sort=A","Dates=H","DateFormat=P","Fill=—","Direction=H","UseDPDF=Y")</f>
        <v>30767</v>
      </c>
      <c r="AM14" s="13">
        <f>_xll.BDH("INDIGO IN Equity","NONOP_INCOME_LOSS","FQ4 2026","FQ4 2026","Currency=INR","Period=FQ","BEST_FPERIOD_OVERRIDE=FQ","FILING_STATUS=MR","EQY_CONSOLIDATED=N","SCALING_FORMAT=MLN","FA_ADJUSTED=GAAP","Sort=A","Dates=H","DateFormat=P","Fill=—","Direction=H","UseDPDF=Y")</f>
        <v>53116</v>
      </c>
      <c r="AN14" s="13">
        <f>_xll.BDH("INDIGO IN Equity","NONOP_INCOME_LOSS","FQ1 2027","FQ1 2027","Currency=INR","Period=FQ","BEST_FPERIOD_OVERRIDE=FQ","FILING_STATUS=MR","EQY_CONSOLIDATED=N","SCALING_FORMAT=MLN","FA_ADJUSTED=GAAP","Sort=A","Dates=H","DateFormat=P","Fill=—","Direction=H","UseDPDF=Y")</f>
        <v>7204</v>
      </c>
      <c r="AO14" s="13"/>
      <c r="AP14" s="13"/>
    </row>
    <row r="15" spans="1:42" x14ac:dyDescent="0.25">
      <c r="A15" s="12" t="s">
        <v>118</v>
      </c>
      <c r="B15" s="12" t="s">
        <v>119</v>
      </c>
      <c r="C15" s="13" t="str">
        <f>_xll.BDH("INDIGO IN Equity","IS_FOREIGN_EXCH_LOSS","FQ4 2017","FQ4 2017","Currency=INR","Period=FQ","BEST_FPERIOD_OVERRIDE=FQ","FILING_STATUS=MR","EQY_CONSOLIDATED=N","SCALING_FORMAT=MLN","FA_ADJUSTED=GAAP","Sort=A","Dates=H","DateFormat=P","Fill=—","Direction=H","UseDPDF=Y")</f>
        <v>—</v>
      </c>
      <c r="D15" s="13" t="str">
        <f>_xll.BDH("INDIGO IN Equity","IS_FOREIGN_EXCH_LOSS","FQ1 2018","FQ1 2018","Currency=INR","Period=FQ","BEST_FPERIOD_OVERRIDE=FQ","FILING_STATUS=MR","EQY_CONSOLIDATED=N","SCALING_FORMAT=MLN","FA_ADJUSTED=GAAP","Sort=A","Dates=H","DateFormat=P","Fill=—","Direction=H","UseDPDF=Y")</f>
        <v>—</v>
      </c>
      <c r="E15" s="13" t="str">
        <f>_xll.BDH("INDIGO IN Equity","IS_FOREIGN_EXCH_LOSS","FQ2 2018","FQ2 2018","Currency=INR","Period=FQ","BEST_FPERIOD_OVERRIDE=FQ","FILING_STATUS=MR","EQY_CONSOLIDATED=N","SCALING_FORMAT=MLN","FA_ADJUSTED=GAAP","Sort=A","Dates=H","DateFormat=P","Fill=—","Direction=H","UseDPDF=Y")</f>
        <v>—</v>
      </c>
      <c r="F15" s="13" t="str">
        <f>_xll.BDH("INDIGO IN Equity","IS_FOREIGN_EXCH_LOSS","FQ3 2018","FQ3 2018","Currency=INR","Period=FQ","BEST_FPERIOD_OVERRIDE=FQ","FILING_STATUS=MR","EQY_CONSOLIDATED=N","SCALING_FORMAT=MLN","FA_ADJUSTED=GAAP","Sort=A","Dates=H","DateFormat=P","Fill=—","Direction=H","UseDPDF=Y")</f>
        <v>—</v>
      </c>
      <c r="G15" s="13" t="str">
        <f>_xll.BDH("INDIGO IN Equity","IS_FOREIGN_EXCH_LOSS","FQ4 2018","FQ4 2018","Currency=INR","Period=FQ","BEST_FPERIOD_OVERRIDE=FQ","FILING_STATUS=MR","EQY_CONSOLIDATED=N","SCALING_FORMAT=MLN","FA_ADJUSTED=GAAP","Sort=A","Dates=H","DateFormat=P","Fill=—","Direction=H","UseDPDF=Y")</f>
        <v>—</v>
      </c>
      <c r="H15" s="13" t="str">
        <f>_xll.BDH("INDIGO IN Equity","IS_FOREIGN_EXCH_LOSS","FQ1 2019","FQ1 2019","Currency=INR","Period=FQ","BEST_FPERIOD_OVERRIDE=FQ","FILING_STATUS=MR","EQY_CONSOLIDATED=N","SCALING_FORMAT=MLN","FA_ADJUSTED=GAAP","Sort=A","Dates=H","DateFormat=P","Fill=—","Direction=H","UseDPDF=Y")</f>
        <v>—</v>
      </c>
      <c r="I15" s="13">
        <f>_xll.BDH("INDIGO IN Equity","IS_FOREIGN_EXCH_LOSS","FQ2 2019","FQ2 2019","Currency=INR","Period=FQ","BEST_FPERIOD_OVERRIDE=FQ","FILING_STATUS=MR","EQY_CONSOLIDATED=N","SCALING_FORMAT=MLN","FA_ADJUSTED=GAAP","Sort=A","Dates=H","DateFormat=P","Fill=—","Direction=H","UseDPDF=Y")</f>
        <v>3353.82</v>
      </c>
      <c r="J15" s="13">
        <f>_xll.BDH("INDIGO IN Equity","IS_FOREIGN_EXCH_LOSS","FQ3 2019","FQ3 2019","Currency=INR","Period=FQ","BEST_FPERIOD_OVERRIDE=FQ","FILING_STATUS=MR","EQY_CONSOLIDATED=N","SCALING_FORMAT=MLN","FA_ADJUSTED=GAAP","Sort=A","Dates=H","DateFormat=P","Fill=—","Direction=H","UseDPDF=Y")</f>
        <v>-1034.82</v>
      </c>
      <c r="K15" s="13">
        <f>_xll.BDH("INDIGO IN Equity","IS_FOREIGN_EXCH_LOSS","FQ4 2019","FQ4 2019","Currency=INR","Period=FQ","BEST_FPERIOD_OVERRIDE=FQ","FILING_STATUS=MR","EQY_CONSOLIDATED=N","SCALING_FORMAT=MLN","FA_ADJUSTED=GAAP","Sort=A","Dates=H","DateFormat=P","Fill=—","Direction=H","UseDPDF=Y")</f>
        <v>-105.19</v>
      </c>
      <c r="L15" s="13">
        <f>_xll.BDH("INDIGO IN Equity","IS_FOREIGN_EXCH_LOSS","FQ1 2020","FQ1 2020","Currency=INR","Period=FQ","BEST_FPERIOD_OVERRIDE=FQ","FILING_STATUS=MR","EQY_CONSOLIDATED=N","SCALING_FORMAT=MLN","FA_ADJUSTED=GAAP","Sort=A","Dates=H","DateFormat=P","Fill=—","Direction=H","UseDPDF=Y")</f>
        <v>-445.98</v>
      </c>
      <c r="M15" s="13">
        <f>_xll.BDH("INDIGO IN Equity","IS_FOREIGN_EXCH_LOSS","FQ2 2020","FQ2 2020","Currency=INR","Period=FQ","BEST_FPERIOD_OVERRIDE=FQ","FILING_STATUS=MR","EQY_CONSOLIDATED=N","SCALING_FORMAT=MLN","FA_ADJUSTED=GAAP","Sort=A","Dates=H","DateFormat=P","Fill=—","Direction=H","UseDPDF=Y")</f>
        <v>4516.49</v>
      </c>
      <c r="N15" s="13">
        <f>_xll.BDH("INDIGO IN Equity","IS_FOREIGN_EXCH_LOSS","FQ3 2020","FQ3 2020","Currency=INR","Period=FQ","BEST_FPERIOD_OVERRIDE=FQ","FILING_STATUS=MR","EQY_CONSOLIDATED=N","SCALING_FORMAT=MLN","FA_ADJUSTED=GAAP","Sort=A","Dates=H","DateFormat=P","Fill=—","Direction=H","UseDPDF=Y")</f>
        <v>1249.8599999999999</v>
      </c>
      <c r="O15" s="13">
        <f>_xll.BDH("INDIGO IN Equity","IS_FOREIGN_EXCH_LOSS","FQ4 2020","FQ4 2020","Currency=INR","Period=FQ","BEST_FPERIOD_OVERRIDE=FQ","FILING_STATUS=MR","EQY_CONSOLIDATED=N","SCALING_FORMAT=MLN","FA_ADJUSTED=GAAP","Sort=A","Dates=H","DateFormat=P","Fill=—","Direction=H","UseDPDF=Y")</f>
        <v>10141.52</v>
      </c>
      <c r="P15" s="13">
        <f>_xll.BDH("INDIGO IN Equity","IS_FOREIGN_EXCH_LOSS","FQ1 2021","FQ1 2021","Currency=INR","Period=FQ","BEST_FPERIOD_OVERRIDE=FQ","FILING_STATUS=MR","EQY_CONSOLIDATED=N","SCALING_FORMAT=MLN","FA_ADJUSTED=GAAP","Sort=A","Dates=H","DateFormat=P","Fill=—","Direction=H","UseDPDF=Y")</f>
        <v>758.79</v>
      </c>
      <c r="Q15" s="13">
        <f>_xll.BDH("INDIGO IN Equity","IS_FOREIGN_EXCH_LOSS","FQ2 2021","FQ2 2021","Currency=INR","Period=FQ","BEST_FPERIOD_OVERRIDE=FQ","FILING_STATUS=MR","EQY_CONSOLIDATED=N","SCALING_FORMAT=MLN","FA_ADJUSTED=GAAP","Sort=A","Dates=H","DateFormat=P","Fill=—","Direction=H","UseDPDF=Y")</f>
        <v>-5137.08</v>
      </c>
      <c r="R15" s="13">
        <f>_xll.BDH("INDIGO IN Equity","IS_FOREIGN_EXCH_LOSS","FQ3 2021","FQ3 2021","Currency=INR","Period=FQ","BEST_FPERIOD_OVERRIDE=FQ","FILING_STATUS=MR","EQY_CONSOLIDATED=N","SCALING_FORMAT=MLN","FA_ADJUSTED=GAAP","Sort=A","Dates=H","DateFormat=P","Fill=—","Direction=H","UseDPDF=Y")</f>
        <v>-2022.71</v>
      </c>
      <c r="S15" s="13">
        <f>_xll.BDH("INDIGO IN Equity","IS_FOREIGN_EXCH_LOSS","FQ4 2021","FQ4 2021","Currency=INR","Period=FQ","BEST_FPERIOD_OVERRIDE=FQ","FILING_STATUS=MR","EQY_CONSOLIDATED=N","SCALING_FORMAT=MLN","FA_ADJUSTED=GAAP","Sort=A","Dates=H","DateFormat=P","Fill=—","Direction=H","UseDPDF=Y")</f>
        <v>1170.74</v>
      </c>
      <c r="T15" s="13">
        <f>_xll.BDH("INDIGO IN Equity","IS_FOREIGN_EXCH_LOSS","FQ1 2022","FQ1 2022","Currency=INR","Period=FQ","BEST_FPERIOD_OVERRIDE=FQ","FILING_STATUS=MR","EQY_CONSOLIDATED=N","SCALING_FORMAT=MLN","FA_ADJUSTED=GAAP","Sort=A","Dates=H","DateFormat=P","Fill=—","Direction=H","UseDPDF=Y")</f>
        <v>3673.01</v>
      </c>
      <c r="U15" s="13">
        <f>_xll.BDH("INDIGO IN Equity","IS_FOREIGN_EXCH_LOSS","FQ2 2022","FQ2 2022","Currency=INR","Period=FQ","BEST_FPERIOD_OVERRIDE=FQ","FILING_STATUS=MR","EQY_CONSOLIDATED=N","SCALING_FORMAT=MLN","FA_ADJUSTED=GAAP","Sort=A","Dates=H","DateFormat=P","Fill=—","Direction=H","UseDPDF=Y")</f>
        <v>-342.05</v>
      </c>
      <c r="V15" s="13">
        <f>_xll.BDH("INDIGO IN Equity","IS_FOREIGN_EXCH_LOSS","FQ3 2022","FQ3 2022","Currency=INR","Period=FQ","BEST_FPERIOD_OVERRIDE=FQ","FILING_STATUS=MR","EQY_CONSOLIDATED=N","SCALING_FORMAT=MLN","FA_ADJUSTED=GAAP","Sort=A","Dates=H","DateFormat=P","Fill=—","Direction=H","UseDPDF=Y")</f>
        <v>-46.02</v>
      </c>
      <c r="W15" s="13">
        <f>_xll.BDH("INDIGO IN Equity","IS_FOREIGN_EXCH_LOSS","FQ4 2022","FQ4 2022","Currency=INR","Period=FQ","BEST_FPERIOD_OVERRIDE=FQ","FILING_STATUS=MR","EQY_CONSOLIDATED=N","SCALING_FORMAT=MLN","FA_ADJUSTED=GAAP","Sort=A","Dates=H","DateFormat=P","Fill=—","Direction=H","UseDPDF=Y")</f>
        <v>6123.44</v>
      </c>
      <c r="X15" s="13">
        <f>_xll.BDH("INDIGO IN Equity","IS_FOREIGN_EXCH_LOSS","FQ1 2023","FQ1 2023","Currency=INR","Period=FQ","BEST_FPERIOD_OVERRIDE=FQ","FILING_STATUS=MR","EQY_CONSOLIDATED=N","SCALING_FORMAT=MLN","FA_ADJUSTED=GAAP","Sort=A","Dates=H","DateFormat=P","Fill=—","Direction=H","UseDPDF=Y")</f>
        <v>14246.05</v>
      </c>
      <c r="Y15" s="13">
        <f>_xll.BDH("INDIGO IN Equity","IS_FOREIGN_EXCH_LOSS","FQ2 2023","FQ2 2023","Currency=INR","Period=FQ","BEST_FPERIOD_OVERRIDE=FQ","FILING_STATUS=MR","EQY_CONSOLIDATED=N","SCALING_FORMAT=MLN","FA_ADJUSTED=GAAP","Sort=A","Dates=H","DateFormat=P","Fill=—","Direction=H","UseDPDF=Y")</f>
        <v>12015.12</v>
      </c>
      <c r="Z15" s="13">
        <f>_xll.BDH("INDIGO IN Equity","IS_FOREIGN_EXCH_LOSS","FQ3 2023","FQ3 2023","Currency=INR","Period=FQ","BEST_FPERIOD_OVERRIDE=FQ","FILING_STATUS=MR","EQY_CONSOLIDATED=N","SCALING_FORMAT=MLN","FA_ADJUSTED=GAAP","Sort=A","Dates=H","DateFormat=P","Fill=—","Direction=H","UseDPDF=Y")</f>
        <v>5864.79</v>
      </c>
      <c r="AA15" s="13">
        <f>_xll.BDH("INDIGO IN Equity","IS_FOREIGN_EXCH_LOSS","FQ4 2023","FQ4 2023","Currency=INR","Period=FQ","BEST_FPERIOD_OVERRIDE=FQ","FILING_STATUS=MR","EQY_CONSOLIDATED=N","SCALING_FORMAT=MLN","FA_ADJUSTED=GAAP","Sort=A","Dates=H","DateFormat=P","Fill=—","Direction=H","UseDPDF=Y")</f>
        <v>-2528.23</v>
      </c>
      <c r="AB15" s="13">
        <f>_xll.BDH("INDIGO IN Equity","IS_FOREIGN_EXCH_LOSS","FQ1 2024","FQ1 2024","Currency=INR","Period=FQ","BEST_FPERIOD_OVERRIDE=FQ","FILING_STATUS=MR","EQY_CONSOLIDATED=N","SCALING_FORMAT=MLN","FA_ADJUSTED=GAAP","Sort=A","Dates=H","DateFormat=P","Fill=—","Direction=H","UseDPDF=Y")</f>
        <v>-1160.79</v>
      </c>
      <c r="AC15" s="13">
        <f>_xll.BDH("INDIGO IN Equity","IS_FOREIGN_EXCH_LOSS","FQ2 2024","FQ2 2024","Currency=INR","Period=FQ","BEST_FPERIOD_OVERRIDE=FQ","FILING_STATUS=MR","EQY_CONSOLIDATED=N","SCALING_FORMAT=MLN","FA_ADJUSTED=GAAP","Sort=A","Dates=H","DateFormat=P","Fill=—","Direction=H","UseDPDF=Y")</f>
        <v>6171.29</v>
      </c>
      <c r="AD15" s="13">
        <f>_xll.BDH("INDIGO IN Equity","IS_FOREIGN_EXCH_LOSS","FQ3 2024","FQ3 2024","Currency=INR","Period=FQ","BEST_FPERIOD_OVERRIDE=FQ","FILING_STATUS=MR","EQY_CONSOLIDATED=N","SCALING_FORMAT=MLN","FA_ADJUSTED=GAAP","Sort=A","Dates=H","DateFormat=P","Fill=—","Direction=H","UseDPDF=Y")</f>
        <v>509.33</v>
      </c>
      <c r="AE15" s="13">
        <f>_xll.BDH("INDIGO IN Equity","IS_FOREIGN_EXCH_LOSS","FQ4 2024","FQ4 2024","Currency=INR","Period=FQ","BEST_FPERIOD_OVERRIDE=FQ","FILING_STATUS=MR","EQY_CONSOLIDATED=N","SCALING_FORMAT=MLN","FA_ADJUSTED=GAAP","Sort=A","Dates=H","DateFormat=P","Fill=—","Direction=H","UseDPDF=Y")</f>
        <v>1653.98</v>
      </c>
      <c r="AF15" s="13">
        <f>_xll.BDH("INDIGO IN Equity","IS_FOREIGN_EXCH_LOSS","FQ1 2025","FQ1 2025","Currency=INR","Period=FQ","BEST_FPERIOD_OVERRIDE=FQ","FILING_STATUS=MR","EQY_CONSOLIDATED=N","SCALING_FORMAT=MLN","FA_ADJUSTED=GAAP","Sort=A","Dates=H","DateFormat=P","Fill=—","Direction=H","UseDPDF=Y")</f>
        <v>575</v>
      </c>
      <c r="AG15" s="13">
        <f>_xll.BDH("INDIGO IN Equity","IS_FOREIGN_EXCH_LOSS","FQ2 2025","FQ2 2025","Currency=INR","Period=FQ","BEST_FPERIOD_OVERRIDE=FQ","FILING_STATUS=MR","EQY_CONSOLIDATED=N","SCALING_FORMAT=MLN","FA_ADJUSTED=GAAP","Sort=A","Dates=H","DateFormat=P","Fill=—","Direction=H","UseDPDF=Y")</f>
        <v>2406</v>
      </c>
      <c r="AH15" s="13">
        <f>_xll.BDH("INDIGO IN Equity","IS_FOREIGN_EXCH_LOSS","FQ3 2025","FQ3 2025","Currency=INR","Period=FQ","BEST_FPERIOD_OVERRIDE=FQ","FILING_STATUS=MR","EQY_CONSOLIDATED=N","SCALING_FORMAT=MLN","FA_ADJUSTED=GAAP","Sort=A","Dates=H","DateFormat=P","Fill=—","Direction=H","UseDPDF=Y")</f>
        <v>14583</v>
      </c>
      <c r="AI15" s="13">
        <f>_xll.BDH("INDIGO IN Equity","IS_FOREIGN_EXCH_LOSS","FQ4 2025","FQ4 2025","Currency=INR","Period=FQ","BEST_FPERIOD_OVERRIDE=FQ","FILING_STATUS=MR","EQY_CONSOLIDATED=N","SCALING_FORMAT=MLN","FA_ADJUSTED=GAAP","Sort=A","Dates=H","DateFormat=P","Fill=—","Direction=H","UseDPDF=Y")</f>
        <v>-1375</v>
      </c>
      <c r="AJ15" s="13">
        <f>_xll.BDH("INDIGO IN Equity","IS_FOREIGN_EXCH_LOSS","FQ1 2026","FQ1 2026","Currency=INR","Period=FQ","BEST_FPERIOD_OVERRIDE=FQ","FILING_STATUS=MR","EQY_CONSOLIDATED=N","SCALING_FORMAT=MLN","FA_ADJUSTED=GAAP","Sort=A","Dates=H","DateFormat=P","Fill=—","Direction=H","UseDPDF=Y")</f>
        <v>1476</v>
      </c>
      <c r="AK15" s="13">
        <f>_xll.BDH("INDIGO IN Equity","IS_FOREIGN_EXCH_LOSS","FQ2 2026","FQ2 2026","Currency=INR","Period=FQ","BEST_FPERIOD_OVERRIDE=FQ","FILING_STATUS=MR","EQY_CONSOLIDATED=N","SCALING_FORMAT=MLN","FA_ADJUSTED=GAAP","Sort=A","Dates=H","DateFormat=P","Fill=—","Direction=H","UseDPDF=Y")</f>
        <v>29048</v>
      </c>
      <c r="AL15" s="13">
        <f>_xll.BDH("INDIGO IN Equity","IS_FOREIGN_EXCH_LOSS","FQ3 2026","FQ3 2026","Currency=INR","Period=FQ","BEST_FPERIOD_OVERRIDE=FQ","FILING_STATUS=MR","EQY_CONSOLIDATED=N","SCALING_FORMAT=MLN","FA_ADJUSTED=GAAP","Sort=A","Dates=H","DateFormat=P","Fill=—","Direction=H","UseDPDF=Y")</f>
        <v>11169</v>
      </c>
      <c r="AM15" s="13">
        <f>_xll.BDH("INDIGO IN Equity","IS_FOREIGN_EXCH_LOSS","FQ4 2026","FQ4 2026","Currency=INR","Period=FQ","BEST_FPERIOD_OVERRIDE=FQ","FILING_STATUS=MR","EQY_CONSOLIDATED=N","SCALING_FORMAT=MLN","FA_ADJUSTED=GAAP","Sort=A","Dates=H","DateFormat=P","Fill=—","Direction=H","UseDPDF=Y")</f>
        <v>48816</v>
      </c>
      <c r="AN15" s="13">
        <f>_xll.BDH("INDIGO IN Equity","IS_FOREIGN_EXCH_LOSS","FQ1 2027","FQ1 2027","Currency=INR","Period=FQ","BEST_FPERIOD_OVERRIDE=FQ","FILING_STATUS=MR","EQY_CONSOLIDATED=N","SCALING_FORMAT=MLN","FA_ADJUSTED=GAAP","Sort=A","Dates=H","DateFormat=P","Fill=—","Direction=H","UseDPDF=Y")</f>
        <v>793</v>
      </c>
      <c r="AO15" s="13"/>
      <c r="AP15" s="13"/>
    </row>
    <row r="16" spans="1:42" x14ac:dyDescent="0.25">
      <c r="A16" s="12" t="s">
        <v>120</v>
      </c>
      <c r="B16" s="12" t="s">
        <v>121</v>
      </c>
      <c r="C16" s="13">
        <f>_xll.BDH("INDIGO IN Equity","OTHER_NONOP_INCOME_LOSS","FQ4 2017","FQ4 2017","Currency=INR","Period=FQ","BEST_FPERIOD_OVERRIDE=FQ","FILING_STATUS=MR","EQY_CONSOLIDATED=N","SCALING_FORMAT=MLN","FA_ADJUSTED=GAAP","Sort=A","Dates=H","DateFormat=P","Fill=—","Direction=H","UseDPDF=Y")</f>
        <v>-2161.21</v>
      </c>
      <c r="D16" s="13">
        <f>_xll.BDH("INDIGO IN Equity","OTHER_NONOP_INCOME_LOSS","FQ1 2018","FQ1 2018","Currency=INR","Period=FQ","BEST_FPERIOD_OVERRIDE=FQ","FILING_STATUS=MR","EQY_CONSOLIDATED=N","SCALING_FORMAT=MLN","FA_ADJUSTED=GAAP","Sort=A","Dates=H","DateFormat=P","Fill=—","Direction=H","UseDPDF=Y")</f>
        <v>-1256.5999999999999</v>
      </c>
      <c r="E16" s="13">
        <f>_xll.BDH("INDIGO IN Equity","OTHER_NONOP_INCOME_LOSS","FQ2 2018","FQ2 2018","Currency=INR","Period=FQ","BEST_FPERIOD_OVERRIDE=FQ","FILING_STATUS=MR","EQY_CONSOLIDATED=N","SCALING_FORMAT=MLN","FA_ADJUSTED=GAAP","Sort=A","Dates=H","DateFormat=P","Fill=—","Direction=H","UseDPDF=Y")</f>
        <v>-1289.1400000000001</v>
      </c>
      <c r="F16" s="13">
        <f>_xll.BDH("INDIGO IN Equity","OTHER_NONOP_INCOME_LOSS","FQ3 2018","FQ3 2018","Currency=INR","Period=FQ","BEST_FPERIOD_OVERRIDE=FQ","FILING_STATUS=MR","EQY_CONSOLIDATED=N","SCALING_FORMAT=MLN","FA_ADJUSTED=GAAP","Sort=A","Dates=H","DateFormat=P","Fill=—","Direction=H","UseDPDF=Y")</f>
        <v>-1874.68</v>
      </c>
      <c r="G16" s="13">
        <f>_xll.BDH("INDIGO IN Equity","OTHER_NONOP_INCOME_LOSS","FQ4 2018","FQ4 2018","Currency=INR","Period=FQ","BEST_FPERIOD_OVERRIDE=FQ","FILING_STATUS=MR","EQY_CONSOLIDATED=N","SCALING_FORMAT=MLN","FA_ADJUSTED=GAAP","Sort=A","Dates=H","DateFormat=P","Fill=—","Direction=H","UseDPDF=Y")</f>
        <v>-1649.99</v>
      </c>
      <c r="H16" s="13">
        <f>_xll.BDH("INDIGO IN Equity","OTHER_NONOP_INCOME_LOSS","FQ1 2019","FQ1 2019","Currency=INR","Period=FQ","BEST_FPERIOD_OVERRIDE=FQ","FILING_STATUS=MR","EQY_CONSOLIDATED=N","SCALING_FORMAT=MLN","FA_ADJUSTED=GAAP","Sort=A","Dates=H","DateFormat=P","Fill=—","Direction=H","UseDPDF=Y")</f>
        <v>-1976.77</v>
      </c>
      <c r="I16" s="13">
        <f>_xll.BDH("INDIGO IN Equity","OTHER_NONOP_INCOME_LOSS","FQ2 2019","FQ2 2019","Currency=INR","Period=FQ","BEST_FPERIOD_OVERRIDE=FQ","FILING_STATUS=MR","EQY_CONSOLIDATED=N","SCALING_FORMAT=MLN","FA_ADJUSTED=GAAP","Sort=A","Dates=H","DateFormat=P","Fill=—","Direction=H","UseDPDF=Y")</f>
        <v>-1988.66</v>
      </c>
      <c r="J16" s="13">
        <f>_xll.BDH("INDIGO IN Equity","OTHER_NONOP_INCOME_LOSS","FQ3 2019","FQ3 2019","Currency=INR","Period=FQ","BEST_FPERIOD_OVERRIDE=FQ","FILING_STATUS=MR","EQY_CONSOLIDATED=N","SCALING_FORMAT=MLN","FA_ADJUSTED=GAAP","Sort=A","Dates=H","DateFormat=P","Fill=—","Direction=H","UseDPDF=Y")</f>
        <v>-1754.69</v>
      </c>
      <c r="K16" s="13">
        <f>_xll.BDH("INDIGO IN Equity","OTHER_NONOP_INCOME_LOSS","FQ4 2019","FQ4 2019","Currency=INR","Period=FQ","BEST_FPERIOD_OVERRIDE=FQ","FILING_STATUS=MR","EQY_CONSOLIDATED=N","SCALING_FORMAT=MLN","FA_ADJUSTED=GAAP","Sort=A","Dates=H","DateFormat=P","Fill=—","Direction=H","UseDPDF=Y")</f>
        <v>-2439.61</v>
      </c>
      <c r="L16" s="13">
        <f>_xll.BDH("INDIGO IN Equity","OTHER_NONOP_INCOME_LOSS","FQ1 2020","FQ1 2020","Currency=INR","Period=FQ","BEST_FPERIOD_OVERRIDE=FQ","FILING_STATUS=MR","EQY_CONSOLIDATED=N","SCALING_FORMAT=MLN","FA_ADJUSTED=GAAP","Sort=A","Dates=H","DateFormat=P","Fill=—","Direction=H","UseDPDF=Y")</f>
        <v>1171.67</v>
      </c>
      <c r="M16" s="13">
        <f>_xll.BDH("INDIGO IN Equity","OTHER_NONOP_INCOME_LOSS","FQ2 2020","FQ2 2020","Currency=INR","Period=FQ","BEST_FPERIOD_OVERRIDE=FQ","FILING_STATUS=MR","EQY_CONSOLIDATED=N","SCALING_FORMAT=MLN","FA_ADJUSTED=GAAP","Sort=A","Dates=H","DateFormat=P","Fill=—","Direction=H","UseDPDF=Y")</f>
        <v>-112.66</v>
      </c>
      <c r="N16" s="13">
        <f>_xll.BDH("INDIGO IN Equity","OTHER_NONOP_INCOME_LOSS","FQ3 2020","FQ3 2020","Currency=INR","Period=FQ","BEST_FPERIOD_OVERRIDE=FQ","FILING_STATUS=MR","EQY_CONSOLIDATED=N","SCALING_FORMAT=MLN","FA_ADJUSTED=GAAP","Sort=A","Dates=H","DateFormat=P","Fill=—","Direction=H","UseDPDF=Y")</f>
        <v>818.37</v>
      </c>
      <c r="O16" s="13">
        <f>_xll.BDH("INDIGO IN Equity","OTHER_NONOP_INCOME_LOSS","FQ4 2020","FQ4 2020","Currency=INR","Period=FQ","BEST_FPERIOD_OVERRIDE=FQ","FILING_STATUS=MR","EQY_CONSOLIDATED=N","SCALING_FORMAT=MLN","FA_ADJUSTED=GAAP","Sort=A","Dates=H","DateFormat=P","Fill=—","Direction=H","UseDPDF=Y")</f>
        <v>1518.91</v>
      </c>
      <c r="P16" s="13">
        <f>_xll.BDH("INDIGO IN Equity","OTHER_NONOP_INCOME_LOSS","FQ1 2021","FQ1 2021","Currency=INR","Period=FQ","BEST_FPERIOD_OVERRIDE=FQ","FILING_STATUS=MR","EQY_CONSOLIDATED=N","SCALING_FORMAT=MLN","FA_ADJUSTED=GAAP","Sort=A","Dates=H","DateFormat=P","Fill=—","Direction=H","UseDPDF=Y")</f>
        <v>1329.95</v>
      </c>
      <c r="Q16" s="13">
        <f>_xll.BDH("INDIGO IN Equity","OTHER_NONOP_INCOME_LOSS","FQ2 2021","FQ2 2021","Currency=INR","Period=FQ","BEST_FPERIOD_OVERRIDE=FQ","FILING_STATUS=MR","EQY_CONSOLIDATED=N","SCALING_FORMAT=MLN","FA_ADJUSTED=GAAP","Sort=A","Dates=H","DateFormat=P","Fill=—","Direction=H","UseDPDF=Y")</f>
        <v>2747.08</v>
      </c>
      <c r="R16" s="13">
        <f>_xll.BDH("INDIGO IN Equity","OTHER_NONOP_INCOME_LOSS","FQ3 2021","FQ3 2021","Currency=INR","Period=FQ","BEST_FPERIOD_OVERRIDE=FQ","FILING_STATUS=MR","EQY_CONSOLIDATED=N","SCALING_FORMAT=MLN","FA_ADJUSTED=GAAP","Sort=A","Dates=H","DateFormat=P","Fill=—","Direction=H","UseDPDF=Y")</f>
        <v>3088.94</v>
      </c>
      <c r="S16" s="13">
        <f>_xll.BDH("INDIGO IN Equity","OTHER_NONOP_INCOME_LOSS","FQ4 2021","FQ4 2021","Currency=INR","Period=FQ","BEST_FPERIOD_OVERRIDE=FQ","FILING_STATUS=MR","EQY_CONSOLIDATED=N","SCALING_FORMAT=MLN","FA_ADJUSTED=GAAP","Sort=A","Dates=H","DateFormat=P","Fill=—","Direction=H","UseDPDF=Y")</f>
        <v>3890.54</v>
      </c>
      <c r="T16" s="13">
        <f>_xll.BDH("INDIGO IN Equity","OTHER_NONOP_INCOME_LOSS","FQ1 2022","FQ1 2022","Currency=INR","Period=FQ","BEST_FPERIOD_OVERRIDE=FQ","FILING_STATUS=MR","EQY_CONSOLIDATED=N","SCALING_FORMAT=MLN","FA_ADJUSTED=GAAP","Sort=A","Dates=H","DateFormat=P","Fill=—","Direction=H","UseDPDF=Y")</f>
        <v>3923.39</v>
      </c>
      <c r="U16" s="13">
        <f>_xll.BDH("INDIGO IN Equity","OTHER_NONOP_INCOME_LOSS","FQ2 2022","FQ2 2022","Currency=INR","Period=FQ","BEST_FPERIOD_OVERRIDE=FQ","FILING_STATUS=MR","EQY_CONSOLIDATED=N","SCALING_FORMAT=MLN","FA_ADJUSTED=GAAP","Sort=A","Dates=H","DateFormat=P","Fill=—","Direction=H","UseDPDF=Y")</f>
        <v>3789.62</v>
      </c>
      <c r="V16" s="13">
        <f>_xll.BDH("INDIGO IN Equity","OTHER_NONOP_INCOME_LOSS","FQ3 2022","FQ3 2022","Currency=INR","Period=FQ","BEST_FPERIOD_OVERRIDE=FQ","FILING_STATUS=MR","EQY_CONSOLIDATED=N","SCALING_FORMAT=MLN","FA_ADJUSTED=GAAP","Sort=A","Dates=H","DateFormat=P","Fill=—","Direction=H","UseDPDF=Y")</f>
        <v>4159.67</v>
      </c>
      <c r="W16" s="13">
        <f>_xll.BDH("INDIGO IN Equity","OTHER_NONOP_INCOME_LOSS","FQ4 2022","FQ4 2022","Currency=INR","Period=FQ","BEST_FPERIOD_OVERRIDE=FQ","FILING_STATUS=MR","EQY_CONSOLIDATED=N","SCALING_FORMAT=MLN","FA_ADJUSTED=GAAP","Sort=A","Dates=H","DateFormat=P","Fill=—","Direction=H","UseDPDF=Y")</f>
        <v>4462.05</v>
      </c>
      <c r="X16" s="13">
        <f>_xll.BDH("INDIGO IN Equity","OTHER_NONOP_INCOME_LOSS","FQ1 2023","FQ1 2023","Currency=INR","Period=FQ","BEST_FPERIOD_OVERRIDE=FQ","FILING_STATUS=MR","EQY_CONSOLIDATED=N","SCALING_FORMAT=MLN","FA_ADJUSTED=GAAP","Sort=A","Dates=H","DateFormat=P","Fill=—","Direction=H","UseDPDF=Y")</f>
        <v>4932.41</v>
      </c>
      <c r="Y16" s="13">
        <f>_xll.BDH("INDIGO IN Equity","OTHER_NONOP_INCOME_LOSS","FQ2 2023","FQ2 2023","Currency=INR","Period=FQ","BEST_FPERIOD_OVERRIDE=FQ","FILING_STATUS=MR","EQY_CONSOLIDATED=N","SCALING_FORMAT=MLN","FA_ADJUSTED=GAAP","Sort=A","Dates=H","DateFormat=P","Fill=—","Direction=H","UseDPDF=Y")</f>
        <v>3736.17</v>
      </c>
      <c r="Z16" s="13">
        <f>_xll.BDH("INDIGO IN Equity","OTHER_NONOP_INCOME_LOSS","FQ3 2023","FQ3 2023","Currency=INR","Period=FQ","BEST_FPERIOD_OVERRIDE=FQ","FILING_STATUS=MR","EQY_CONSOLIDATED=N","SCALING_FORMAT=MLN","FA_ADJUSTED=GAAP","Sort=A","Dates=H","DateFormat=P","Fill=—","Direction=H","UseDPDF=Y")</f>
        <v>3535.77</v>
      </c>
      <c r="AA16" s="13">
        <f>_xll.BDH("INDIGO IN Equity","OTHER_NONOP_INCOME_LOSS","FQ4 2023","FQ4 2023","Currency=INR","Period=FQ","BEST_FPERIOD_OVERRIDE=FQ","FILING_STATUS=MR","EQY_CONSOLIDATED=N","SCALING_FORMAT=MLN","FA_ADJUSTED=GAAP","Sort=A","Dates=H","DateFormat=P","Fill=—","Direction=H","UseDPDF=Y")</f>
        <v>4798.6099999999997</v>
      </c>
      <c r="AB16" s="13">
        <f>_xll.BDH("INDIGO IN Equity","OTHER_NONOP_INCOME_LOSS","FQ1 2024","FQ1 2024","Currency=INR","Period=FQ","BEST_FPERIOD_OVERRIDE=FQ","FILING_STATUS=MR","EQY_CONSOLIDATED=N","SCALING_FORMAT=MLN","FA_ADJUSTED=GAAP","Sort=A","Dates=H","DateFormat=P","Fill=—","Direction=H","UseDPDF=Y")</f>
        <v>4762.72</v>
      </c>
      <c r="AC16" s="13">
        <f>_xll.BDH("INDIGO IN Equity","OTHER_NONOP_INCOME_LOSS","FQ2 2024","FQ2 2024","Currency=INR","Period=FQ","BEST_FPERIOD_OVERRIDE=FQ","FILING_STATUS=MR","EQY_CONSOLIDATED=N","SCALING_FORMAT=MLN","FA_ADJUSTED=GAAP","Sort=A","Dates=H","DateFormat=P","Fill=—","Direction=H","UseDPDF=Y")</f>
        <v>4630.05</v>
      </c>
      <c r="AD16" s="13">
        <f>_xll.BDH("INDIGO IN Equity","OTHER_NONOP_INCOME_LOSS","FQ3 2024","FQ3 2024","Currency=INR","Period=FQ","BEST_FPERIOD_OVERRIDE=FQ","FILING_STATUS=MR","EQY_CONSOLIDATED=N","SCALING_FORMAT=MLN","FA_ADJUSTED=GAAP","Sort=A","Dates=H","DateFormat=P","Fill=—","Direction=H","UseDPDF=Y")</f>
        <v>4854.3500000000004</v>
      </c>
      <c r="AE16" s="13">
        <f>_xll.BDH("INDIGO IN Equity","OTHER_NONOP_INCOME_LOSS","FQ4 2024","FQ4 2024","Currency=INR","Period=FQ","BEST_FPERIOD_OVERRIDE=FQ","FILING_STATUS=MR","EQY_CONSOLIDATED=N","SCALING_FORMAT=MLN","FA_ADJUSTED=GAAP","Sort=A","Dates=H","DateFormat=P","Fill=—","Direction=H","UseDPDF=Y")</f>
        <v>4190.6899999999996</v>
      </c>
      <c r="AF16" s="13">
        <f>_xll.BDH("INDIGO IN Equity","OTHER_NONOP_INCOME_LOSS","FQ1 2025","FQ1 2025","Currency=INR","Period=FQ","BEST_FPERIOD_OVERRIDE=FQ","FILING_STATUS=MR","EQY_CONSOLIDATED=N","SCALING_FORMAT=MLN","FA_ADJUSTED=GAAP","Sort=A","Dates=H","DateFormat=P","Fill=—","Direction=H","UseDPDF=Y")</f>
        <v>4779</v>
      </c>
      <c r="AG16" s="13">
        <f>_xll.BDH("INDIGO IN Equity","OTHER_NONOP_INCOME_LOSS","FQ2 2025","FQ2 2025","Currency=INR","Period=FQ","BEST_FPERIOD_OVERRIDE=FQ","FILING_STATUS=MR","EQY_CONSOLIDATED=N","SCALING_FORMAT=MLN","FA_ADJUSTED=GAAP","Sort=A","Dates=H","DateFormat=P","Fill=—","Direction=H","UseDPDF=Y")</f>
        <v>4496</v>
      </c>
      <c r="AH16" s="13">
        <f>_xll.BDH("INDIGO IN Equity","OTHER_NONOP_INCOME_LOSS","FQ3 2025","FQ3 2025","Currency=INR","Period=FQ","BEST_FPERIOD_OVERRIDE=FQ","FILING_STATUS=MR","EQY_CONSOLIDATED=N","SCALING_FORMAT=MLN","FA_ADJUSTED=GAAP","Sort=A","Dates=H","DateFormat=P","Fill=—","Direction=H","UseDPDF=Y")</f>
        <v>4246</v>
      </c>
      <c r="AI16" s="13">
        <f>_xll.BDH("INDIGO IN Equity","OTHER_NONOP_INCOME_LOSS","FQ4 2025","FQ4 2025","Currency=INR","Period=FQ","BEST_FPERIOD_OVERRIDE=FQ","FILING_STATUS=MR","EQY_CONSOLIDATED=N","SCALING_FORMAT=MLN","FA_ADJUSTED=GAAP","Sort=A","Dates=H","DateFormat=P","Fill=—","Direction=H","UseDPDF=Y")</f>
        <v>4300</v>
      </c>
      <c r="AJ16" s="13">
        <f>_xll.BDH("INDIGO IN Equity","OTHER_NONOP_INCOME_LOSS","FQ1 2026","FQ1 2026","Currency=INR","Period=FQ","BEST_FPERIOD_OVERRIDE=FQ","FILING_STATUS=MR","EQY_CONSOLIDATED=N","SCALING_FORMAT=MLN","FA_ADJUSTED=GAAP","Sort=A","Dates=H","DateFormat=P","Fill=—","Direction=H","UseDPDF=Y")</f>
        <v>3561</v>
      </c>
      <c r="AK16" s="13">
        <f>_xll.BDH("INDIGO IN Equity","OTHER_NONOP_INCOME_LOSS","FQ2 2026","FQ2 2026","Currency=INR","Period=FQ","BEST_FPERIOD_OVERRIDE=FQ","FILING_STATUS=MR","EQY_CONSOLIDATED=N","SCALING_FORMAT=MLN","FA_ADJUSTED=GAAP","Sort=A","Dates=H","DateFormat=P","Fill=—","Direction=H","UseDPDF=Y")</f>
        <v>4299</v>
      </c>
      <c r="AL16" s="13">
        <f>_xll.BDH("INDIGO IN Equity","OTHER_NONOP_INCOME_LOSS","FQ3 2026","FQ3 2026","Currency=INR","Period=FQ","BEST_FPERIOD_OVERRIDE=FQ","FILING_STATUS=MR","EQY_CONSOLIDATED=N","SCALING_FORMAT=MLN","FA_ADJUSTED=GAAP","Sort=A","Dates=H","DateFormat=P","Fill=—","Direction=H","UseDPDF=Y")</f>
        <v>19598</v>
      </c>
      <c r="AM16" s="13">
        <f>_xll.BDH("INDIGO IN Equity","OTHER_NONOP_INCOME_LOSS","FQ4 2026","FQ4 2026","Currency=INR","Period=FQ","BEST_FPERIOD_OVERRIDE=FQ","FILING_STATUS=MR","EQY_CONSOLIDATED=N","SCALING_FORMAT=MLN","FA_ADJUSTED=GAAP","Sort=A","Dates=H","DateFormat=P","Fill=—","Direction=H","UseDPDF=Y")</f>
        <v>4300</v>
      </c>
      <c r="AN16" s="13">
        <f>_xll.BDH("INDIGO IN Equity","OTHER_NONOP_INCOME_LOSS","FQ1 2027","FQ1 2027","Currency=INR","Period=FQ","BEST_FPERIOD_OVERRIDE=FQ","FILING_STATUS=MR","EQY_CONSOLIDATED=N","SCALING_FORMAT=MLN","FA_ADJUSTED=GAAP","Sort=A","Dates=H","DateFormat=P","Fill=—","Direction=H","UseDPDF=Y")</f>
        <v>6411</v>
      </c>
      <c r="AO16" s="13"/>
      <c r="AP16" s="13"/>
    </row>
    <row r="17" spans="1:42" x14ac:dyDescent="0.25">
      <c r="A17" s="10" t="s">
        <v>122</v>
      </c>
      <c r="B17" s="10" t="s">
        <v>123</v>
      </c>
      <c r="C17" s="11">
        <f>_xll.BDH("INDIGO IN Equity","PRETAX_INC","FQ4 2017","FQ4 2017","Currency=INR","Period=FQ","BEST_FPERIOD_OVERRIDE=FQ","FILING_STATUS=MR","EQY_CONSOLIDATED=N","SCALING_FORMAT=MLN","FA_ADJUSTED=GAAP","Sort=A","Dates=H","DateFormat=P","Fill=—","Direction=H","UseDPDF=Y")</f>
        <v>6189.54</v>
      </c>
      <c r="D17" s="11">
        <f>_xll.BDH("INDIGO IN Equity","PRETAX_INC","FQ1 2018","FQ1 2018","Currency=INR","Period=FQ","BEST_FPERIOD_OVERRIDE=FQ","FILING_STATUS=MR","EQY_CONSOLIDATED=N","SCALING_FORMAT=MLN","FA_ADJUSTED=GAAP","Sort=A","Dates=H","DateFormat=P","Fill=—","Direction=H","UseDPDF=Y")</f>
        <v>11243.35</v>
      </c>
      <c r="E17" s="11">
        <f>_xll.BDH("INDIGO IN Equity","PRETAX_INC","FQ2 2018","FQ2 2018","Currency=INR","Period=FQ","BEST_FPERIOD_OVERRIDE=FQ","FILING_STATUS=MR","EQY_CONSOLIDATED=N","SCALING_FORMAT=MLN","FA_ADJUSTED=GAAP","Sort=A","Dates=H","DateFormat=P","Fill=—","Direction=H","UseDPDF=Y")</f>
        <v>7645.37</v>
      </c>
      <c r="F17" s="11">
        <f>_xll.BDH("INDIGO IN Equity","PRETAX_INC","FQ3 2018","FQ3 2018","Currency=INR","Period=FQ","BEST_FPERIOD_OVERRIDE=FQ","FILING_STATUS=MR","EQY_CONSOLIDATED=N","SCALING_FORMAT=MLN","FA_ADJUSTED=GAAP","Sort=A","Dates=H","DateFormat=P","Fill=—","Direction=H","UseDPDF=Y")</f>
        <v>10715.99</v>
      </c>
      <c r="G17" s="11">
        <f>_xll.BDH("INDIGO IN Equity","PRETAX_INC","FQ4 2018","FQ4 2018","Currency=INR","Period=FQ","BEST_FPERIOD_OVERRIDE=FQ","FILING_STATUS=MR","EQY_CONSOLIDATED=N","SCALING_FORMAT=MLN","FA_ADJUSTED=GAAP","Sort=A","Dates=H","DateFormat=P","Fill=—","Direction=H","UseDPDF=Y")</f>
        <v>1662.06</v>
      </c>
      <c r="H17" s="11">
        <f>_xll.BDH("INDIGO IN Equity","PRETAX_INC","FQ1 2019","FQ1 2019","Currency=INR","Period=FQ","BEST_FPERIOD_OVERRIDE=FQ","FILING_STATUS=MR","EQY_CONSOLIDATED=N","SCALING_FORMAT=MLN","FA_ADJUSTED=GAAP","Sort=A","Dates=H","DateFormat=P","Fill=—","Direction=H","UseDPDF=Y")</f>
        <v>313.41000000000003</v>
      </c>
      <c r="I17" s="11">
        <f>_xll.BDH("INDIGO IN Equity","PRETAX_INC","FQ2 2019","FQ2 2019","Currency=INR","Period=FQ","BEST_FPERIOD_OVERRIDE=FQ","FILING_STATUS=MR","EQY_CONSOLIDATED=N","SCALING_FORMAT=MLN","FA_ADJUSTED=GAAP","Sort=A","Dates=H","DateFormat=P","Fill=—","Direction=H","UseDPDF=Y")</f>
        <v>-9880.76</v>
      </c>
      <c r="J17" s="11">
        <f>_xll.BDH("INDIGO IN Equity","PRETAX_INC","FQ3 2019","FQ3 2019","Currency=INR","Period=FQ","BEST_FPERIOD_OVERRIDE=FQ","FILING_STATUS=MR","EQY_CONSOLIDATED=N","SCALING_FORMAT=MLN","FA_ADJUSTED=GAAP","Sort=A","Dates=H","DateFormat=P","Fill=—","Direction=H","UseDPDF=Y")</f>
        <v>1908.88</v>
      </c>
      <c r="K17" s="11">
        <f>_xll.BDH("INDIGO IN Equity","PRETAX_INC","FQ4 2019","FQ4 2019","Currency=INR","Period=FQ","BEST_FPERIOD_OVERRIDE=FQ","FILING_STATUS=MR","EQY_CONSOLIDATED=N","SCALING_FORMAT=MLN","FA_ADJUSTED=GAAP","Sort=A","Dates=H","DateFormat=P","Fill=—","Direction=H","UseDPDF=Y")</f>
        <v>6168</v>
      </c>
      <c r="L17" s="11">
        <f>_xll.BDH("INDIGO IN Equity","PRETAX_INC","FQ1 2020","FQ1 2020","Currency=INR","Period=FQ","BEST_FPERIOD_OVERRIDE=FQ","FILING_STATUS=MR","EQY_CONSOLIDATED=N","SCALING_FORMAT=MLN","FA_ADJUSTED=GAAP","Sort=A","Dates=H","DateFormat=P","Fill=—","Direction=H","UseDPDF=Y")</f>
        <v>15053.09</v>
      </c>
      <c r="M17" s="11">
        <f>_xll.BDH("INDIGO IN Equity","PRETAX_INC","FQ2 2020","FQ2 2020","Currency=INR","Period=FQ","BEST_FPERIOD_OVERRIDE=FQ","FILING_STATUS=MR","EQY_CONSOLIDATED=N","SCALING_FORMAT=MLN","FA_ADJUSTED=GAAP","Sort=A","Dates=H","DateFormat=P","Fill=—","Direction=H","UseDPDF=Y")</f>
        <v>-10373.530000000001</v>
      </c>
      <c r="N17" s="11">
        <f>_xll.BDH("INDIGO IN Equity","PRETAX_INC","FQ3 2020","FQ3 2020","Currency=INR","Period=FQ","BEST_FPERIOD_OVERRIDE=FQ","FILING_STATUS=MR","EQY_CONSOLIDATED=N","SCALING_FORMAT=MLN","FA_ADJUSTED=GAAP","Sort=A","Dates=H","DateFormat=P","Fill=—","Direction=H","UseDPDF=Y")</f>
        <v>5503.84</v>
      </c>
      <c r="O17" s="11">
        <f>_xll.BDH("INDIGO IN Equity","PRETAX_INC","FQ4 2020","FQ4 2020","Currency=INR","Period=FQ","BEST_FPERIOD_OVERRIDE=FQ","FILING_STATUS=MR","EQY_CONSOLIDATED=N","SCALING_FORMAT=MLN","FA_ADJUSTED=GAAP","Sort=A","Dates=H","DateFormat=P","Fill=—","Direction=H","UseDPDF=Y")</f>
        <v>-12934.29</v>
      </c>
      <c r="P17" s="11">
        <f>_xll.BDH("INDIGO IN Equity","PRETAX_INC","FQ1 2021","FQ1 2021","Currency=INR","Period=FQ","BEST_FPERIOD_OVERRIDE=FQ","FILING_STATUS=MR","EQY_CONSOLIDATED=N","SCALING_FORMAT=MLN","FA_ADJUSTED=GAAP","Sort=A","Dates=H","DateFormat=P","Fill=—","Direction=H","UseDPDF=Y")</f>
        <v>-28493.919999999998</v>
      </c>
      <c r="Q17" s="11">
        <f>_xll.BDH("INDIGO IN Equity","PRETAX_INC","FQ2 2021","FQ2 2021","Currency=INR","Period=FQ","BEST_FPERIOD_OVERRIDE=FQ","FILING_STATUS=MR","EQY_CONSOLIDATED=N","SCALING_FORMAT=MLN","FA_ADJUSTED=GAAP","Sort=A","Dates=H","DateFormat=P","Fill=—","Direction=H","UseDPDF=Y")</f>
        <v>-11947.7</v>
      </c>
      <c r="R17" s="11">
        <f>_xll.BDH("INDIGO IN Equity","PRETAX_INC","FQ3 2021","FQ3 2021","Currency=INR","Period=FQ","BEST_FPERIOD_OVERRIDE=FQ","FILING_STATUS=MR","EQY_CONSOLIDATED=N","SCALING_FORMAT=MLN","FA_ADJUSTED=GAAP","Sort=A","Dates=H","DateFormat=P","Fill=—","Direction=H","UseDPDF=Y")</f>
        <v>-6265.81</v>
      </c>
      <c r="S17" s="11">
        <f>_xll.BDH("INDIGO IN Equity","PRETAX_INC","FQ4 2021","FQ4 2021","Currency=INR","Period=FQ","BEST_FPERIOD_OVERRIDE=FQ","FILING_STATUS=MR","EQY_CONSOLIDATED=N","SCALING_FORMAT=MLN","FA_ADJUSTED=GAAP","Sort=A","Dates=H","DateFormat=P","Fill=—","Direction=H","UseDPDF=Y")</f>
        <v>-11590.49</v>
      </c>
      <c r="T17" s="11">
        <f>_xll.BDH("INDIGO IN Equity","PRETAX_INC","FQ1 2022","FQ1 2022","Currency=INR","Period=FQ","BEST_FPERIOD_OVERRIDE=FQ","FILING_STATUS=MR","EQY_CONSOLIDATED=N","SCALING_FORMAT=MLN","FA_ADJUSTED=GAAP","Sort=A","Dates=H","DateFormat=P","Fill=—","Direction=H","UseDPDF=Y")</f>
        <v>-31792.65</v>
      </c>
      <c r="U17" s="11">
        <f>_xll.BDH("INDIGO IN Equity","PRETAX_INC","FQ2 2022","FQ2 2022","Currency=INR","Period=FQ","BEST_FPERIOD_OVERRIDE=FQ","FILING_STATUS=MR","EQY_CONSOLIDATED=N","SCALING_FORMAT=MLN","FA_ADJUSTED=GAAP","Sort=A","Dates=H","DateFormat=P","Fill=—","Direction=H","UseDPDF=Y")</f>
        <v>-14404.2</v>
      </c>
      <c r="V17" s="11">
        <f>_xll.BDH("INDIGO IN Equity","PRETAX_INC","FQ3 2022","FQ3 2022","Currency=INR","Period=FQ","BEST_FPERIOD_OVERRIDE=FQ","FILING_STATUS=MR","EQY_CONSOLIDATED=N","SCALING_FORMAT=MLN","FA_ADJUSTED=GAAP","Sort=A","Dates=H","DateFormat=P","Fill=—","Direction=H","UseDPDF=Y")</f>
        <v>1284.5</v>
      </c>
      <c r="W17" s="11">
        <f>_xll.BDH("INDIGO IN Equity","PRETAX_INC","FQ4 2022","FQ4 2022","Currency=INR","Period=FQ","BEST_FPERIOD_OVERRIDE=FQ","FILING_STATUS=MR","EQY_CONSOLIDATED=N","SCALING_FORMAT=MLN","FA_ADJUSTED=GAAP","Sort=A","Dates=H","DateFormat=P","Fill=—","Direction=H","UseDPDF=Y")</f>
        <v>-16797.900000000001</v>
      </c>
      <c r="X17" s="11">
        <f>_xll.BDH("INDIGO IN Equity","PRETAX_INC","FQ1 2023","FQ1 2023","Currency=INR","Period=FQ","BEST_FPERIOD_OVERRIDE=FQ","FILING_STATUS=MR","EQY_CONSOLIDATED=N","SCALING_FORMAT=MLN","FA_ADJUSTED=GAAP","Sort=A","Dates=H","DateFormat=P","Fill=—","Direction=H","UseDPDF=Y")</f>
        <v>-10654.23</v>
      </c>
      <c r="Y17" s="11">
        <f>_xll.BDH("INDIGO IN Equity","PRETAX_INC","FQ2 2023","FQ2 2023","Currency=INR","Period=FQ","BEST_FPERIOD_OVERRIDE=FQ","FILING_STATUS=MR","EQY_CONSOLIDATED=N","SCALING_FORMAT=MLN","FA_ADJUSTED=GAAP","Sort=A","Dates=H","DateFormat=P","Fill=—","Direction=H","UseDPDF=Y")</f>
        <v>-15854.85</v>
      </c>
      <c r="Z17" s="11">
        <f>_xll.BDH("INDIGO IN Equity","PRETAX_INC","FQ3 2023","FQ3 2023","Currency=INR","Period=FQ","BEST_FPERIOD_OVERRIDE=FQ","FILING_STATUS=MR","EQY_CONSOLIDATED=N","SCALING_FORMAT=MLN","FA_ADJUSTED=GAAP","Sort=A","Dates=H","DateFormat=P","Fill=—","Direction=H","UseDPDF=Y")</f>
        <v>14181.72</v>
      </c>
      <c r="AA17" s="11">
        <f>_xll.BDH("INDIGO IN Equity","PRETAX_INC","FQ4 2023","FQ4 2023","Currency=INR","Period=FQ","BEST_FPERIOD_OVERRIDE=FQ","FILING_STATUS=MR","EQY_CONSOLIDATED=N","SCALING_FORMAT=MLN","FA_ADJUSTED=GAAP","Sort=A","Dates=H","DateFormat=P","Fill=—","Direction=H","UseDPDF=Y")</f>
        <v>9160.2000000000007</v>
      </c>
      <c r="AB17" s="11">
        <f>_xll.BDH("INDIGO IN Equity","PRETAX_INC","FQ1 2024","FQ1 2024","Currency=INR","Period=FQ","BEST_FPERIOD_OVERRIDE=FQ","FILING_STATUS=MR","EQY_CONSOLIDATED=N","SCALING_FORMAT=MLN","FA_ADJUSTED=GAAP","Sort=A","Dates=H","DateFormat=P","Fill=—","Direction=H","UseDPDF=Y")</f>
        <v>30872.46</v>
      </c>
      <c r="AC17" s="11">
        <f>_xll.BDH("INDIGO IN Equity","PRETAX_INC","FQ2 2024","FQ2 2024","Currency=INR","Period=FQ","BEST_FPERIOD_OVERRIDE=FQ","FILING_STATUS=MR","EQY_CONSOLIDATED=N","SCALING_FORMAT=MLN","FA_ADJUSTED=GAAP","Sort=A","Dates=H","DateFormat=P","Fill=—","Direction=H","UseDPDF=Y")</f>
        <v>1878.6</v>
      </c>
      <c r="AD17" s="11">
        <f>_xll.BDH("INDIGO IN Equity","PRETAX_INC","FQ3 2024","FQ3 2024","Currency=INR","Period=FQ","BEST_FPERIOD_OVERRIDE=FQ","FILING_STATUS=MR","EQY_CONSOLIDATED=N","SCALING_FORMAT=MLN","FA_ADJUSTED=GAAP","Sort=A","Dates=H","DateFormat=P","Fill=—","Direction=H","UseDPDF=Y")</f>
        <v>29984.94</v>
      </c>
      <c r="AE17" s="11">
        <f>_xll.BDH("INDIGO IN Equity","PRETAX_INC","FQ4 2024","FQ4 2024","Currency=INR","Period=FQ","BEST_FPERIOD_OVERRIDE=FQ","FILING_STATUS=MR","EQY_CONSOLIDATED=N","SCALING_FORMAT=MLN","FA_ADJUSTED=GAAP","Sort=A","Dates=H","DateFormat=P","Fill=—","Direction=H","UseDPDF=Y")</f>
        <v>17696.41</v>
      </c>
      <c r="AF17" s="11">
        <f>_xll.BDH("INDIGO IN Equity","PRETAX_INC","FQ1 2025","FQ1 2025","Currency=INR","Period=FQ","BEST_FPERIOD_OVERRIDE=FQ","FILING_STATUS=MR","EQY_CONSOLIDATED=N","SCALING_FORMAT=MLN","FA_ADJUSTED=GAAP","Sort=A","Dates=H","DateFormat=P","Fill=—","Direction=H","UseDPDF=Y")</f>
        <v>28017</v>
      </c>
      <c r="AG17" s="11">
        <f>_xll.BDH("INDIGO IN Equity","PRETAX_INC","FQ2 2025","FQ2 2025","Currency=INR","Period=FQ","BEST_FPERIOD_OVERRIDE=FQ","FILING_STATUS=MR","EQY_CONSOLIDATED=N","SCALING_FORMAT=MLN","FA_ADJUSTED=GAAP","Sort=A","Dates=H","DateFormat=P","Fill=—","Direction=H","UseDPDF=Y")</f>
        <v>-9094</v>
      </c>
      <c r="AH17" s="11">
        <f>_xll.BDH("INDIGO IN Equity","PRETAX_INC","FQ3 2025","FQ3 2025","Currency=INR","Period=FQ","BEST_FPERIOD_OVERRIDE=FQ","FILING_STATUS=MR","EQY_CONSOLIDATED=N","SCALING_FORMAT=MLN","FA_ADJUSTED=GAAP","Sort=A","Dates=H","DateFormat=P","Fill=—","Direction=H","UseDPDF=Y")</f>
        <v>25200</v>
      </c>
      <c r="AI17" s="11">
        <f>_xll.BDH("INDIGO IN Equity","PRETAX_INC","FQ4 2025","FQ4 2025","Currency=INR","Period=FQ","BEST_FPERIOD_OVERRIDE=FQ","FILING_STATUS=MR","EQY_CONSOLIDATED=N","SCALING_FORMAT=MLN","FA_ADJUSTED=GAAP","Sort=A","Dates=H","DateFormat=P","Fill=—","Direction=H","UseDPDF=Y")</f>
        <v>31752</v>
      </c>
      <c r="AJ17" s="11">
        <f>_xll.BDH("INDIGO IN Equity","PRETAX_INC","FQ1 2026","FQ1 2026","Currency=INR","Period=FQ","BEST_FPERIOD_OVERRIDE=FQ","FILING_STATUS=MR","EQY_CONSOLIDATED=N","SCALING_FORMAT=MLN","FA_ADJUSTED=GAAP","Sort=A","Dates=H","DateFormat=P","Fill=—","Direction=H","UseDPDF=Y")</f>
        <v>22954</v>
      </c>
      <c r="AK17" s="11">
        <f>_xll.BDH("INDIGO IN Equity","PRETAX_INC","FQ2 2026","FQ2 2026","Currency=INR","Period=FQ","BEST_FPERIOD_OVERRIDE=FQ","FILING_STATUS=MR","EQY_CONSOLIDATED=N","SCALING_FORMAT=MLN","FA_ADJUSTED=GAAP","Sort=A","Dates=H","DateFormat=P","Fill=—","Direction=H","UseDPDF=Y")</f>
        <v>-25138</v>
      </c>
      <c r="AL17" s="11">
        <f>_xll.BDH("INDIGO IN Equity","PRETAX_INC","FQ3 2026","FQ3 2026","Currency=INR","Period=FQ","BEST_FPERIOD_OVERRIDE=FQ","FILING_STATUS=MR","EQY_CONSOLIDATED=N","SCALING_FORMAT=MLN","FA_ADJUSTED=GAAP","Sort=A","Dates=H","DateFormat=P","Fill=—","Direction=H","UseDPDF=Y")</f>
        <v>6248</v>
      </c>
      <c r="AM17" s="11">
        <f>_xll.BDH("INDIGO IN Equity","PRETAX_INC","FQ4 2026","FQ4 2026","Currency=INR","Period=FQ","BEST_FPERIOD_OVERRIDE=FQ","FILING_STATUS=MR","EQY_CONSOLIDATED=N","SCALING_FORMAT=MLN","FA_ADJUSTED=GAAP","Sort=A","Dates=H","DateFormat=P","Fill=—","Direction=H","UseDPDF=Y")</f>
        <v>-24897</v>
      </c>
      <c r="AN17" s="11">
        <f>_xll.BDH("INDIGO IN Equity","PRETAX_INC","FQ1 2027","FQ1 2027","Currency=INR","Period=FQ","BEST_FPERIOD_OVERRIDE=FQ","FILING_STATUS=MR","EQY_CONSOLIDATED=N","SCALING_FORMAT=MLN","FA_ADJUSTED=GAAP","Sort=A","Dates=H","DateFormat=P","Fill=—","Direction=H","UseDPDF=Y")</f>
        <v>-3819</v>
      </c>
      <c r="AO17" s="11">
        <v>-13715</v>
      </c>
      <c r="AP17" s="11">
        <v>25062</v>
      </c>
    </row>
    <row r="18" spans="1:42" x14ac:dyDescent="0.25">
      <c r="A18" s="12" t="s">
        <v>124</v>
      </c>
      <c r="B18" s="12" t="s">
        <v>125</v>
      </c>
      <c r="C18" s="13">
        <f>_xll.BDH("INDIGO IN Equity","IS_INC_TAX_EXP","FQ4 2017","FQ4 2017","Currency=INR","Period=FQ","BEST_FPERIOD_OVERRIDE=FQ","FILING_STATUS=MR","EQY_CONSOLIDATED=N","SCALING_FORMAT=MLN","FA_ADJUSTED=GAAP","Sort=A","Dates=H","DateFormat=P","Fill=—","Direction=H","UseDPDF=Y")</f>
        <v>1786.46</v>
      </c>
      <c r="D18" s="13">
        <f>_xll.BDH("INDIGO IN Equity","IS_INC_TAX_EXP","FQ1 2018","FQ1 2018","Currency=INR","Period=FQ","BEST_FPERIOD_OVERRIDE=FQ","FILING_STATUS=MR","EQY_CONSOLIDATED=N","SCALING_FORMAT=MLN","FA_ADJUSTED=GAAP","Sort=A","Dates=H","DateFormat=P","Fill=—","Direction=H","UseDPDF=Y")</f>
        <v>3131.89</v>
      </c>
      <c r="E18" s="13">
        <f>_xll.BDH("INDIGO IN Equity","IS_INC_TAX_EXP","FQ2 2018","FQ2 2018","Currency=INR","Period=FQ","BEST_FPERIOD_OVERRIDE=FQ","FILING_STATUS=MR","EQY_CONSOLIDATED=N","SCALING_FORMAT=MLN","FA_ADJUSTED=GAAP","Sort=A","Dates=H","DateFormat=P","Fill=—","Direction=H","UseDPDF=Y")</f>
        <v>2129.81</v>
      </c>
      <c r="F18" s="13">
        <f>_xll.BDH("INDIGO IN Equity","IS_INC_TAX_EXP","FQ3 2018","FQ3 2018","Currency=INR","Period=FQ","BEST_FPERIOD_OVERRIDE=FQ","FILING_STATUS=MR","EQY_CONSOLIDATED=N","SCALING_FORMAT=MLN","FA_ADJUSTED=GAAP","Sort=A","Dates=H","DateFormat=P","Fill=—","Direction=H","UseDPDF=Y")</f>
        <v>3095.69</v>
      </c>
      <c r="G18" s="13">
        <f>_xll.BDH("INDIGO IN Equity","IS_INC_TAX_EXP","FQ4 2018","FQ4 2018","Currency=INR","Period=FQ","BEST_FPERIOD_OVERRIDE=FQ","FILING_STATUS=MR","EQY_CONSOLIDATED=N","SCALING_FORMAT=MLN","FA_ADJUSTED=GAAP","Sort=A","Dates=H","DateFormat=P","Fill=—","Direction=H","UseDPDF=Y")</f>
        <v>485.64</v>
      </c>
      <c r="H18" s="13">
        <f>_xll.BDH("INDIGO IN Equity","IS_INC_TAX_EXP","FQ1 2019","FQ1 2019","Currency=INR","Period=FQ","BEST_FPERIOD_OVERRIDE=FQ","FILING_STATUS=MR","EQY_CONSOLIDATED=N","SCALING_FORMAT=MLN","FA_ADJUSTED=GAAP","Sort=A","Dates=H","DateFormat=P","Fill=—","Direction=H","UseDPDF=Y")</f>
        <v>35.51</v>
      </c>
      <c r="I18" s="13">
        <f>_xll.BDH("INDIGO IN Equity","IS_INC_TAX_EXP","FQ2 2019","FQ2 2019","Currency=INR","Period=FQ","BEST_FPERIOD_OVERRIDE=FQ","FILING_STATUS=MR","EQY_CONSOLIDATED=N","SCALING_FORMAT=MLN","FA_ADJUSTED=GAAP","Sort=A","Dates=H","DateFormat=P","Fill=—","Direction=H","UseDPDF=Y")</f>
        <v>-3359.46</v>
      </c>
      <c r="J18" s="13">
        <f>_xll.BDH("INDIGO IN Equity","IS_INC_TAX_EXP","FQ3 2019","FQ3 2019","Currency=INR","Period=FQ","BEST_FPERIOD_OVERRIDE=FQ","FILING_STATUS=MR","EQY_CONSOLIDATED=N","SCALING_FORMAT=MLN","FA_ADJUSTED=GAAP","Sort=A","Dates=H","DateFormat=P","Fill=—","Direction=H","UseDPDF=Y")</f>
        <v>0</v>
      </c>
      <c r="K18" s="13">
        <f>_xll.BDH("INDIGO IN Equity","IS_INC_TAX_EXP","FQ4 2019","FQ4 2019","Currency=INR","Period=FQ","BEST_FPERIOD_OVERRIDE=FQ","FILING_STATUS=MR","EQY_CONSOLIDATED=N","SCALING_FORMAT=MLN","FA_ADJUSTED=GAAP","Sort=A","Dates=H","DateFormat=P","Fill=—","Direction=H","UseDPDF=Y")</f>
        <v>272.13</v>
      </c>
      <c r="L18" s="13">
        <f>_xll.BDH("INDIGO IN Equity","IS_INC_TAX_EXP","FQ1 2020","FQ1 2020","Currency=INR","Period=FQ","BEST_FPERIOD_OVERRIDE=FQ","FILING_STATUS=MR","EQY_CONSOLIDATED=N","SCALING_FORMAT=MLN","FA_ADJUSTED=GAAP","Sort=A","Dates=H","DateFormat=P","Fill=—","Direction=H","UseDPDF=Y")</f>
        <v>3048.41</v>
      </c>
      <c r="M18" s="13">
        <f>_xll.BDH("INDIGO IN Equity","IS_INC_TAX_EXP","FQ2 2020","FQ2 2020","Currency=INR","Period=FQ","BEST_FPERIOD_OVERRIDE=FQ","FILING_STATUS=MR","EQY_CONSOLIDATED=N","SCALING_FORMAT=MLN","FA_ADJUSTED=GAAP","Sort=A","Dates=H","DateFormat=P","Fill=—","Direction=H","UseDPDF=Y")</f>
        <v>282.58</v>
      </c>
      <c r="N18" s="13">
        <f>_xll.BDH("INDIGO IN Equity","IS_INC_TAX_EXP","FQ3 2020","FQ3 2020","Currency=INR","Period=FQ","BEST_FPERIOD_OVERRIDE=FQ","FILING_STATUS=MR","EQY_CONSOLIDATED=N","SCALING_FORMAT=MLN","FA_ADJUSTED=GAAP","Sort=A","Dates=H","DateFormat=P","Fill=—","Direction=H","UseDPDF=Y")</f>
        <v>599.34</v>
      </c>
      <c r="O18" s="13">
        <f>_xll.BDH("INDIGO IN Equity","IS_INC_TAX_EXP","FQ4 2020","FQ4 2020","Currency=INR","Period=FQ","BEST_FPERIOD_OVERRIDE=FQ","FILING_STATUS=MR","EQY_CONSOLIDATED=N","SCALING_FORMAT=MLN","FA_ADJUSTED=GAAP","Sort=A","Dates=H","DateFormat=P","Fill=—","Direction=H","UseDPDF=Y")</f>
        <v>-4199.63</v>
      </c>
      <c r="P18" s="13">
        <f>_xll.BDH("INDIGO IN Equity","IS_INC_TAX_EXP","FQ1 2021","FQ1 2021","Currency=INR","Period=FQ","BEST_FPERIOD_OVERRIDE=FQ","FILING_STATUS=MR","EQY_CONSOLIDATED=N","SCALING_FORMAT=MLN","FA_ADJUSTED=GAAP","Sort=A","Dates=H","DateFormat=P","Fill=—","Direction=H","UseDPDF=Y")</f>
        <v>0</v>
      </c>
      <c r="Q18" s="13">
        <f>_xll.BDH("INDIGO IN Equity","IS_INC_TAX_EXP","FQ2 2021","FQ2 2021","Currency=INR","Period=FQ","BEST_FPERIOD_OVERRIDE=FQ","FILING_STATUS=MR","EQY_CONSOLIDATED=N","SCALING_FORMAT=MLN","FA_ADJUSTED=GAAP","Sort=A","Dates=H","DateFormat=P","Fill=—","Direction=H","UseDPDF=Y")</f>
        <v>0</v>
      </c>
      <c r="R18" s="13">
        <f>_xll.BDH("INDIGO IN Equity","IS_INC_TAX_EXP","FQ3 2021","FQ3 2021","Currency=INR","Period=FQ","BEST_FPERIOD_OVERRIDE=FQ","FILING_STATUS=MR","EQY_CONSOLIDATED=N","SCALING_FORMAT=MLN","FA_ADJUSTED=GAAP","Sort=A","Dates=H","DateFormat=P","Fill=—","Direction=H","UseDPDF=Y")</f>
        <v>0</v>
      </c>
      <c r="S18" s="13">
        <f>_xll.BDH("INDIGO IN Equity","IS_INC_TAX_EXP","FQ4 2021","FQ4 2021","Currency=INR","Period=FQ","BEST_FPERIOD_OVERRIDE=FQ","FILING_STATUS=MR","EQY_CONSOLIDATED=N","SCALING_FORMAT=MLN","FA_ADJUSTED=GAAP","Sort=A","Dates=H","DateFormat=P","Fill=—","Direction=H","UseDPDF=Y")</f>
        <v>0</v>
      </c>
      <c r="T18" s="13">
        <f>_xll.BDH("INDIGO IN Equity","IS_INC_TAX_EXP","FQ1 2022","FQ1 2022","Currency=INR","Period=FQ","BEST_FPERIOD_OVERRIDE=FQ","FILING_STATUS=MR","EQY_CONSOLIDATED=N","SCALING_FORMAT=MLN","FA_ADJUSTED=GAAP","Sort=A","Dates=H","DateFormat=P","Fill=—","Direction=H","UseDPDF=Y")</f>
        <v>0</v>
      </c>
      <c r="U18" s="13">
        <f>_xll.BDH("INDIGO IN Equity","IS_INC_TAX_EXP","FQ2 2022","FQ2 2022","Currency=INR","Period=FQ","BEST_FPERIOD_OVERRIDE=FQ","FILING_STATUS=MR","EQY_CONSOLIDATED=N","SCALING_FORMAT=MLN","FA_ADJUSTED=GAAP","Sort=A","Dates=H","DateFormat=P","Fill=—","Direction=H","UseDPDF=Y")</f>
        <v>0</v>
      </c>
      <c r="V18" s="13">
        <f>_xll.BDH("INDIGO IN Equity","IS_INC_TAX_EXP","FQ3 2022","FQ3 2022","Currency=INR","Period=FQ","BEST_FPERIOD_OVERRIDE=FQ","FILING_STATUS=MR","EQY_CONSOLIDATED=N","SCALING_FORMAT=MLN","FA_ADJUSTED=GAAP","Sort=A","Dates=H","DateFormat=P","Fill=—","Direction=H","UseDPDF=Y")</f>
        <v>0</v>
      </c>
      <c r="W18" s="13">
        <f>_xll.BDH("INDIGO IN Equity","IS_INC_TAX_EXP","FQ4 2022","FQ4 2022","Currency=INR","Period=FQ","BEST_FPERIOD_OVERRIDE=FQ","FILING_STATUS=MR","EQY_CONSOLIDATED=N","SCALING_FORMAT=MLN","FA_ADJUSTED=GAAP","Sort=A","Dates=H","DateFormat=P","Fill=—","Direction=H","UseDPDF=Y")</f>
        <v>0</v>
      </c>
      <c r="X18" s="13">
        <f>_xll.BDH("INDIGO IN Equity","IS_INC_TAX_EXP","FQ1 2023","FQ1 2023","Currency=INR","Period=FQ","BEST_FPERIOD_OVERRIDE=FQ","FILING_STATUS=MR","EQY_CONSOLIDATED=N","SCALING_FORMAT=MLN","FA_ADJUSTED=GAAP","Sort=A","Dates=H","DateFormat=P","Fill=—","Direction=H","UseDPDF=Y")</f>
        <v>0</v>
      </c>
      <c r="Y18" s="13">
        <f>_xll.BDH("INDIGO IN Equity","IS_INC_TAX_EXP","FQ2 2023","FQ2 2023","Currency=INR","Period=FQ","BEST_FPERIOD_OVERRIDE=FQ","FILING_STATUS=MR","EQY_CONSOLIDATED=N","SCALING_FORMAT=MLN","FA_ADJUSTED=GAAP","Sort=A","Dates=H","DateFormat=P","Fill=—","Direction=H","UseDPDF=Y")</f>
        <v>0</v>
      </c>
      <c r="Z18" s="13">
        <f>_xll.BDH("INDIGO IN Equity","IS_INC_TAX_EXP","FQ3 2023","FQ3 2023","Currency=INR","Period=FQ","BEST_FPERIOD_OVERRIDE=FQ","FILING_STATUS=MR","EQY_CONSOLIDATED=N","SCALING_FORMAT=MLN","FA_ADJUSTED=GAAP","Sort=A","Dates=H","DateFormat=P","Fill=—","Direction=H","UseDPDF=Y")</f>
        <v>0</v>
      </c>
      <c r="AA18" s="13">
        <f>_xll.BDH("INDIGO IN Equity","IS_INC_TAX_EXP","FQ4 2023","FQ4 2023","Currency=INR","Period=FQ","BEST_FPERIOD_OVERRIDE=FQ","FILING_STATUS=MR","EQY_CONSOLIDATED=N","SCALING_FORMAT=MLN","FA_ADJUSTED=GAAP","Sort=A","Dates=H","DateFormat=P","Fill=—","Direction=H","UseDPDF=Y")</f>
        <v>0</v>
      </c>
      <c r="AB18" s="13">
        <f>_xll.BDH("INDIGO IN Equity","IS_INC_TAX_EXP","FQ1 2024","FQ1 2024","Currency=INR","Period=FQ","BEST_FPERIOD_OVERRIDE=FQ","FILING_STATUS=MR","EQY_CONSOLIDATED=N","SCALING_FORMAT=MLN","FA_ADJUSTED=GAAP","Sort=A","Dates=H","DateFormat=P","Fill=—","Direction=H","UseDPDF=Y")</f>
        <v>0</v>
      </c>
      <c r="AC18" s="13">
        <f>_xll.BDH("INDIGO IN Equity","IS_INC_TAX_EXP","FQ2 2024","FQ2 2024","Currency=INR","Period=FQ","BEST_FPERIOD_OVERRIDE=FQ","FILING_STATUS=MR","EQY_CONSOLIDATED=N","SCALING_FORMAT=MLN","FA_ADJUSTED=GAAP","Sort=A","Dates=H","DateFormat=P","Fill=—","Direction=H","UseDPDF=Y")</f>
        <v>0</v>
      </c>
      <c r="AD18" s="13">
        <f>_xll.BDH("INDIGO IN Equity","IS_INC_TAX_EXP","FQ3 2024","FQ3 2024","Currency=INR","Period=FQ","BEST_FPERIOD_OVERRIDE=FQ","FILING_STATUS=MR","EQY_CONSOLIDATED=N","SCALING_FORMAT=MLN","FA_ADJUSTED=GAAP","Sort=A","Dates=H","DateFormat=P","Fill=—","Direction=H","UseDPDF=Y")</f>
        <v>0</v>
      </c>
      <c r="AE18" s="13">
        <f>_xll.BDH("INDIGO IN Equity","IS_INC_TAX_EXP","FQ4 2024","FQ4 2024","Currency=INR","Period=FQ","BEST_FPERIOD_OVERRIDE=FQ","FILING_STATUS=MR","EQY_CONSOLIDATED=N","SCALING_FORMAT=MLN","FA_ADJUSTED=GAAP","Sort=A","Dates=H","DateFormat=P","Fill=—","Direction=H","UseDPDF=Y")</f>
        <v>-1242.44</v>
      </c>
      <c r="AF18" s="13">
        <f>_xll.BDH("INDIGO IN Equity","IS_INC_TAX_EXP","FQ1 2025","FQ1 2025","Currency=INR","Period=FQ","BEST_FPERIOD_OVERRIDE=FQ","FILING_STATUS=MR","EQY_CONSOLIDATED=N","SCALING_FORMAT=MLN","FA_ADJUSTED=GAAP","Sort=A","Dates=H","DateFormat=P","Fill=—","Direction=H","UseDPDF=Y")</f>
        <v>750</v>
      </c>
      <c r="AG18" s="13">
        <f>_xll.BDH("INDIGO IN Equity","IS_INC_TAX_EXP","FQ2 2025","FQ2 2025","Currency=INR","Period=FQ","BEST_FPERIOD_OVERRIDE=FQ","FILING_STATUS=MR","EQY_CONSOLIDATED=N","SCALING_FORMAT=MLN","FA_ADJUSTED=GAAP","Sort=A","Dates=H","DateFormat=P","Fill=—","Direction=H","UseDPDF=Y")</f>
        <v>794</v>
      </c>
      <c r="AH18" s="13">
        <f>_xll.BDH("INDIGO IN Equity","IS_INC_TAX_EXP","FQ3 2025","FQ3 2025","Currency=INR","Period=FQ","BEST_FPERIOD_OVERRIDE=FQ","FILING_STATUS=MR","EQY_CONSOLIDATED=N","SCALING_FORMAT=MLN","FA_ADJUSTED=GAAP","Sort=A","Dates=H","DateFormat=P","Fill=—","Direction=H","UseDPDF=Y")</f>
        <v>780</v>
      </c>
      <c r="AI18" s="13">
        <f>_xll.BDH("INDIGO IN Equity","IS_INC_TAX_EXP","FQ4 2025","FQ4 2025","Currency=INR","Period=FQ","BEST_FPERIOD_OVERRIDE=FQ","FILING_STATUS=MR","EQY_CONSOLIDATED=N","SCALING_FORMAT=MLN","FA_ADJUSTED=GAAP","Sort=A","Dates=H","DateFormat=P","Fill=—","Direction=H","UseDPDF=Y")</f>
        <v>1018</v>
      </c>
      <c r="AJ18" s="13">
        <f>_xll.BDH("INDIGO IN Equity","IS_INC_TAX_EXP","FQ1 2026","FQ1 2026","Currency=INR","Period=FQ","BEST_FPERIOD_OVERRIDE=FQ","FILING_STATUS=MR","EQY_CONSOLIDATED=N","SCALING_FORMAT=MLN","FA_ADJUSTED=GAAP","Sort=A","Dates=H","DateFormat=P","Fill=—","Direction=H","UseDPDF=Y")</f>
        <v>1343</v>
      </c>
      <c r="AK18" s="13">
        <f>_xll.BDH("INDIGO IN Equity","IS_INC_TAX_EXP","FQ2 2026","FQ2 2026","Currency=INR","Period=FQ","BEST_FPERIOD_OVERRIDE=FQ","FILING_STATUS=MR","EQY_CONSOLIDATED=N","SCALING_FORMAT=MLN","FA_ADJUSTED=GAAP","Sort=A","Dates=H","DateFormat=P","Fill=—","Direction=H","UseDPDF=Y")</f>
        <v>1003</v>
      </c>
      <c r="AL18" s="13">
        <f>_xll.BDH("INDIGO IN Equity","IS_INC_TAX_EXP","FQ3 2026","FQ3 2026","Currency=INR","Period=FQ","BEST_FPERIOD_OVERRIDE=FQ","FILING_STATUS=MR","EQY_CONSOLIDATED=N","SCALING_FORMAT=MLN","FA_ADJUSTED=GAAP","Sort=A","Dates=H","DateFormat=P","Fill=—","Direction=H","UseDPDF=Y")</f>
        <v>122</v>
      </c>
      <c r="AM18" s="13">
        <f>_xll.BDH("INDIGO IN Equity","IS_INC_TAX_EXP","FQ4 2026","FQ4 2026","Currency=INR","Period=FQ","BEST_FPERIOD_OVERRIDE=FQ","FILING_STATUS=MR","EQY_CONSOLIDATED=N","SCALING_FORMAT=MLN","FA_ADJUSTED=GAAP","Sort=A","Dates=H","DateFormat=P","Fill=—","Direction=H","UseDPDF=Y")</f>
        <v>1724</v>
      </c>
      <c r="AN18" s="13">
        <f>_xll.BDH("INDIGO IN Equity","IS_INC_TAX_EXP","FQ1 2027","FQ1 2027","Currency=INR","Period=FQ","BEST_FPERIOD_OVERRIDE=FQ","FILING_STATUS=MR","EQY_CONSOLIDATED=N","SCALING_FORMAT=MLN","FA_ADJUSTED=GAAP","Sort=A","Dates=H","DateFormat=P","Fill=—","Direction=H","UseDPDF=Y")</f>
        <v>-4</v>
      </c>
      <c r="AO18" s="13"/>
      <c r="AP18" s="13"/>
    </row>
    <row r="19" spans="1:42" x14ac:dyDescent="0.25">
      <c r="A19" s="12" t="s">
        <v>126</v>
      </c>
      <c r="B19" s="12" t="s">
        <v>127</v>
      </c>
      <c r="C19" s="13">
        <f>_xll.BDH("INDIGO IN Equity","IS_CURRENT_INCOME_TAX_BENEFIT","FQ4 2017","FQ4 2017","Currency=INR","Period=FQ","BEST_FPERIOD_OVERRIDE=FQ","FILING_STATUS=MR","EQY_CONSOLIDATED=N","SCALING_FORMAT=MLN","Sort=A","Dates=H","DateFormat=P","Fill=—","Direction=H","UseDPDF=Y")</f>
        <v>1440.61</v>
      </c>
      <c r="D19" s="13">
        <f>_xll.BDH("INDIGO IN Equity","IS_CURRENT_INCOME_TAX_BENEFIT","FQ1 2018","FQ1 2018","Currency=INR","Period=FQ","BEST_FPERIOD_OVERRIDE=FQ","FILING_STATUS=MR","EQY_CONSOLIDATED=N","SCALING_FORMAT=MLN","Sort=A","Dates=H","DateFormat=P","Fill=—","Direction=H","UseDPDF=Y")</f>
        <v>2808.8</v>
      </c>
      <c r="E19" s="13">
        <f>_xll.BDH("INDIGO IN Equity","IS_CURRENT_INCOME_TAX_BENEFIT","FQ2 2018","FQ2 2018","Currency=INR","Period=FQ","BEST_FPERIOD_OVERRIDE=FQ","FILING_STATUS=MR","EQY_CONSOLIDATED=N","SCALING_FORMAT=MLN","Sort=A","Dates=H","DateFormat=P","Fill=—","Direction=H","UseDPDF=Y")</f>
        <v>1847.87</v>
      </c>
      <c r="F19" s="13">
        <f>_xll.BDH("INDIGO IN Equity","IS_CURRENT_INCOME_TAX_BENEFIT","FQ3 2018","FQ3 2018","Currency=INR","Period=FQ","BEST_FPERIOD_OVERRIDE=FQ","FILING_STATUS=MR","EQY_CONSOLIDATED=N","SCALING_FORMAT=MLN","Sort=A","Dates=H","DateFormat=P","Fill=—","Direction=H","UseDPDF=Y")</f>
        <v>2476.0300000000002</v>
      </c>
      <c r="G19" s="13">
        <f>_xll.BDH("INDIGO IN Equity","IS_CURRENT_INCOME_TAX_BENEFIT","FQ4 2018","FQ4 2018","Currency=INR","Period=FQ","BEST_FPERIOD_OVERRIDE=FQ","FILING_STATUS=MR","EQY_CONSOLIDATED=N","SCALING_FORMAT=MLN","Sort=A","Dates=H","DateFormat=P","Fill=—","Direction=H","UseDPDF=Y")</f>
        <v>-442.88</v>
      </c>
      <c r="H19" s="13">
        <f>_xll.BDH("INDIGO IN Equity","IS_CURRENT_INCOME_TAX_BENEFIT","FQ1 2019","FQ1 2019","Currency=INR","Period=FQ","BEST_FPERIOD_OVERRIDE=FQ","FILING_STATUS=MR","EQY_CONSOLIDATED=N","SCALING_FORMAT=MLN","Sort=A","Dates=H","DateFormat=P","Fill=—","Direction=H","UseDPDF=Y")</f>
        <v>70.08</v>
      </c>
      <c r="I19" s="13">
        <f>_xll.BDH("INDIGO IN Equity","IS_CURRENT_INCOME_TAX_BENEFIT","FQ2 2019","FQ2 2019","Currency=INR","Period=FQ","BEST_FPERIOD_OVERRIDE=FQ","FILING_STATUS=MR","EQY_CONSOLIDATED=N","SCALING_FORMAT=MLN","Sort=A","Dates=H","DateFormat=P","Fill=—","Direction=H","UseDPDF=Y")</f>
        <v>-70.08</v>
      </c>
      <c r="J19" s="13">
        <f>_xll.BDH("INDIGO IN Equity","IS_CURRENT_INCOME_TAX_BENEFIT","FQ3 2019","FQ3 2019","Currency=INR","Period=FQ","BEST_FPERIOD_OVERRIDE=FQ","FILING_STATUS=MR","EQY_CONSOLIDATED=N","SCALING_FORMAT=MLN","Sort=A","Dates=H","DateFormat=P","Fill=—","Direction=H","UseDPDF=Y")</f>
        <v>0</v>
      </c>
      <c r="K19" s="13">
        <f>_xll.BDH("INDIGO IN Equity","IS_CURRENT_INCOME_TAX_BENEFIT","FQ4 2019","FQ4 2019","Currency=INR","Period=FQ","BEST_FPERIOD_OVERRIDE=FQ","FILING_STATUS=MR","EQY_CONSOLIDATED=N","SCALING_FORMAT=MLN","Sort=A","Dates=H","DateFormat=P","Fill=—","Direction=H","UseDPDF=Y")</f>
        <v>0</v>
      </c>
      <c r="L19" s="13">
        <f>_xll.BDH("INDIGO IN Equity","IS_CURRENT_INCOME_TAX_BENEFIT","FQ1 2020","FQ1 2020","Currency=INR","Period=FQ","BEST_FPERIOD_OVERRIDE=FQ","FILING_STATUS=MR","EQY_CONSOLIDATED=N","SCALING_FORMAT=MLN","Sort=A","Dates=H","DateFormat=P","Fill=—","Direction=H","UseDPDF=Y")</f>
        <v>3306.56</v>
      </c>
      <c r="M19" s="13">
        <f>_xll.BDH("INDIGO IN Equity","IS_CURRENT_INCOME_TAX_BENEFIT","FQ2 2020","FQ2 2020","Currency=INR","Period=FQ","BEST_FPERIOD_OVERRIDE=FQ","FILING_STATUS=MR","EQY_CONSOLIDATED=N","SCALING_FORMAT=MLN","Sort=A","Dates=H","DateFormat=P","Fill=—","Direction=H","UseDPDF=Y")</f>
        <v>-3306.56</v>
      </c>
      <c r="N19" s="13">
        <f>_xll.BDH("INDIGO IN Equity","IS_CURRENT_INCOME_TAX_BENEFIT","FQ3 2020","FQ3 2020","Currency=INR","Period=FQ","BEST_FPERIOD_OVERRIDE=FQ","FILING_STATUS=MR","EQY_CONSOLIDATED=N","SCALING_FORMAT=MLN","Sort=A","Dates=H","DateFormat=P","Fill=—","Direction=H","UseDPDF=Y")</f>
        <v>8.2100000000000009</v>
      </c>
      <c r="O19" s="13">
        <f>_xll.BDH("INDIGO IN Equity","IS_CURRENT_INCOME_TAX_BENEFIT","FQ4 2020","FQ4 2020","Currency=INR","Period=FQ","BEST_FPERIOD_OVERRIDE=FQ","FILING_STATUS=MR","EQY_CONSOLIDATED=N","SCALING_FORMAT=MLN","Sort=A","Dates=H","DateFormat=P","Fill=—","Direction=H","UseDPDF=Y")</f>
        <v>0</v>
      </c>
      <c r="P19" s="13">
        <f>_xll.BDH("INDIGO IN Equity","IS_CURRENT_INCOME_TAX_BENEFIT","FQ1 2021","FQ1 2021","Currency=INR","Period=FQ","BEST_FPERIOD_OVERRIDE=FQ","FILING_STATUS=MR","EQY_CONSOLIDATED=N","SCALING_FORMAT=MLN","Sort=A","Dates=H","DateFormat=P","Fill=—","Direction=H","UseDPDF=Y")</f>
        <v>0</v>
      </c>
      <c r="Q19" s="13">
        <f>_xll.BDH("INDIGO IN Equity","IS_CURRENT_INCOME_TAX_BENEFIT","FQ2 2021","FQ2 2021","Currency=INR","Period=FQ","BEST_FPERIOD_OVERRIDE=FQ","FILING_STATUS=MR","EQY_CONSOLIDATED=N","SCALING_FORMAT=MLN","Sort=A","Dates=H","DateFormat=P","Fill=—","Direction=H","UseDPDF=Y")</f>
        <v>0</v>
      </c>
      <c r="R19" s="13">
        <f>_xll.BDH("INDIGO IN Equity","IS_CURRENT_INCOME_TAX_BENEFIT","FQ3 2021","FQ3 2021","Currency=INR","Period=FQ","BEST_FPERIOD_OVERRIDE=FQ","FILING_STATUS=MR","EQY_CONSOLIDATED=N","SCALING_FORMAT=MLN","Sort=A","Dates=H","DateFormat=P","Fill=—","Direction=H","UseDPDF=Y")</f>
        <v>0</v>
      </c>
      <c r="S19" s="13">
        <f>_xll.BDH("INDIGO IN Equity","IS_CURRENT_INCOME_TAX_BENEFIT","FQ4 2021","FQ4 2021","Currency=INR","Period=FQ","BEST_FPERIOD_OVERRIDE=FQ","FILING_STATUS=MR","EQY_CONSOLIDATED=N","SCALING_FORMAT=MLN","Sort=A","Dates=H","DateFormat=P","Fill=—","Direction=H","UseDPDF=Y")</f>
        <v>0</v>
      </c>
      <c r="T19" s="13">
        <f>_xll.BDH("INDIGO IN Equity","IS_CURRENT_INCOME_TAX_BENEFIT","FQ1 2022","FQ1 2022","Currency=INR","Period=FQ","BEST_FPERIOD_OVERRIDE=FQ","FILING_STATUS=MR","EQY_CONSOLIDATED=N","SCALING_FORMAT=MLN","Sort=A","Dates=H","DateFormat=P","Fill=—","Direction=H","UseDPDF=Y")</f>
        <v>0</v>
      </c>
      <c r="U19" s="13">
        <f>_xll.BDH("INDIGO IN Equity","IS_CURRENT_INCOME_TAX_BENEFIT","FQ2 2022","FQ2 2022","Currency=INR","Period=FQ","BEST_FPERIOD_OVERRIDE=FQ","FILING_STATUS=MR","EQY_CONSOLIDATED=N","SCALING_FORMAT=MLN","Sort=A","Dates=H","DateFormat=P","Fill=—","Direction=H","UseDPDF=Y")</f>
        <v>0</v>
      </c>
      <c r="V19" s="13">
        <f>_xll.BDH("INDIGO IN Equity","IS_CURRENT_INCOME_TAX_BENEFIT","FQ3 2022","FQ3 2022","Currency=INR","Period=FQ","BEST_FPERIOD_OVERRIDE=FQ","FILING_STATUS=MR","EQY_CONSOLIDATED=N","SCALING_FORMAT=MLN","Sort=A","Dates=H","DateFormat=P","Fill=—","Direction=H","UseDPDF=Y")</f>
        <v>0</v>
      </c>
      <c r="W19" s="13">
        <f>_xll.BDH("INDIGO IN Equity","IS_CURRENT_INCOME_TAX_BENEFIT","FQ4 2022","FQ4 2022","Currency=INR","Period=FQ","BEST_FPERIOD_OVERRIDE=FQ","FILING_STATUS=MR","EQY_CONSOLIDATED=N","SCALING_FORMAT=MLN","Sort=A","Dates=H","DateFormat=P","Fill=—","Direction=H","UseDPDF=Y")</f>
        <v>0</v>
      </c>
      <c r="X19" s="13">
        <f>_xll.BDH("INDIGO IN Equity","IS_CURRENT_INCOME_TAX_BENEFIT","FQ1 2023","FQ1 2023","Currency=INR","Period=FQ","BEST_FPERIOD_OVERRIDE=FQ","FILING_STATUS=MR","EQY_CONSOLIDATED=N","SCALING_FORMAT=MLN","Sort=A","Dates=H","DateFormat=P","Fill=—","Direction=H","UseDPDF=Y")</f>
        <v>0</v>
      </c>
      <c r="Y19" s="13">
        <f>_xll.BDH("INDIGO IN Equity","IS_CURRENT_INCOME_TAX_BENEFIT","FQ2 2023","FQ2 2023","Currency=INR","Period=FQ","BEST_FPERIOD_OVERRIDE=FQ","FILING_STATUS=MR","EQY_CONSOLIDATED=N","SCALING_FORMAT=MLN","Sort=A","Dates=H","DateFormat=P","Fill=—","Direction=H","UseDPDF=Y")</f>
        <v>0</v>
      </c>
      <c r="Z19" s="13">
        <f>_xll.BDH("INDIGO IN Equity","IS_CURRENT_INCOME_TAX_BENEFIT","FQ3 2023","FQ3 2023","Currency=INR","Period=FQ","BEST_FPERIOD_OVERRIDE=FQ","FILING_STATUS=MR","EQY_CONSOLIDATED=N","SCALING_FORMAT=MLN","Sort=A","Dates=H","DateFormat=P","Fill=—","Direction=H","UseDPDF=Y")</f>
        <v>0</v>
      </c>
      <c r="AA19" s="13">
        <f>_xll.BDH("INDIGO IN Equity","IS_CURRENT_INCOME_TAX_BENEFIT","FQ4 2023","FQ4 2023","Currency=INR","Period=FQ","BEST_FPERIOD_OVERRIDE=FQ","FILING_STATUS=MR","EQY_CONSOLIDATED=N","SCALING_FORMAT=MLN","Sort=A","Dates=H","DateFormat=P","Fill=—","Direction=H","UseDPDF=Y")</f>
        <v>0</v>
      </c>
      <c r="AB19" s="13">
        <f>_xll.BDH("INDIGO IN Equity","IS_CURRENT_INCOME_TAX_BENEFIT","FQ1 2024","FQ1 2024","Currency=INR","Period=FQ","BEST_FPERIOD_OVERRIDE=FQ","FILING_STATUS=MR","EQY_CONSOLIDATED=N","SCALING_FORMAT=MLN","Sort=A","Dates=H","DateFormat=P","Fill=—","Direction=H","UseDPDF=Y")</f>
        <v>0</v>
      </c>
      <c r="AC19" s="13">
        <f>_xll.BDH("INDIGO IN Equity","IS_CURRENT_INCOME_TAX_BENEFIT","FQ2 2024","FQ2 2024","Currency=INR","Period=FQ","BEST_FPERIOD_OVERRIDE=FQ","FILING_STATUS=MR","EQY_CONSOLIDATED=N","SCALING_FORMAT=MLN","Sort=A","Dates=H","DateFormat=P","Fill=—","Direction=H","UseDPDF=Y")</f>
        <v>0</v>
      </c>
      <c r="AD19" s="13">
        <f>_xll.BDH("INDIGO IN Equity","IS_CURRENT_INCOME_TAX_BENEFIT","FQ3 2024","FQ3 2024","Currency=INR","Period=FQ","BEST_FPERIOD_OVERRIDE=FQ","FILING_STATUS=MR","EQY_CONSOLIDATED=N","SCALING_FORMAT=MLN","Sort=A","Dates=H","DateFormat=P","Fill=—","Direction=H","UseDPDF=Y")</f>
        <v>0</v>
      </c>
      <c r="AE19" s="13">
        <f>_xll.BDH("INDIGO IN Equity","IS_CURRENT_INCOME_TAX_BENEFIT","FQ4 2024","FQ4 2024","Currency=INR","Period=FQ","BEST_FPERIOD_OVERRIDE=FQ","FILING_STATUS=MR","EQY_CONSOLIDATED=N","SCALING_FORMAT=MLN","Sort=A","Dates=H","DateFormat=P","Fill=—","Direction=H","UseDPDF=Y")</f>
        <v>0</v>
      </c>
      <c r="AF19" s="13">
        <f>_xll.BDH("INDIGO IN Equity","IS_CURRENT_INCOME_TAX_BENEFIT","FQ1 2025","FQ1 2025","Currency=INR","Period=FQ","BEST_FPERIOD_OVERRIDE=FQ","FILING_STATUS=MR","EQY_CONSOLIDATED=N","SCALING_FORMAT=MLN","Sort=A","Dates=H","DateFormat=P","Fill=—","Direction=H","UseDPDF=Y")</f>
        <v>750</v>
      </c>
      <c r="AG19" s="13">
        <f>_xll.BDH("INDIGO IN Equity","IS_CURRENT_INCOME_TAX_BENEFIT","FQ2 2025","FQ2 2025","Currency=INR","Period=FQ","BEST_FPERIOD_OVERRIDE=FQ","FILING_STATUS=MR","EQY_CONSOLIDATED=N","SCALING_FORMAT=MLN","Sort=A","Dates=H","DateFormat=P","Fill=—","Direction=H","UseDPDF=Y")</f>
        <v>794</v>
      </c>
      <c r="AH19" s="13">
        <f>_xll.BDH("INDIGO IN Equity","IS_CURRENT_INCOME_TAX_BENEFIT","FQ3 2025","FQ3 2025","Currency=INR","Period=FQ","BEST_FPERIOD_OVERRIDE=FQ","FILING_STATUS=MR","EQY_CONSOLIDATED=N","SCALING_FORMAT=MLN","Sort=A","Dates=H","DateFormat=P","Fill=—","Direction=H","UseDPDF=Y")</f>
        <v>780</v>
      </c>
      <c r="AI19" s="13">
        <f>_xll.BDH("INDIGO IN Equity","IS_CURRENT_INCOME_TAX_BENEFIT","FQ4 2025","FQ4 2025","Currency=INR","Period=FQ","BEST_FPERIOD_OVERRIDE=FQ","FILING_STATUS=MR","EQY_CONSOLIDATED=N","SCALING_FORMAT=MLN","Sort=A","Dates=H","DateFormat=P","Fill=—","Direction=H","UseDPDF=Y")</f>
        <v>1014</v>
      </c>
      <c r="AJ19" s="13">
        <f>_xll.BDH("INDIGO IN Equity","IS_CURRENT_INCOME_TAX_BENEFIT","FQ1 2026","FQ1 2026","Currency=INR","Period=FQ","BEST_FPERIOD_OVERRIDE=FQ","FILING_STATUS=MR","EQY_CONSOLIDATED=N","SCALING_FORMAT=MLN","Sort=A","Dates=H","DateFormat=P","Fill=—","Direction=H","UseDPDF=Y")</f>
        <v>1343</v>
      </c>
      <c r="AK19" s="13">
        <f>_xll.BDH("INDIGO IN Equity","IS_CURRENT_INCOME_TAX_BENEFIT","FQ2 2026","FQ2 2026","Currency=INR","Period=FQ","BEST_FPERIOD_OVERRIDE=FQ","FILING_STATUS=MR","EQY_CONSOLIDATED=N","SCALING_FORMAT=MLN","Sort=A","Dates=H","DateFormat=P","Fill=—","Direction=H","UseDPDF=Y")</f>
        <v>1003</v>
      </c>
      <c r="AL19" s="13">
        <f>_xll.BDH("INDIGO IN Equity","IS_CURRENT_INCOME_TAX_BENEFIT","FQ3 2026","FQ3 2026","Currency=INR","Period=FQ","BEST_FPERIOD_OVERRIDE=FQ","FILING_STATUS=MR","EQY_CONSOLIDATED=N","SCALING_FORMAT=MLN","Sort=A","Dates=H","DateFormat=P","Fill=—","Direction=H","UseDPDF=Y")</f>
        <v>-1548</v>
      </c>
      <c r="AM19" s="13">
        <f>_xll.BDH("INDIGO IN Equity","IS_CURRENT_INCOME_TAX_BENEFIT","FQ4 2026","FQ4 2026","Currency=INR","Period=FQ","BEST_FPERIOD_OVERRIDE=FQ","FILING_STATUS=MR","EQY_CONSOLIDATED=N","SCALING_FORMAT=MLN","Sort=A","Dates=H","DateFormat=P","Fill=—","Direction=H","UseDPDF=Y")</f>
        <v>-798</v>
      </c>
      <c r="AN19" s="13">
        <f>_xll.BDH("INDIGO IN Equity","IS_CURRENT_INCOME_TAX_BENEFIT","FQ1 2027","FQ1 2027","Currency=INR","Period=FQ","BEST_FPERIOD_OVERRIDE=FQ","FILING_STATUS=MR","EQY_CONSOLIDATED=N","SCALING_FORMAT=MLN","Sort=A","Dates=H","DateFormat=P","Fill=—","Direction=H","UseDPDF=Y")</f>
        <v>-4</v>
      </c>
      <c r="AO19" s="13"/>
      <c r="AP19" s="13"/>
    </row>
    <row r="20" spans="1:42" x14ac:dyDescent="0.25">
      <c r="A20" s="12" t="s">
        <v>128</v>
      </c>
      <c r="B20" s="12" t="s">
        <v>129</v>
      </c>
      <c r="C20" s="13">
        <f>_xll.BDH("INDIGO IN Equity","IS_DEFERRED_INCOME_TAX_BENEFIT","FQ4 2017","FQ4 2017","Currency=INR","Period=FQ","BEST_FPERIOD_OVERRIDE=FQ","FILING_STATUS=MR","EQY_CONSOLIDATED=N","SCALING_FORMAT=MLN","Sort=A","Dates=H","DateFormat=P","Fill=—","Direction=H","UseDPDF=Y")</f>
        <v>345.85</v>
      </c>
      <c r="D20" s="13">
        <f>_xll.BDH("INDIGO IN Equity","IS_DEFERRED_INCOME_TAX_BENEFIT","FQ1 2018","FQ1 2018","Currency=INR","Period=FQ","BEST_FPERIOD_OVERRIDE=FQ","FILING_STATUS=MR","EQY_CONSOLIDATED=N","SCALING_FORMAT=MLN","Sort=A","Dates=H","DateFormat=P","Fill=—","Direction=H","UseDPDF=Y")</f>
        <v>323.08999999999997</v>
      </c>
      <c r="E20" s="13">
        <f>_xll.BDH("INDIGO IN Equity","IS_DEFERRED_INCOME_TAX_BENEFIT","FQ2 2018","FQ2 2018","Currency=INR","Period=FQ","BEST_FPERIOD_OVERRIDE=FQ","FILING_STATUS=MR","EQY_CONSOLIDATED=N","SCALING_FORMAT=MLN","Sort=A","Dates=H","DateFormat=P","Fill=—","Direction=H","UseDPDF=Y")</f>
        <v>281.94</v>
      </c>
      <c r="F20" s="13">
        <f>_xll.BDH("INDIGO IN Equity","IS_DEFERRED_INCOME_TAX_BENEFIT","FQ3 2018","FQ3 2018","Currency=INR","Period=FQ","BEST_FPERIOD_OVERRIDE=FQ","FILING_STATUS=MR","EQY_CONSOLIDATED=N","SCALING_FORMAT=MLN","Sort=A","Dates=H","DateFormat=P","Fill=—","Direction=H","UseDPDF=Y")</f>
        <v>619.66</v>
      </c>
      <c r="G20" s="13">
        <f>_xll.BDH("INDIGO IN Equity","IS_DEFERRED_INCOME_TAX_BENEFIT","FQ4 2018","FQ4 2018","Currency=INR","Period=FQ","BEST_FPERIOD_OVERRIDE=FQ","FILING_STATUS=MR","EQY_CONSOLIDATED=N","SCALING_FORMAT=MLN","Sort=A","Dates=H","DateFormat=P","Fill=—","Direction=H","UseDPDF=Y")</f>
        <v>928.52</v>
      </c>
      <c r="H20" s="13">
        <f>_xll.BDH("INDIGO IN Equity","IS_DEFERRED_INCOME_TAX_BENEFIT","FQ1 2019","FQ1 2019","Currency=INR","Period=FQ","BEST_FPERIOD_OVERRIDE=FQ","FILING_STATUS=MR","EQY_CONSOLIDATED=N","SCALING_FORMAT=MLN","Sort=A","Dates=H","DateFormat=P","Fill=—","Direction=H","UseDPDF=Y")</f>
        <v>-34.57</v>
      </c>
      <c r="I20" s="13">
        <f>_xll.BDH("INDIGO IN Equity","IS_DEFERRED_INCOME_TAX_BENEFIT","FQ2 2019","FQ2 2019","Currency=INR","Period=FQ","BEST_FPERIOD_OVERRIDE=FQ","FILING_STATUS=MR","EQY_CONSOLIDATED=N","SCALING_FORMAT=MLN","Sort=A","Dates=H","DateFormat=P","Fill=—","Direction=H","UseDPDF=Y")</f>
        <v>-3289.38</v>
      </c>
      <c r="J20" s="13">
        <f>_xll.BDH("INDIGO IN Equity","IS_DEFERRED_INCOME_TAX_BENEFIT","FQ3 2019","FQ3 2019","Currency=INR","Period=FQ","BEST_FPERIOD_OVERRIDE=FQ","FILING_STATUS=MR","EQY_CONSOLIDATED=N","SCALING_FORMAT=MLN","Sort=A","Dates=H","DateFormat=P","Fill=—","Direction=H","UseDPDF=Y")</f>
        <v>0</v>
      </c>
      <c r="K20" s="13">
        <f>_xll.BDH("INDIGO IN Equity","IS_DEFERRED_INCOME_TAX_BENEFIT","FQ4 2019","FQ4 2019","Currency=INR","Period=FQ","BEST_FPERIOD_OVERRIDE=FQ","FILING_STATUS=MR","EQY_CONSOLIDATED=N","SCALING_FORMAT=MLN","Sort=A","Dates=H","DateFormat=P","Fill=—","Direction=H","UseDPDF=Y")</f>
        <v>272.13</v>
      </c>
      <c r="L20" s="13">
        <f>_xll.BDH("INDIGO IN Equity","IS_DEFERRED_INCOME_TAX_BENEFIT","FQ1 2020","FQ1 2020","Currency=INR","Period=FQ","BEST_FPERIOD_OVERRIDE=FQ","FILING_STATUS=MR","EQY_CONSOLIDATED=N","SCALING_FORMAT=MLN","Sort=A","Dates=H","DateFormat=P","Fill=—","Direction=H","UseDPDF=Y")</f>
        <v>-258.14999999999998</v>
      </c>
      <c r="M20" s="13">
        <f>_xll.BDH("INDIGO IN Equity","IS_DEFERRED_INCOME_TAX_BENEFIT","FQ2 2020","FQ2 2020","Currency=INR","Period=FQ","BEST_FPERIOD_OVERRIDE=FQ","FILING_STATUS=MR","EQY_CONSOLIDATED=N","SCALING_FORMAT=MLN","Sort=A","Dates=H","DateFormat=P","Fill=—","Direction=H","UseDPDF=Y")</f>
        <v>3589.14</v>
      </c>
      <c r="N20" s="13">
        <f>_xll.BDH("INDIGO IN Equity","IS_DEFERRED_INCOME_TAX_BENEFIT","FQ3 2020","FQ3 2020","Currency=INR","Period=FQ","BEST_FPERIOD_OVERRIDE=FQ","FILING_STATUS=MR","EQY_CONSOLIDATED=N","SCALING_FORMAT=MLN","Sort=A","Dates=H","DateFormat=P","Fill=—","Direction=H","UseDPDF=Y")</f>
        <v>591.13</v>
      </c>
      <c r="O20" s="13">
        <f>_xll.BDH("INDIGO IN Equity","IS_DEFERRED_INCOME_TAX_BENEFIT","FQ4 2020","FQ4 2020","Currency=INR","Period=FQ","BEST_FPERIOD_OVERRIDE=FQ","FILING_STATUS=MR","EQY_CONSOLIDATED=N","SCALING_FORMAT=MLN","Sort=A","Dates=H","DateFormat=P","Fill=—","Direction=H","UseDPDF=Y")</f>
        <v>-4199.63</v>
      </c>
      <c r="P20" s="13">
        <f>_xll.BDH("INDIGO IN Equity","IS_DEFERRED_INCOME_TAX_BENEFIT","FQ1 2021","FQ1 2021","Currency=INR","Period=FQ","BEST_FPERIOD_OVERRIDE=FQ","FILING_STATUS=MR","EQY_CONSOLIDATED=N","SCALING_FORMAT=MLN","Sort=A","Dates=H","DateFormat=P","Fill=—","Direction=H","UseDPDF=Y")</f>
        <v>0</v>
      </c>
      <c r="Q20" s="13">
        <f>_xll.BDH("INDIGO IN Equity","IS_DEFERRED_INCOME_TAX_BENEFIT","FQ2 2021","FQ2 2021","Currency=INR","Period=FQ","BEST_FPERIOD_OVERRIDE=FQ","FILING_STATUS=MR","EQY_CONSOLIDATED=N","SCALING_FORMAT=MLN","Sort=A","Dates=H","DateFormat=P","Fill=—","Direction=H","UseDPDF=Y")</f>
        <v>0</v>
      </c>
      <c r="R20" s="13">
        <f>_xll.BDH("INDIGO IN Equity","IS_DEFERRED_INCOME_TAX_BENEFIT","FQ3 2021","FQ3 2021","Currency=INR","Period=FQ","BEST_FPERIOD_OVERRIDE=FQ","FILING_STATUS=MR","EQY_CONSOLIDATED=N","SCALING_FORMAT=MLN","Sort=A","Dates=H","DateFormat=P","Fill=—","Direction=H","UseDPDF=Y")</f>
        <v>0</v>
      </c>
      <c r="S20" s="13">
        <f>_xll.BDH("INDIGO IN Equity","IS_DEFERRED_INCOME_TAX_BENEFIT","FQ4 2021","FQ4 2021","Currency=INR","Period=FQ","BEST_FPERIOD_OVERRIDE=FQ","FILING_STATUS=MR","EQY_CONSOLIDATED=N","SCALING_FORMAT=MLN","Sort=A","Dates=H","DateFormat=P","Fill=—","Direction=H","UseDPDF=Y")</f>
        <v>0</v>
      </c>
      <c r="T20" s="13">
        <f>_xll.BDH("INDIGO IN Equity","IS_DEFERRED_INCOME_TAX_BENEFIT","FQ1 2022","FQ1 2022","Currency=INR","Period=FQ","BEST_FPERIOD_OVERRIDE=FQ","FILING_STATUS=MR","EQY_CONSOLIDATED=N","SCALING_FORMAT=MLN","Sort=A","Dates=H","DateFormat=P","Fill=—","Direction=H","UseDPDF=Y")</f>
        <v>0</v>
      </c>
      <c r="U20" s="13">
        <f>_xll.BDH("INDIGO IN Equity","IS_DEFERRED_INCOME_TAX_BENEFIT","FQ2 2022","FQ2 2022","Currency=INR","Period=FQ","BEST_FPERIOD_OVERRIDE=FQ","FILING_STATUS=MR","EQY_CONSOLIDATED=N","SCALING_FORMAT=MLN","Sort=A","Dates=H","DateFormat=P","Fill=—","Direction=H","UseDPDF=Y")</f>
        <v>0</v>
      </c>
      <c r="V20" s="13">
        <f>_xll.BDH("INDIGO IN Equity","IS_DEFERRED_INCOME_TAX_BENEFIT","FQ3 2022","FQ3 2022","Currency=INR","Period=FQ","BEST_FPERIOD_OVERRIDE=FQ","FILING_STATUS=MR","EQY_CONSOLIDATED=N","SCALING_FORMAT=MLN","Sort=A","Dates=H","DateFormat=P","Fill=—","Direction=H","UseDPDF=Y")</f>
        <v>0</v>
      </c>
      <c r="W20" s="13">
        <f>_xll.BDH("INDIGO IN Equity","IS_DEFERRED_INCOME_TAX_BENEFIT","FQ4 2022","FQ4 2022","Currency=INR","Period=FQ","BEST_FPERIOD_OVERRIDE=FQ","FILING_STATUS=MR","EQY_CONSOLIDATED=N","SCALING_FORMAT=MLN","Sort=A","Dates=H","DateFormat=P","Fill=—","Direction=H","UseDPDF=Y")</f>
        <v>0</v>
      </c>
      <c r="X20" s="13">
        <f>_xll.BDH("INDIGO IN Equity","IS_DEFERRED_INCOME_TAX_BENEFIT","FQ1 2023","FQ1 2023","Currency=INR","Period=FQ","BEST_FPERIOD_OVERRIDE=FQ","FILING_STATUS=MR","EQY_CONSOLIDATED=N","SCALING_FORMAT=MLN","Sort=A","Dates=H","DateFormat=P","Fill=—","Direction=H","UseDPDF=Y")</f>
        <v>0</v>
      </c>
      <c r="Y20" s="13">
        <f>_xll.BDH("INDIGO IN Equity","IS_DEFERRED_INCOME_TAX_BENEFIT","FQ2 2023","FQ2 2023","Currency=INR","Period=FQ","BEST_FPERIOD_OVERRIDE=FQ","FILING_STATUS=MR","EQY_CONSOLIDATED=N","SCALING_FORMAT=MLN","Sort=A","Dates=H","DateFormat=P","Fill=—","Direction=H","UseDPDF=Y")</f>
        <v>0</v>
      </c>
      <c r="Z20" s="13">
        <f>_xll.BDH("INDIGO IN Equity","IS_DEFERRED_INCOME_TAX_BENEFIT","FQ3 2023","FQ3 2023","Currency=INR","Period=FQ","BEST_FPERIOD_OVERRIDE=FQ","FILING_STATUS=MR","EQY_CONSOLIDATED=N","SCALING_FORMAT=MLN","Sort=A","Dates=H","DateFormat=P","Fill=—","Direction=H","UseDPDF=Y")</f>
        <v>0</v>
      </c>
      <c r="AA20" s="13">
        <f>_xll.BDH("INDIGO IN Equity","IS_DEFERRED_INCOME_TAX_BENEFIT","FQ4 2023","FQ4 2023","Currency=INR","Period=FQ","BEST_FPERIOD_OVERRIDE=FQ","FILING_STATUS=MR","EQY_CONSOLIDATED=N","SCALING_FORMAT=MLN","Sort=A","Dates=H","DateFormat=P","Fill=—","Direction=H","UseDPDF=Y")</f>
        <v>0</v>
      </c>
      <c r="AB20" s="13">
        <f>_xll.BDH("INDIGO IN Equity","IS_DEFERRED_INCOME_TAX_BENEFIT","FQ1 2024","FQ1 2024","Currency=INR","Period=FQ","BEST_FPERIOD_OVERRIDE=FQ","FILING_STATUS=MR","EQY_CONSOLIDATED=N","SCALING_FORMAT=MLN","Sort=A","Dates=H","DateFormat=P","Fill=—","Direction=H","UseDPDF=Y")</f>
        <v>0</v>
      </c>
      <c r="AC20" s="13">
        <f>_xll.BDH("INDIGO IN Equity","IS_DEFERRED_INCOME_TAX_BENEFIT","FQ2 2024","FQ2 2024","Currency=INR","Period=FQ","BEST_FPERIOD_OVERRIDE=FQ","FILING_STATUS=MR","EQY_CONSOLIDATED=N","SCALING_FORMAT=MLN","Sort=A","Dates=H","DateFormat=P","Fill=—","Direction=H","UseDPDF=Y")</f>
        <v>0</v>
      </c>
      <c r="AD20" s="13">
        <f>_xll.BDH("INDIGO IN Equity","IS_DEFERRED_INCOME_TAX_BENEFIT","FQ3 2024","FQ3 2024","Currency=INR","Period=FQ","BEST_FPERIOD_OVERRIDE=FQ","FILING_STATUS=MR","EQY_CONSOLIDATED=N","SCALING_FORMAT=MLN","Sort=A","Dates=H","DateFormat=P","Fill=—","Direction=H","UseDPDF=Y")</f>
        <v>0</v>
      </c>
      <c r="AE20" s="13">
        <f>_xll.BDH("INDIGO IN Equity","IS_DEFERRED_INCOME_TAX_BENEFIT","FQ4 2024","FQ4 2024","Currency=INR","Period=FQ","BEST_FPERIOD_OVERRIDE=FQ","FILING_STATUS=MR","EQY_CONSOLIDATED=N","SCALING_FORMAT=MLN","Sort=A","Dates=H","DateFormat=P","Fill=—","Direction=H","UseDPDF=Y")</f>
        <v>-1242.44</v>
      </c>
      <c r="AF20" s="13">
        <f>_xll.BDH("INDIGO IN Equity","IS_DEFERRED_INCOME_TAX_BENEFIT","FQ1 2025","FQ1 2025","Currency=INR","Period=FQ","BEST_FPERIOD_OVERRIDE=FQ","FILING_STATUS=MR","EQY_CONSOLIDATED=N","SCALING_FORMAT=MLN","Sort=A","Dates=H","DateFormat=P","Fill=—","Direction=H","UseDPDF=Y")</f>
        <v>0</v>
      </c>
      <c r="AG20" s="13">
        <f>_xll.BDH("INDIGO IN Equity","IS_DEFERRED_INCOME_TAX_BENEFIT","FQ2 2025","FQ2 2025","Currency=INR","Period=FQ","BEST_FPERIOD_OVERRIDE=FQ","FILING_STATUS=MR","EQY_CONSOLIDATED=N","SCALING_FORMAT=MLN","Sort=A","Dates=H","DateFormat=P","Fill=—","Direction=H","UseDPDF=Y")</f>
        <v>0</v>
      </c>
      <c r="AH20" s="13">
        <f>_xll.BDH("INDIGO IN Equity","IS_DEFERRED_INCOME_TAX_BENEFIT","FQ3 2025","FQ3 2025","Currency=INR","Period=FQ","BEST_FPERIOD_OVERRIDE=FQ","FILING_STATUS=MR","EQY_CONSOLIDATED=N","SCALING_FORMAT=MLN","Sort=A","Dates=H","DateFormat=P","Fill=—","Direction=H","UseDPDF=Y")</f>
        <v>0</v>
      </c>
      <c r="AI20" s="13">
        <f>_xll.BDH("INDIGO IN Equity","IS_DEFERRED_INCOME_TAX_BENEFIT","FQ4 2025","FQ4 2025","Currency=INR","Period=FQ","BEST_FPERIOD_OVERRIDE=FQ","FILING_STATUS=MR","EQY_CONSOLIDATED=N","SCALING_FORMAT=MLN","Sort=A","Dates=H","DateFormat=P","Fill=—","Direction=H","UseDPDF=Y")</f>
        <v>4</v>
      </c>
      <c r="AJ20" s="13">
        <f>_xll.BDH("INDIGO IN Equity","IS_DEFERRED_INCOME_TAX_BENEFIT","FQ1 2026","FQ1 2026","Currency=INR","Period=FQ","BEST_FPERIOD_OVERRIDE=FQ","FILING_STATUS=MR","EQY_CONSOLIDATED=N","SCALING_FORMAT=MLN","Sort=A","Dates=H","DateFormat=P","Fill=—","Direction=H","UseDPDF=Y")</f>
        <v>0</v>
      </c>
      <c r="AK20" s="13">
        <f>_xll.BDH("INDIGO IN Equity","IS_DEFERRED_INCOME_TAX_BENEFIT","FQ2 2026","FQ2 2026","Currency=INR","Period=FQ","BEST_FPERIOD_OVERRIDE=FQ","FILING_STATUS=MR","EQY_CONSOLIDATED=N","SCALING_FORMAT=MLN","Sort=A","Dates=H","DateFormat=P","Fill=—","Direction=H","UseDPDF=Y")</f>
        <v>0</v>
      </c>
      <c r="AL20" s="13">
        <f>_xll.BDH("INDIGO IN Equity","IS_DEFERRED_INCOME_TAX_BENEFIT","FQ3 2026","FQ3 2026","Currency=INR","Period=FQ","BEST_FPERIOD_OVERRIDE=FQ","FILING_STATUS=MR","EQY_CONSOLIDATED=N","SCALING_FORMAT=MLN","Sort=A","Dates=H","DateFormat=P","Fill=—","Direction=H","UseDPDF=Y")</f>
        <v>1670</v>
      </c>
      <c r="AM20" s="13">
        <f>_xll.BDH("INDIGO IN Equity","IS_DEFERRED_INCOME_TAX_BENEFIT","FQ4 2026","FQ4 2026","Currency=INR","Period=FQ","BEST_FPERIOD_OVERRIDE=FQ","FILING_STATUS=MR","EQY_CONSOLIDATED=N","SCALING_FORMAT=MLN","Sort=A","Dates=H","DateFormat=P","Fill=—","Direction=H","UseDPDF=Y")</f>
        <v>2522</v>
      </c>
      <c r="AN20" s="13">
        <f>_xll.BDH("INDIGO IN Equity","IS_DEFERRED_INCOME_TAX_BENEFIT","FQ1 2027","FQ1 2027","Currency=INR","Period=FQ","BEST_FPERIOD_OVERRIDE=FQ","FILING_STATUS=MR","EQY_CONSOLIDATED=N","SCALING_FORMAT=MLN","Sort=A","Dates=H","DateFormat=P","Fill=—","Direction=H","UseDPDF=Y")</f>
        <v>0</v>
      </c>
      <c r="AO20" s="13"/>
      <c r="AP20" s="13"/>
    </row>
    <row r="21" spans="1:42" x14ac:dyDescent="0.25">
      <c r="A21" s="12" t="s">
        <v>130</v>
      </c>
      <c r="B21" s="12" t="s">
        <v>131</v>
      </c>
      <c r="C21" s="13" t="str">
        <f>_xll.BDH("INDIGO IN Equity","IS_SH_PRO_EQY_MT_INV_NET_OF_TAX","FQ4 2017","FQ4 2017","Currency=INR","Period=FQ","BEST_FPERIOD_OVERRIDE=FQ","FILING_STATUS=MR","EQY_CONSOLIDATED=N","SCALING_FORMAT=MLN","FA_ADJUSTED=GAAP","Sort=A","Dates=H","DateFormat=P","Fill=—","Direction=H","UseDPDF=Y")</f>
        <v>—</v>
      </c>
      <c r="D21" s="13" t="str">
        <f>_xll.BDH("INDIGO IN Equity","IS_SH_PRO_EQY_MT_INV_NET_OF_TAX","FQ1 2018","FQ1 2018","Currency=INR","Period=FQ","BEST_FPERIOD_OVERRIDE=FQ","FILING_STATUS=MR","EQY_CONSOLIDATED=N","SCALING_FORMAT=MLN","FA_ADJUSTED=GAAP","Sort=A","Dates=H","DateFormat=P","Fill=—","Direction=H","UseDPDF=Y")</f>
        <v>—</v>
      </c>
      <c r="E21" s="13" t="str">
        <f>_xll.BDH("INDIGO IN Equity","IS_SH_PRO_EQY_MT_INV_NET_OF_TAX","FQ2 2018","FQ2 2018","Currency=INR","Period=FQ","BEST_FPERIOD_OVERRIDE=FQ","FILING_STATUS=MR","EQY_CONSOLIDATED=N","SCALING_FORMAT=MLN","FA_ADJUSTED=GAAP","Sort=A","Dates=H","DateFormat=P","Fill=—","Direction=H","UseDPDF=Y")</f>
        <v>—</v>
      </c>
      <c r="F21" s="13" t="str">
        <f>_xll.BDH("INDIGO IN Equity","IS_SH_PRO_EQY_MT_INV_NET_OF_TAX","FQ3 2018","FQ3 2018","Currency=INR","Period=FQ","BEST_FPERIOD_OVERRIDE=FQ","FILING_STATUS=MR","EQY_CONSOLIDATED=N","SCALING_FORMAT=MLN","FA_ADJUSTED=GAAP","Sort=A","Dates=H","DateFormat=P","Fill=—","Direction=H","UseDPDF=Y")</f>
        <v>—</v>
      </c>
      <c r="G21" s="13" t="str">
        <f>_xll.BDH("INDIGO IN Equity","IS_SH_PRO_EQY_MT_INV_NET_OF_TAX","FQ4 2018","FQ4 2018","Currency=INR","Period=FQ","BEST_FPERIOD_OVERRIDE=FQ","FILING_STATUS=MR","EQY_CONSOLIDATED=N","SCALING_FORMAT=MLN","FA_ADJUSTED=GAAP","Sort=A","Dates=H","DateFormat=P","Fill=—","Direction=H","UseDPDF=Y")</f>
        <v>—</v>
      </c>
      <c r="H21" s="13" t="str">
        <f>_xll.BDH("INDIGO IN Equity","IS_SH_PRO_EQY_MT_INV_NET_OF_TAX","FQ1 2019","FQ1 2019","Currency=INR","Period=FQ","BEST_FPERIOD_OVERRIDE=FQ","FILING_STATUS=MR","EQY_CONSOLIDATED=N","SCALING_FORMAT=MLN","FA_ADJUSTED=GAAP","Sort=A","Dates=H","DateFormat=P","Fill=—","Direction=H","UseDPDF=Y")</f>
        <v>—</v>
      </c>
      <c r="I21" s="13" t="str">
        <f>_xll.BDH("INDIGO IN Equity","IS_SH_PRO_EQY_MT_INV_NET_OF_TAX","FQ2 2019","FQ2 2019","Currency=INR","Period=FQ","BEST_FPERIOD_OVERRIDE=FQ","FILING_STATUS=MR","EQY_CONSOLIDATED=N","SCALING_FORMAT=MLN","FA_ADJUSTED=GAAP","Sort=A","Dates=H","DateFormat=P","Fill=—","Direction=H","UseDPDF=Y")</f>
        <v>—</v>
      </c>
      <c r="J21" s="13" t="str">
        <f>_xll.BDH("INDIGO IN Equity","IS_SH_PRO_EQY_MT_INV_NET_OF_TAX","FQ3 2019","FQ3 2019","Currency=INR","Period=FQ","BEST_FPERIOD_OVERRIDE=FQ","FILING_STATUS=MR","EQY_CONSOLIDATED=N","SCALING_FORMAT=MLN","FA_ADJUSTED=GAAP","Sort=A","Dates=H","DateFormat=P","Fill=—","Direction=H","UseDPDF=Y")</f>
        <v>—</v>
      </c>
      <c r="K21" s="13" t="str">
        <f>_xll.BDH("INDIGO IN Equity","IS_SH_PRO_EQY_MT_INV_NET_OF_TAX","FQ4 2019","FQ4 2019","Currency=INR","Period=FQ","BEST_FPERIOD_OVERRIDE=FQ","FILING_STATUS=MR","EQY_CONSOLIDATED=N","SCALING_FORMAT=MLN","FA_ADJUSTED=GAAP","Sort=A","Dates=H","DateFormat=P","Fill=—","Direction=H","UseDPDF=Y")</f>
        <v>—</v>
      </c>
      <c r="L21" s="13" t="str">
        <f>_xll.BDH("INDIGO IN Equity","IS_SH_PRO_EQY_MT_INV_NET_OF_TAX","FQ1 2020","FQ1 2020","Currency=INR","Period=FQ","BEST_FPERIOD_OVERRIDE=FQ","FILING_STATUS=MR","EQY_CONSOLIDATED=N","SCALING_FORMAT=MLN","FA_ADJUSTED=GAAP","Sort=A","Dates=H","DateFormat=P","Fill=—","Direction=H","UseDPDF=Y")</f>
        <v>—</v>
      </c>
      <c r="M21" s="13" t="str">
        <f>_xll.BDH("INDIGO IN Equity","IS_SH_PRO_EQY_MT_INV_NET_OF_TAX","FQ2 2020","FQ2 2020","Currency=INR","Period=FQ","BEST_FPERIOD_OVERRIDE=FQ","FILING_STATUS=MR","EQY_CONSOLIDATED=N","SCALING_FORMAT=MLN","FA_ADJUSTED=GAAP","Sort=A","Dates=H","DateFormat=P","Fill=—","Direction=H","UseDPDF=Y")</f>
        <v>—</v>
      </c>
      <c r="N21" s="13" t="str">
        <f>_xll.BDH("INDIGO IN Equity","IS_SH_PRO_EQY_MT_INV_NET_OF_TAX","FQ3 2020","FQ3 2020","Currency=INR","Period=FQ","BEST_FPERIOD_OVERRIDE=FQ","FILING_STATUS=MR","EQY_CONSOLIDATED=N","SCALING_FORMAT=MLN","FA_ADJUSTED=GAAP","Sort=A","Dates=H","DateFormat=P","Fill=—","Direction=H","UseDPDF=Y")</f>
        <v>—</v>
      </c>
      <c r="O21" s="13" t="str">
        <f>_xll.BDH("INDIGO IN Equity","IS_SH_PRO_EQY_MT_INV_NET_OF_TAX","FQ4 2020","FQ4 2020","Currency=INR","Period=FQ","BEST_FPERIOD_OVERRIDE=FQ","FILING_STATUS=MR","EQY_CONSOLIDATED=N","SCALING_FORMAT=MLN","FA_ADJUSTED=GAAP","Sort=A","Dates=H","DateFormat=P","Fill=—","Direction=H","UseDPDF=Y")</f>
        <v>—</v>
      </c>
      <c r="P21" s="13" t="str">
        <f>_xll.BDH("INDIGO IN Equity","IS_SH_PRO_EQY_MT_INV_NET_OF_TAX","FQ1 2021","FQ1 2021","Currency=INR","Period=FQ","BEST_FPERIOD_OVERRIDE=FQ","FILING_STATUS=MR","EQY_CONSOLIDATED=N","SCALING_FORMAT=MLN","FA_ADJUSTED=GAAP","Sort=A","Dates=H","DateFormat=P","Fill=—","Direction=H","UseDPDF=Y")</f>
        <v>—</v>
      </c>
      <c r="Q21" s="13" t="str">
        <f>_xll.BDH("INDIGO IN Equity","IS_SH_PRO_EQY_MT_INV_NET_OF_TAX","FQ2 2021","FQ2 2021","Currency=INR","Period=FQ","BEST_FPERIOD_OVERRIDE=FQ","FILING_STATUS=MR","EQY_CONSOLIDATED=N","SCALING_FORMAT=MLN","FA_ADJUSTED=GAAP","Sort=A","Dates=H","DateFormat=P","Fill=—","Direction=H","UseDPDF=Y")</f>
        <v>—</v>
      </c>
      <c r="R21" s="13" t="str">
        <f>_xll.BDH("INDIGO IN Equity","IS_SH_PRO_EQY_MT_INV_NET_OF_TAX","FQ3 2021","FQ3 2021","Currency=INR","Period=FQ","BEST_FPERIOD_OVERRIDE=FQ","FILING_STATUS=MR","EQY_CONSOLIDATED=N","SCALING_FORMAT=MLN","FA_ADJUSTED=GAAP","Sort=A","Dates=H","DateFormat=P","Fill=—","Direction=H","UseDPDF=Y")</f>
        <v>—</v>
      </c>
      <c r="S21" s="13" t="str">
        <f>_xll.BDH("INDIGO IN Equity","IS_SH_PRO_EQY_MT_INV_NET_OF_TAX","FQ4 2021","FQ4 2021","Currency=INR","Period=FQ","BEST_FPERIOD_OVERRIDE=FQ","FILING_STATUS=MR","EQY_CONSOLIDATED=N","SCALING_FORMAT=MLN","FA_ADJUSTED=GAAP","Sort=A","Dates=H","DateFormat=P","Fill=—","Direction=H","UseDPDF=Y")</f>
        <v>—</v>
      </c>
      <c r="T21" s="13" t="str">
        <f>_xll.BDH("INDIGO IN Equity","IS_SH_PRO_EQY_MT_INV_NET_OF_TAX","FQ1 2022","FQ1 2022","Currency=INR","Period=FQ","BEST_FPERIOD_OVERRIDE=FQ","FILING_STATUS=MR","EQY_CONSOLIDATED=N","SCALING_FORMAT=MLN","FA_ADJUSTED=GAAP","Sort=A","Dates=H","DateFormat=P","Fill=—","Direction=H","UseDPDF=Y")</f>
        <v>—</v>
      </c>
      <c r="U21" s="13" t="str">
        <f>_xll.BDH("INDIGO IN Equity","IS_SH_PRO_EQY_MT_INV_NET_OF_TAX","FQ2 2022","FQ2 2022","Currency=INR","Period=FQ","BEST_FPERIOD_OVERRIDE=FQ","FILING_STATUS=MR","EQY_CONSOLIDATED=N","SCALING_FORMAT=MLN","FA_ADJUSTED=GAAP","Sort=A","Dates=H","DateFormat=P","Fill=—","Direction=H","UseDPDF=Y")</f>
        <v>—</v>
      </c>
      <c r="V21" s="13" t="str">
        <f>_xll.BDH("INDIGO IN Equity","IS_SH_PRO_EQY_MT_INV_NET_OF_TAX","FQ3 2022","FQ3 2022","Currency=INR","Period=FQ","BEST_FPERIOD_OVERRIDE=FQ","FILING_STATUS=MR","EQY_CONSOLIDATED=N","SCALING_FORMAT=MLN","FA_ADJUSTED=GAAP","Sort=A","Dates=H","DateFormat=P","Fill=—","Direction=H","UseDPDF=Y")</f>
        <v>—</v>
      </c>
      <c r="W21" s="13" t="str">
        <f>_xll.BDH("INDIGO IN Equity","IS_SH_PRO_EQY_MT_INV_NET_OF_TAX","FQ4 2022","FQ4 2022","Currency=INR","Period=FQ","BEST_FPERIOD_OVERRIDE=FQ","FILING_STATUS=MR","EQY_CONSOLIDATED=N","SCALING_FORMAT=MLN","FA_ADJUSTED=GAAP","Sort=A","Dates=H","DateFormat=P","Fill=—","Direction=H","UseDPDF=Y")</f>
        <v>—</v>
      </c>
      <c r="X21" s="13" t="str">
        <f>_xll.BDH("INDIGO IN Equity","IS_SH_PRO_EQY_MT_INV_NET_OF_TAX","FQ1 2023","FQ1 2023","Currency=INR","Period=FQ","BEST_FPERIOD_OVERRIDE=FQ","FILING_STATUS=MR","EQY_CONSOLIDATED=N","SCALING_FORMAT=MLN","FA_ADJUSTED=GAAP","Sort=A","Dates=H","DateFormat=P","Fill=—","Direction=H","UseDPDF=Y")</f>
        <v>—</v>
      </c>
      <c r="Y21" s="13" t="str">
        <f>_xll.BDH("INDIGO IN Equity","IS_SH_PRO_EQY_MT_INV_NET_OF_TAX","FQ2 2023","FQ2 2023","Currency=INR","Period=FQ","BEST_FPERIOD_OVERRIDE=FQ","FILING_STATUS=MR","EQY_CONSOLIDATED=N","SCALING_FORMAT=MLN","FA_ADJUSTED=GAAP","Sort=A","Dates=H","DateFormat=P","Fill=—","Direction=H","UseDPDF=Y")</f>
        <v>—</v>
      </c>
      <c r="Z21" s="13" t="str">
        <f>_xll.BDH("INDIGO IN Equity","IS_SH_PRO_EQY_MT_INV_NET_OF_TAX","FQ3 2023","FQ3 2023","Currency=INR","Period=FQ","BEST_FPERIOD_OVERRIDE=FQ","FILING_STATUS=MR","EQY_CONSOLIDATED=N","SCALING_FORMAT=MLN","FA_ADJUSTED=GAAP","Sort=A","Dates=H","DateFormat=P","Fill=—","Direction=H","UseDPDF=Y")</f>
        <v>—</v>
      </c>
      <c r="AA21" s="13" t="str">
        <f>_xll.BDH("INDIGO IN Equity","IS_SH_PRO_EQY_MT_INV_NET_OF_TAX","FQ4 2023","FQ4 2023","Currency=INR","Period=FQ","BEST_FPERIOD_OVERRIDE=FQ","FILING_STATUS=MR","EQY_CONSOLIDATED=N","SCALING_FORMAT=MLN","FA_ADJUSTED=GAAP","Sort=A","Dates=H","DateFormat=P","Fill=—","Direction=H","UseDPDF=Y")</f>
        <v>—</v>
      </c>
      <c r="AB21" s="13" t="str">
        <f>_xll.BDH("INDIGO IN Equity","IS_SH_PRO_EQY_MT_INV_NET_OF_TAX","FQ1 2024","FQ1 2024","Currency=INR","Period=FQ","BEST_FPERIOD_OVERRIDE=FQ","FILING_STATUS=MR","EQY_CONSOLIDATED=N","SCALING_FORMAT=MLN","FA_ADJUSTED=GAAP","Sort=A","Dates=H","DateFormat=P","Fill=—","Direction=H","UseDPDF=Y")</f>
        <v>—</v>
      </c>
      <c r="AC21" s="13" t="str">
        <f>_xll.BDH("INDIGO IN Equity","IS_SH_PRO_EQY_MT_INV_NET_OF_TAX","FQ2 2024","FQ2 2024","Currency=INR","Period=FQ","BEST_FPERIOD_OVERRIDE=FQ","FILING_STATUS=MR","EQY_CONSOLIDATED=N","SCALING_FORMAT=MLN","FA_ADJUSTED=GAAP","Sort=A","Dates=H","DateFormat=P","Fill=—","Direction=H","UseDPDF=Y")</f>
        <v>—</v>
      </c>
      <c r="AD21" s="13" t="str">
        <f>_xll.BDH("INDIGO IN Equity","IS_SH_PRO_EQY_MT_INV_NET_OF_TAX","FQ3 2024","FQ3 2024","Currency=INR","Period=FQ","BEST_FPERIOD_OVERRIDE=FQ","FILING_STATUS=MR","EQY_CONSOLIDATED=N","SCALING_FORMAT=MLN","FA_ADJUSTED=GAAP","Sort=A","Dates=H","DateFormat=P","Fill=—","Direction=H","UseDPDF=Y")</f>
        <v>—</v>
      </c>
      <c r="AE21" s="13" t="str">
        <f>_xll.BDH("INDIGO IN Equity","IS_SH_PRO_EQY_MT_INV_NET_OF_TAX","FQ4 2024","FQ4 2024","Currency=INR","Period=FQ","BEST_FPERIOD_OVERRIDE=FQ","FILING_STATUS=MR","EQY_CONSOLIDATED=N","SCALING_FORMAT=MLN","FA_ADJUSTED=GAAP","Sort=A","Dates=H","DateFormat=P","Fill=—","Direction=H","UseDPDF=Y")</f>
        <v>—</v>
      </c>
      <c r="AF21" s="13">
        <f>_xll.BDH("INDIGO IN Equity","IS_SH_PRO_EQY_MT_INV_NET_OF_TAX","FQ1 2025","FQ1 2025","Currency=INR","Period=FQ","BEST_FPERIOD_OVERRIDE=FQ","FILING_STATUS=MR","EQY_CONSOLIDATED=N","SCALING_FORMAT=MLN","FA_ADJUSTED=GAAP","Sort=A","Dates=H","DateFormat=P","Fill=—","Direction=H","UseDPDF=Y")</f>
        <v>0</v>
      </c>
      <c r="AG21" s="13" t="str">
        <f>_xll.BDH("INDIGO IN Equity","IS_SH_PRO_EQY_MT_INV_NET_OF_TAX","FQ2 2025","FQ2 2025","Currency=INR","Period=FQ","BEST_FPERIOD_OVERRIDE=FQ","FILING_STATUS=MR","EQY_CONSOLIDATED=N","SCALING_FORMAT=MLN","FA_ADJUSTED=GAAP","Sort=A","Dates=H","DateFormat=P","Fill=—","Direction=H","UseDPDF=Y")</f>
        <v>—</v>
      </c>
      <c r="AH21" s="13">
        <f>_xll.BDH("INDIGO IN Equity","IS_SH_PRO_EQY_MT_INV_NET_OF_TAX","FQ3 2025","FQ3 2025","Currency=INR","Period=FQ","BEST_FPERIOD_OVERRIDE=FQ","FILING_STATUS=MR","EQY_CONSOLIDATED=N","SCALING_FORMAT=MLN","FA_ADJUSTED=GAAP","Sort=A","Dates=H","DateFormat=P","Fill=—","Direction=H","UseDPDF=Y")</f>
        <v>0</v>
      </c>
      <c r="AI21" s="13" t="str">
        <f>_xll.BDH("INDIGO IN Equity","IS_SH_PRO_EQY_MT_INV_NET_OF_TAX","FQ4 2025","FQ4 2025","Currency=INR","Period=FQ","BEST_FPERIOD_OVERRIDE=FQ","FILING_STATUS=MR","EQY_CONSOLIDATED=N","SCALING_FORMAT=MLN","FA_ADJUSTED=GAAP","Sort=A","Dates=H","DateFormat=P","Fill=—","Direction=H","UseDPDF=Y")</f>
        <v>—</v>
      </c>
      <c r="AJ21" s="13">
        <f>_xll.BDH("INDIGO IN Equity","IS_SH_PRO_EQY_MT_INV_NET_OF_TAX","FQ1 2026","FQ1 2026","Currency=INR","Period=FQ","BEST_FPERIOD_OVERRIDE=FQ","FILING_STATUS=MR","EQY_CONSOLIDATED=N","SCALING_FORMAT=MLN","FA_ADJUSTED=GAAP","Sort=A","Dates=H","DateFormat=P","Fill=—","Direction=H","UseDPDF=Y")</f>
        <v>0</v>
      </c>
      <c r="AK21" s="13" t="str">
        <f>_xll.BDH("INDIGO IN Equity","IS_SH_PRO_EQY_MT_INV_NET_OF_TAX","FQ2 2026","FQ2 2026","Currency=INR","Period=FQ","BEST_FPERIOD_OVERRIDE=FQ","FILING_STATUS=MR","EQY_CONSOLIDATED=N","SCALING_FORMAT=MLN","FA_ADJUSTED=GAAP","Sort=A","Dates=H","DateFormat=P","Fill=—","Direction=H","UseDPDF=Y")</f>
        <v>—</v>
      </c>
      <c r="AL21" s="13" t="str">
        <f>_xll.BDH("INDIGO IN Equity","IS_SH_PRO_EQY_MT_INV_NET_OF_TAX","FQ3 2026","FQ3 2026","Currency=INR","Period=FQ","BEST_FPERIOD_OVERRIDE=FQ","FILING_STATUS=MR","EQY_CONSOLIDATED=N","SCALING_FORMAT=MLN","FA_ADJUSTED=GAAP","Sort=A","Dates=H","DateFormat=P","Fill=—","Direction=H","UseDPDF=Y")</f>
        <v>—</v>
      </c>
      <c r="AM21" s="13" t="str">
        <f>_xll.BDH("INDIGO IN Equity","IS_SH_PRO_EQY_MT_INV_NET_OF_TAX","FQ4 2026","FQ4 2026","Currency=INR","Period=FQ","BEST_FPERIOD_OVERRIDE=FQ","FILING_STATUS=MR","EQY_CONSOLIDATED=N","SCALING_FORMAT=MLN","FA_ADJUSTED=GAAP","Sort=A","Dates=H","DateFormat=P","Fill=—","Direction=H","UseDPDF=Y")</f>
        <v>—</v>
      </c>
      <c r="AN21" s="13" t="str">
        <f>_xll.BDH("INDIGO IN Equity","IS_SH_PRO_EQY_MT_INV_NET_OF_TAX","FQ1 2027","FQ1 2027","Currency=INR","Period=FQ","BEST_FPERIOD_OVERRIDE=FQ","FILING_STATUS=MR","EQY_CONSOLIDATED=N","SCALING_FORMAT=MLN","FA_ADJUSTED=GAAP","Sort=A","Dates=H","DateFormat=P","Fill=—","Direction=H","UseDPDF=Y")</f>
        <v>—</v>
      </c>
      <c r="AO21" s="13"/>
      <c r="AP21" s="13"/>
    </row>
    <row r="22" spans="1:42" x14ac:dyDescent="0.25">
      <c r="A22" s="10" t="s">
        <v>132</v>
      </c>
      <c r="B22" s="10" t="s">
        <v>133</v>
      </c>
      <c r="C22" s="11">
        <f>_xll.BDH("INDIGO IN Equity","IS_INC_BEF_XO_ITEM","FQ4 2017","FQ4 2017","Currency=INR","Period=FQ","BEST_FPERIOD_OVERRIDE=FQ","FILING_STATUS=MR","EQY_CONSOLIDATED=N","SCALING_FORMAT=MLN","Sort=A","Dates=H","DateFormat=P","Fill=—","Direction=H","UseDPDF=Y")</f>
        <v>4403.08</v>
      </c>
      <c r="D22" s="11">
        <f>_xll.BDH("INDIGO IN Equity","IS_INC_BEF_XO_ITEM","FQ1 2018","FQ1 2018","Currency=INR","Period=FQ","BEST_FPERIOD_OVERRIDE=FQ","FILING_STATUS=MR","EQY_CONSOLIDATED=N","SCALING_FORMAT=MLN","Sort=A","Dates=H","DateFormat=P","Fill=—","Direction=H","UseDPDF=Y")</f>
        <v>8111.46</v>
      </c>
      <c r="E22" s="11">
        <f>_xll.BDH("INDIGO IN Equity","IS_INC_BEF_XO_ITEM","FQ2 2018","FQ2 2018","Currency=INR","Period=FQ","BEST_FPERIOD_OVERRIDE=FQ","FILING_STATUS=MR","EQY_CONSOLIDATED=N","SCALING_FORMAT=MLN","Sort=A","Dates=H","DateFormat=P","Fill=—","Direction=H","UseDPDF=Y")</f>
        <v>5515.56</v>
      </c>
      <c r="F22" s="11">
        <f>_xll.BDH("INDIGO IN Equity","IS_INC_BEF_XO_ITEM","FQ3 2018","FQ3 2018","Currency=INR","Period=FQ","BEST_FPERIOD_OVERRIDE=FQ","FILING_STATUS=MR","EQY_CONSOLIDATED=N","SCALING_FORMAT=MLN","Sort=A","Dates=H","DateFormat=P","Fill=—","Direction=H","UseDPDF=Y")</f>
        <v>7620.3</v>
      </c>
      <c r="G22" s="11">
        <f>_xll.BDH("INDIGO IN Equity","IS_INC_BEF_XO_ITEM","FQ4 2018","FQ4 2018","Currency=INR","Period=FQ","BEST_FPERIOD_OVERRIDE=FQ","FILING_STATUS=MR","EQY_CONSOLIDATED=N","SCALING_FORMAT=MLN","Sort=A","Dates=H","DateFormat=P","Fill=—","Direction=H","UseDPDF=Y")</f>
        <v>1176.42</v>
      </c>
      <c r="H22" s="11">
        <f>_xll.BDH("INDIGO IN Equity","IS_INC_BEF_XO_ITEM","FQ1 2019","FQ1 2019","Currency=INR","Period=FQ","BEST_FPERIOD_OVERRIDE=FQ","FILING_STATUS=MR","EQY_CONSOLIDATED=N","SCALING_FORMAT=MLN","Sort=A","Dates=H","DateFormat=P","Fill=—","Direction=H","UseDPDF=Y")</f>
        <v>277.89999999999998</v>
      </c>
      <c r="I22" s="11">
        <f>_xll.BDH("INDIGO IN Equity","IS_INC_BEF_XO_ITEM","FQ2 2019","FQ2 2019","Currency=INR","Period=FQ","BEST_FPERIOD_OVERRIDE=FQ","FILING_STATUS=MR","EQY_CONSOLIDATED=N","SCALING_FORMAT=MLN","Sort=A","Dates=H","DateFormat=P","Fill=—","Direction=H","UseDPDF=Y")</f>
        <v>-6521.3</v>
      </c>
      <c r="J22" s="11">
        <f>_xll.BDH("INDIGO IN Equity","IS_INC_BEF_XO_ITEM","FQ3 2019","FQ3 2019","Currency=INR","Period=FQ","BEST_FPERIOD_OVERRIDE=FQ","FILING_STATUS=MR","EQY_CONSOLIDATED=N","SCALING_FORMAT=MLN","Sort=A","Dates=H","DateFormat=P","Fill=—","Direction=H","UseDPDF=Y")</f>
        <v>1908.88</v>
      </c>
      <c r="K22" s="11">
        <f>_xll.BDH("INDIGO IN Equity","IS_INC_BEF_XO_ITEM","FQ4 2019","FQ4 2019","Currency=INR","Period=FQ","BEST_FPERIOD_OVERRIDE=FQ","FILING_STATUS=MR","EQY_CONSOLIDATED=N","SCALING_FORMAT=MLN","Sort=A","Dates=H","DateFormat=P","Fill=—","Direction=H","UseDPDF=Y")</f>
        <v>5895.87</v>
      </c>
      <c r="L22" s="11">
        <f>_xll.BDH("INDIGO IN Equity","IS_INC_BEF_XO_ITEM","FQ1 2020","FQ1 2020","Currency=INR","Period=FQ","BEST_FPERIOD_OVERRIDE=FQ","FILING_STATUS=MR","EQY_CONSOLIDATED=N","SCALING_FORMAT=MLN","Sort=A","Dates=H","DateFormat=P","Fill=—","Direction=H","UseDPDF=Y")</f>
        <v>12004.68</v>
      </c>
      <c r="M22" s="11">
        <f>_xll.BDH("INDIGO IN Equity","IS_INC_BEF_XO_ITEM","FQ2 2020","FQ2 2020","Currency=INR","Period=FQ","BEST_FPERIOD_OVERRIDE=FQ","FILING_STATUS=MR","EQY_CONSOLIDATED=N","SCALING_FORMAT=MLN","Sort=A","Dates=H","DateFormat=P","Fill=—","Direction=H","UseDPDF=Y")</f>
        <v>-10656.11</v>
      </c>
      <c r="N22" s="11">
        <f>_xll.BDH("INDIGO IN Equity","IS_INC_BEF_XO_ITEM","FQ3 2020","FQ3 2020","Currency=INR","Period=FQ","BEST_FPERIOD_OVERRIDE=FQ","FILING_STATUS=MR","EQY_CONSOLIDATED=N","SCALING_FORMAT=MLN","Sort=A","Dates=H","DateFormat=P","Fill=—","Direction=H","UseDPDF=Y")</f>
        <v>4904.5</v>
      </c>
      <c r="O22" s="11">
        <f>_xll.BDH("INDIGO IN Equity","IS_INC_BEF_XO_ITEM","FQ4 2020","FQ4 2020","Currency=INR","Period=FQ","BEST_FPERIOD_OVERRIDE=FQ","FILING_STATUS=MR","EQY_CONSOLIDATED=N","SCALING_FORMAT=MLN","Sort=A","Dates=H","DateFormat=P","Fill=—","Direction=H","UseDPDF=Y")</f>
        <v>-8734.66</v>
      </c>
      <c r="P22" s="11">
        <f>_xll.BDH("INDIGO IN Equity","IS_INC_BEF_XO_ITEM","FQ1 2021","FQ1 2021","Currency=INR","Period=FQ","BEST_FPERIOD_OVERRIDE=FQ","FILING_STATUS=MR","EQY_CONSOLIDATED=N","SCALING_FORMAT=MLN","Sort=A","Dates=H","DateFormat=P","Fill=—","Direction=H","UseDPDF=Y")</f>
        <v>-28493.919999999998</v>
      </c>
      <c r="Q22" s="11">
        <f>_xll.BDH("INDIGO IN Equity","IS_INC_BEF_XO_ITEM","FQ2 2021","FQ2 2021","Currency=INR","Period=FQ","BEST_FPERIOD_OVERRIDE=FQ","FILING_STATUS=MR","EQY_CONSOLIDATED=N","SCALING_FORMAT=MLN","Sort=A","Dates=H","DateFormat=P","Fill=—","Direction=H","UseDPDF=Y")</f>
        <v>-11947.7</v>
      </c>
      <c r="R22" s="11">
        <f>_xll.BDH("INDIGO IN Equity","IS_INC_BEF_XO_ITEM","FQ3 2021","FQ3 2021","Currency=INR","Period=FQ","BEST_FPERIOD_OVERRIDE=FQ","FILING_STATUS=MR","EQY_CONSOLIDATED=N","SCALING_FORMAT=MLN","Sort=A","Dates=H","DateFormat=P","Fill=—","Direction=H","UseDPDF=Y")</f>
        <v>-6265.81</v>
      </c>
      <c r="S22" s="11">
        <f>_xll.BDH("INDIGO IN Equity","IS_INC_BEF_XO_ITEM","FQ4 2021","FQ4 2021","Currency=INR","Period=FQ","BEST_FPERIOD_OVERRIDE=FQ","FILING_STATUS=MR","EQY_CONSOLIDATED=N","SCALING_FORMAT=MLN","Sort=A","Dates=H","DateFormat=P","Fill=—","Direction=H","UseDPDF=Y")</f>
        <v>-11590.49</v>
      </c>
      <c r="T22" s="11">
        <f>_xll.BDH("INDIGO IN Equity","IS_INC_BEF_XO_ITEM","FQ1 2022","FQ1 2022","Currency=INR","Period=FQ","BEST_FPERIOD_OVERRIDE=FQ","FILING_STATUS=MR","EQY_CONSOLIDATED=N","SCALING_FORMAT=MLN","Sort=A","Dates=H","DateFormat=P","Fill=—","Direction=H","UseDPDF=Y")</f>
        <v>-31792.65</v>
      </c>
      <c r="U22" s="11">
        <f>_xll.BDH("INDIGO IN Equity","IS_INC_BEF_XO_ITEM","FQ2 2022","FQ2 2022","Currency=INR","Period=FQ","BEST_FPERIOD_OVERRIDE=FQ","FILING_STATUS=MR","EQY_CONSOLIDATED=N","SCALING_FORMAT=MLN","Sort=A","Dates=H","DateFormat=P","Fill=—","Direction=H","UseDPDF=Y")</f>
        <v>-14404.2</v>
      </c>
      <c r="V22" s="11">
        <f>_xll.BDH("INDIGO IN Equity","IS_INC_BEF_XO_ITEM","FQ3 2022","FQ3 2022","Currency=INR","Period=FQ","BEST_FPERIOD_OVERRIDE=FQ","FILING_STATUS=MR","EQY_CONSOLIDATED=N","SCALING_FORMAT=MLN","Sort=A","Dates=H","DateFormat=P","Fill=—","Direction=H","UseDPDF=Y")</f>
        <v>1284.5</v>
      </c>
      <c r="W22" s="11">
        <f>_xll.BDH("INDIGO IN Equity","IS_INC_BEF_XO_ITEM","FQ4 2022","FQ4 2022","Currency=INR","Period=FQ","BEST_FPERIOD_OVERRIDE=FQ","FILING_STATUS=MR","EQY_CONSOLIDATED=N","SCALING_FORMAT=MLN","Sort=A","Dates=H","DateFormat=P","Fill=—","Direction=H","UseDPDF=Y")</f>
        <v>-16797.900000000001</v>
      </c>
      <c r="X22" s="11">
        <f>_xll.BDH("INDIGO IN Equity","IS_INC_BEF_XO_ITEM","FQ1 2023","FQ1 2023","Currency=INR","Period=FQ","BEST_FPERIOD_OVERRIDE=FQ","FILING_STATUS=MR","EQY_CONSOLIDATED=N","SCALING_FORMAT=MLN","Sort=A","Dates=H","DateFormat=P","Fill=—","Direction=H","UseDPDF=Y")</f>
        <v>-10654.23</v>
      </c>
      <c r="Y22" s="11">
        <f>_xll.BDH("INDIGO IN Equity","IS_INC_BEF_XO_ITEM","FQ2 2023","FQ2 2023","Currency=INR","Period=FQ","BEST_FPERIOD_OVERRIDE=FQ","FILING_STATUS=MR","EQY_CONSOLIDATED=N","SCALING_FORMAT=MLN","Sort=A","Dates=H","DateFormat=P","Fill=—","Direction=H","UseDPDF=Y")</f>
        <v>-15854.85</v>
      </c>
      <c r="Z22" s="11">
        <f>_xll.BDH("INDIGO IN Equity","IS_INC_BEF_XO_ITEM","FQ3 2023","FQ3 2023","Currency=INR","Period=FQ","BEST_FPERIOD_OVERRIDE=FQ","FILING_STATUS=MR","EQY_CONSOLIDATED=N","SCALING_FORMAT=MLN","Sort=A","Dates=H","DateFormat=P","Fill=—","Direction=H","UseDPDF=Y")</f>
        <v>14181.72</v>
      </c>
      <c r="AA22" s="11">
        <f>_xll.BDH("INDIGO IN Equity","IS_INC_BEF_XO_ITEM","FQ4 2023","FQ4 2023","Currency=INR","Period=FQ","BEST_FPERIOD_OVERRIDE=FQ","FILING_STATUS=MR","EQY_CONSOLIDATED=N","SCALING_FORMAT=MLN","Sort=A","Dates=H","DateFormat=P","Fill=—","Direction=H","UseDPDF=Y")</f>
        <v>9160.2000000000007</v>
      </c>
      <c r="AB22" s="11">
        <f>_xll.BDH("INDIGO IN Equity","IS_INC_BEF_XO_ITEM","FQ1 2024","FQ1 2024","Currency=INR","Period=FQ","BEST_FPERIOD_OVERRIDE=FQ","FILING_STATUS=MR","EQY_CONSOLIDATED=N","SCALING_FORMAT=MLN","Sort=A","Dates=H","DateFormat=P","Fill=—","Direction=H","UseDPDF=Y")</f>
        <v>30872.46</v>
      </c>
      <c r="AC22" s="11">
        <f>_xll.BDH("INDIGO IN Equity","IS_INC_BEF_XO_ITEM","FQ2 2024","FQ2 2024","Currency=INR","Period=FQ","BEST_FPERIOD_OVERRIDE=FQ","FILING_STATUS=MR","EQY_CONSOLIDATED=N","SCALING_FORMAT=MLN","Sort=A","Dates=H","DateFormat=P","Fill=—","Direction=H","UseDPDF=Y")</f>
        <v>1878.6</v>
      </c>
      <c r="AD22" s="11">
        <f>_xll.BDH("INDIGO IN Equity","IS_INC_BEF_XO_ITEM","FQ3 2024","FQ3 2024","Currency=INR","Period=FQ","BEST_FPERIOD_OVERRIDE=FQ","FILING_STATUS=MR","EQY_CONSOLIDATED=N","SCALING_FORMAT=MLN","Sort=A","Dates=H","DateFormat=P","Fill=—","Direction=H","UseDPDF=Y")</f>
        <v>29984.94</v>
      </c>
      <c r="AE22" s="11">
        <f>_xll.BDH("INDIGO IN Equity","IS_INC_BEF_XO_ITEM","FQ4 2024","FQ4 2024","Currency=INR","Period=FQ","BEST_FPERIOD_OVERRIDE=FQ","FILING_STATUS=MR","EQY_CONSOLIDATED=N","SCALING_FORMAT=MLN","Sort=A","Dates=H","DateFormat=P","Fill=—","Direction=H","UseDPDF=Y")</f>
        <v>18938.849999999999</v>
      </c>
      <c r="AF22" s="11">
        <f>_xll.BDH("INDIGO IN Equity","IS_INC_BEF_XO_ITEM","FQ1 2025","FQ1 2025","Currency=INR","Period=FQ","BEST_FPERIOD_OVERRIDE=FQ","FILING_STATUS=MR","EQY_CONSOLIDATED=N","SCALING_FORMAT=MLN","Sort=A","Dates=H","DateFormat=P","Fill=—","Direction=H","UseDPDF=Y")</f>
        <v>27267</v>
      </c>
      <c r="AG22" s="11">
        <f>_xll.BDH("INDIGO IN Equity","IS_INC_BEF_XO_ITEM","FQ2 2025","FQ2 2025","Currency=INR","Period=FQ","BEST_FPERIOD_OVERRIDE=FQ","FILING_STATUS=MR","EQY_CONSOLIDATED=N","SCALING_FORMAT=MLN","Sort=A","Dates=H","DateFormat=P","Fill=—","Direction=H","UseDPDF=Y")</f>
        <v>-9888</v>
      </c>
      <c r="AH22" s="11">
        <f>_xll.BDH("INDIGO IN Equity","IS_INC_BEF_XO_ITEM","FQ3 2025","FQ3 2025","Currency=INR","Period=FQ","BEST_FPERIOD_OVERRIDE=FQ","FILING_STATUS=MR","EQY_CONSOLIDATED=N","SCALING_FORMAT=MLN","Sort=A","Dates=H","DateFormat=P","Fill=—","Direction=H","UseDPDF=Y")</f>
        <v>24420</v>
      </c>
      <c r="AI22" s="11">
        <f>_xll.BDH("INDIGO IN Equity","IS_INC_BEF_XO_ITEM","FQ4 2025","FQ4 2025","Currency=INR","Period=FQ","BEST_FPERIOD_OVERRIDE=FQ","FILING_STATUS=MR","EQY_CONSOLIDATED=N","SCALING_FORMAT=MLN","Sort=A","Dates=H","DateFormat=P","Fill=—","Direction=H","UseDPDF=Y")</f>
        <v>30734</v>
      </c>
      <c r="AJ22" s="11">
        <f>_xll.BDH("INDIGO IN Equity","IS_INC_BEF_XO_ITEM","FQ1 2026","FQ1 2026","Currency=INR","Period=FQ","BEST_FPERIOD_OVERRIDE=FQ","FILING_STATUS=MR","EQY_CONSOLIDATED=N","SCALING_FORMAT=MLN","Sort=A","Dates=H","DateFormat=P","Fill=—","Direction=H","UseDPDF=Y")</f>
        <v>21611</v>
      </c>
      <c r="AK22" s="11">
        <f>_xll.BDH("INDIGO IN Equity","IS_INC_BEF_XO_ITEM","FQ2 2026","FQ2 2026","Currency=INR","Period=FQ","BEST_FPERIOD_OVERRIDE=FQ","FILING_STATUS=MR","EQY_CONSOLIDATED=N","SCALING_FORMAT=MLN","Sort=A","Dates=H","DateFormat=P","Fill=—","Direction=H","UseDPDF=Y")</f>
        <v>-26141</v>
      </c>
      <c r="AL22" s="11">
        <f>_xll.BDH("INDIGO IN Equity","IS_INC_BEF_XO_ITEM","FQ3 2026","FQ3 2026","Currency=INR","Period=FQ","BEST_FPERIOD_OVERRIDE=FQ","FILING_STATUS=MR","EQY_CONSOLIDATED=N","SCALING_FORMAT=MLN","Sort=A","Dates=H","DateFormat=P","Fill=—","Direction=H","UseDPDF=Y")</f>
        <v>6126</v>
      </c>
      <c r="AM22" s="11">
        <f>_xll.BDH("INDIGO IN Equity","IS_INC_BEF_XO_ITEM","FQ4 2026","FQ4 2026","Currency=INR","Period=FQ","BEST_FPERIOD_OVERRIDE=FQ","FILING_STATUS=MR","EQY_CONSOLIDATED=N","SCALING_FORMAT=MLN","Sort=A","Dates=H","DateFormat=P","Fill=—","Direction=H","UseDPDF=Y")</f>
        <v>-26621</v>
      </c>
      <c r="AN22" s="11">
        <f>_xll.BDH("INDIGO IN Equity","IS_INC_BEF_XO_ITEM","FQ1 2027","FQ1 2027","Currency=INR","Period=FQ","BEST_FPERIOD_OVERRIDE=FQ","FILING_STATUS=MR","EQY_CONSOLIDATED=N","SCALING_FORMAT=MLN","Sort=A","Dates=H","DateFormat=P","Fill=—","Direction=H","UseDPDF=Y")</f>
        <v>-3815</v>
      </c>
      <c r="AO22" s="11">
        <v>-27881.5</v>
      </c>
      <c r="AP22" s="11">
        <v>10847.666666666701</v>
      </c>
    </row>
    <row r="23" spans="1:42" x14ac:dyDescent="0.25">
      <c r="A23" s="12" t="s">
        <v>134</v>
      </c>
      <c r="B23" s="12" t="s">
        <v>135</v>
      </c>
      <c r="C23" s="13">
        <f>_xll.BDH("INDIGO IN Equity","XO_GL_NET_OF_TAX","FQ4 2017","FQ4 2017","Currency=INR","Period=FQ","BEST_FPERIOD_OVERRIDE=FQ","FILING_STATUS=MR","EQY_CONSOLIDATED=N","SCALING_FORMAT=MLN","Sort=A","Dates=H","DateFormat=P","Fill=—","Direction=H","UseDPDF=Y")</f>
        <v>0</v>
      </c>
      <c r="D23" s="13">
        <f>_xll.BDH("INDIGO IN Equity","XO_GL_NET_OF_TAX","FQ1 2018","FQ1 2018","Currency=INR","Period=FQ","BEST_FPERIOD_OVERRIDE=FQ","FILING_STATUS=MR","EQY_CONSOLIDATED=N","SCALING_FORMAT=MLN","Sort=A","Dates=H","DateFormat=P","Fill=—","Direction=H","UseDPDF=Y")</f>
        <v>0</v>
      </c>
      <c r="E23" s="13">
        <f>_xll.BDH("INDIGO IN Equity","XO_GL_NET_OF_TAX","FQ2 2018","FQ2 2018","Currency=INR","Period=FQ","BEST_FPERIOD_OVERRIDE=FQ","FILING_STATUS=MR","EQY_CONSOLIDATED=N","SCALING_FORMAT=MLN","Sort=A","Dates=H","DateFormat=P","Fill=—","Direction=H","UseDPDF=Y")</f>
        <v>0</v>
      </c>
      <c r="F23" s="13">
        <f>_xll.BDH("INDIGO IN Equity","XO_GL_NET_OF_TAX","FQ3 2018","FQ3 2018","Currency=INR","Period=FQ","BEST_FPERIOD_OVERRIDE=FQ","FILING_STATUS=MR","EQY_CONSOLIDATED=N","SCALING_FORMAT=MLN","Sort=A","Dates=H","DateFormat=P","Fill=—","Direction=H","UseDPDF=Y")</f>
        <v>0</v>
      </c>
      <c r="G23" s="13">
        <f>_xll.BDH("INDIGO IN Equity","XO_GL_NET_OF_TAX","FQ4 2018","FQ4 2018","Currency=INR","Period=FQ","BEST_FPERIOD_OVERRIDE=FQ","FILING_STATUS=MR","EQY_CONSOLIDATED=N","SCALING_FORMAT=MLN","Sort=A","Dates=H","DateFormat=P","Fill=—","Direction=H","UseDPDF=Y")</f>
        <v>0</v>
      </c>
      <c r="H23" s="13">
        <f>_xll.BDH("INDIGO IN Equity","XO_GL_NET_OF_TAX","FQ1 2019","FQ1 2019","Currency=INR","Period=FQ","BEST_FPERIOD_OVERRIDE=FQ","FILING_STATUS=MR","EQY_CONSOLIDATED=N","SCALING_FORMAT=MLN","Sort=A","Dates=H","DateFormat=P","Fill=—","Direction=H","UseDPDF=Y")</f>
        <v>0</v>
      </c>
      <c r="I23" s="13">
        <f>_xll.BDH("INDIGO IN Equity","XO_GL_NET_OF_TAX","FQ2 2019","FQ2 2019","Currency=INR","Period=FQ","BEST_FPERIOD_OVERRIDE=FQ","FILING_STATUS=MR","EQY_CONSOLIDATED=N","SCALING_FORMAT=MLN","Sort=A","Dates=H","DateFormat=P","Fill=—","Direction=H","UseDPDF=Y")</f>
        <v>0</v>
      </c>
      <c r="J23" s="13">
        <f>_xll.BDH("INDIGO IN Equity","XO_GL_NET_OF_TAX","FQ3 2019","FQ3 2019","Currency=INR","Period=FQ","BEST_FPERIOD_OVERRIDE=FQ","FILING_STATUS=MR","EQY_CONSOLIDATED=N","SCALING_FORMAT=MLN","Sort=A","Dates=H","DateFormat=P","Fill=—","Direction=H","UseDPDF=Y")</f>
        <v>0</v>
      </c>
      <c r="K23" s="13">
        <f>_xll.BDH("INDIGO IN Equity","XO_GL_NET_OF_TAX","FQ4 2019","FQ4 2019","Currency=INR","Period=FQ","BEST_FPERIOD_OVERRIDE=FQ","FILING_STATUS=MR","EQY_CONSOLIDATED=N","SCALING_FORMAT=MLN","Sort=A","Dates=H","DateFormat=P","Fill=—","Direction=H","UseDPDF=Y")</f>
        <v>0</v>
      </c>
      <c r="L23" s="13">
        <f>_xll.BDH("INDIGO IN Equity","XO_GL_NET_OF_TAX","FQ1 2020","FQ1 2020","Currency=INR","Period=FQ","BEST_FPERIOD_OVERRIDE=FQ","FILING_STATUS=MR","EQY_CONSOLIDATED=N","SCALING_FORMAT=MLN","Sort=A","Dates=H","DateFormat=P","Fill=—","Direction=H","UseDPDF=Y")</f>
        <v>0</v>
      </c>
      <c r="M23" s="13">
        <f>_xll.BDH("INDIGO IN Equity","XO_GL_NET_OF_TAX","FQ2 2020","FQ2 2020","Currency=INR","Period=FQ","BEST_FPERIOD_OVERRIDE=FQ","FILING_STATUS=MR","EQY_CONSOLIDATED=N","SCALING_FORMAT=MLN","Sort=A","Dates=H","DateFormat=P","Fill=—","Direction=H","UseDPDF=Y")</f>
        <v>0</v>
      </c>
      <c r="N23" s="13">
        <f>_xll.BDH("INDIGO IN Equity","XO_GL_NET_OF_TAX","FQ3 2020","FQ3 2020","Currency=INR","Period=FQ","BEST_FPERIOD_OVERRIDE=FQ","FILING_STATUS=MR","EQY_CONSOLIDATED=N","SCALING_FORMAT=MLN","Sort=A","Dates=H","DateFormat=P","Fill=—","Direction=H","UseDPDF=Y")</f>
        <v>0</v>
      </c>
      <c r="O23" s="13">
        <f>_xll.BDH("INDIGO IN Equity","XO_GL_NET_OF_TAX","FQ4 2020","FQ4 2020","Currency=INR","Period=FQ","BEST_FPERIOD_OVERRIDE=FQ","FILING_STATUS=MR","EQY_CONSOLIDATED=N","SCALING_FORMAT=MLN","Sort=A","Dates=H","DateFormat=P","Fill=—","Direction=H","UseDPDF=Y")</f>
        <v>0</v>
      </c>
      <c r="P23" s="13">
        <f>_xll.BDH("INDIGO IN Equity","XO_GL_NET_OF_TAX","FQ1 2021","FQ1 2021","Currency=INR","Period=FQ","BEST_FPERIOD_OVERRIDE=FQ","FILING_STATUS=MR","EQY_CONSOLIDATED=N","SCALING_FORMAT=MLN","Sort=A","Dates=H","DateFormat=P","Fill=—","Direction=H","UseDPDF=Y")</f>
        <v>0</v>
      </c>
      <c r="Q23" s="13">
        <f>_xll.BDH("INDIGO IN Equity","XO_GL_NET_OF_TAX","FQ2 2021","FQ2 2021","Currency=INR","Period=FQ","BEST_FPERIOD_OVERRIDE=FQ","FILING_STATUS=MR","EQY_CONSOLIDATED=N","SCALING_FORMAT=MLN","Sort=A","Dates=H","DateFormat=P","Fill=—","Direction=H","UseDPDF=Y")</f>
        <v>0</v>
      </c>
      <c r="R23" s="13">
        <f>_xll.BDH("INDIGO IN Equity","XO_GL_NET_OF_TAX","FQ3 2021","FQ3 2021","Currency=INR","Period=FQ","BEST_FPERIOD_OVERRIDE=FQ","FILING_STATUS=MR","EQY_CONSOLIDATED=N","SCALING_FORMAT=MLN","Sort=A","Dates=H","DateFormat=P","Fill=—","Direction=H","UseDPDF=Y")</f>
        <v>0</v>
      </c>
      <c r="S23" s="13">
        <f>_xll.BDH("INDIGO IN Equity","XO_GL_NET_OF_TAX","FQ4 2021","FQ4 2021","Currency=INR","Period=FQ","BEST_FPERIOD_OVERRIDE=FQ","FILING_STATUS=MR","EQY_CONSOLIDATED=N","SCALING_FORMAT=MLN","Sort=A","Dates=H","DateFormat=P","Fill=—","Direction=H","UseDPDF=Y")</f>
        <v>0</v>
      </c>
      <c r="T23" s="13">
        <f>_xll.BDH("INDIGO IN Equity","XO_GL_NET_OF_TAX","FQ1 2022","FQ1 2022","Currency=INR","Period=FQ","BEST_FPERIOD_OVERRIDE=FQ","FILING_STATUS=MR","EQY_CONSOLIDATED=N","SCALING_FORMAT=MLN","Sort=A","Dates=H","DateFormat=P","Fill=—","Direction=H","UseDPDF=Y")</f>
        <v>0</v>
      </c>
      <c r="U23" s="13">
        <f>_xll.BDH("INDIGO IN Equity","XO_GL_NET_OF_TAX","FQ2 2022","FQ2 2022","Currency=INR","Period=FQ","BEST_FPERIOD_OVERRIDE=FQ","FILING_STATUS=MR","EQY_CONSOLIDATED=N","SCALING_FORMAT=MLN","Sort=A","Dates=H","DateFormat=P","Fill=—","Direction=H","UseDPDF=Y")</f>
        <v>0</v>
      </c>
      <c r="V23" s="13">
        <f>_xll.BDH("INDIGO IN Equity","XO_GL_NET_OF_TAX","FQ3 2022","FQ3 2022","Currency=INR","Period=FQ","BEST_FPERIOD_OVERRIDE=FQ","FILING_STATUS=MR","EQY_CONSOLIDATED=N","SCALING_FORMAT=MLN","Sort=A","Dates=H","DateFormat=P","Fill=—","Direction=H","UseDPDF=Y")</f>
        <v>0</v>
      </c>
      <c r="W23" s="13">
        <f>_xll.BDH("INDIGO IN Equity","XO_GL_NET_OF_TAX","FQ4 2022","FQ4 2022","Currency=INR","Period=FQ","BEST_FPERIOD_OVERRIDE=FQ","FILING_STATUS=MR","EQY_CONSOLIDATED=N","SCALING_FORMAT=MLN","Sort=A","Dates=H","DateFormat=P","Fill=—","Direction=H","UseDPDF=Y")</f>
        <v>0</v>
      </c>
      <c r="X23" s="13">
        <f>_xll.BDH("INDIGO IN Equity","XO_GL_NET_OF_TAX","FQ1 2023","FQ1 2023","Currency=INR","Period=FQ","BEST_FPERIOD_OVERRIDE=FQ","FILING_STATUS=MR","EQY_CONSOLIDATED=N","SCALING_FORMAT=MLN","Sort=A","Dates=H","DateFormat=P","Fill=—","Direction=H","UseDPDF=Y")</f>
        <v>0</v>
      </c>
      <c r="Y23" s="13">
        <f>_xll.BDH("INDIGO IN Equity","XO_GL_NET_OF_TAX","FQ2 2023","FQ2 2023","Currency=INR","Period=FQ","BEST_FPERIOD_OVERRIDE=FQ","FILING_STATUS=MR","EQY_CONSOLIDATED=N","SCALING_FORMAT=MLN","Sort=A","Dates=H","DateFormat=P","Fill=—","Direction=H","UseDPDF=Y")</f>
        <v>0</v>
      </c>
      <c r="Z23" s="13">
        <f>_xll.BDH("INDIGO IN Equity","XO_GL_NET_OF_TAX","FQ3 2023","FQ3 2023","Currency=INR","Period=FQ","BEST_FPERIOD_OVERRIDE=FQ","FILING_STATUS=MR","EQY_CONSOLIDATED=N","SCALING_FORMAT=MLN","Sort=A","Dates=H","DateFormat=P","Fill=—","Direction=H","UseDPDF=Y")</f>
        <v>0</v>
      </c>
      <c r="AA23" s="13">
        <f>_xll.BDH("INDIGO IN Equity","XO_GL_NET_OF_TAX","FQ4 2023","FQ4 2023","Currency=INR","Period=FQ","BEST_FPERIOD_OVERRIDE=FQ","FILING_STATUS=MR","EQY_CONSOLIDATED=N","SCALING_FORMAT=MLN","Sort=A","Dates=H","DateFormat=P","Fill=—","Direction=H","UseDPDF=Y")</f>
        <v>0</v>
      </c>
      <c r="AB23" s="13">
        <f>_xll.BDH("INDIGO IN Equity","XO_GL_NET_OF_TAX","FQ1 2024","FQ1 2024","Currency=INR","Period=FQ","BEST_FPERIOD_OVERRIDE=FQ","FILING_STATUS=MR","EQY_CONSOLIDATED=N","SCALING_FORMAT=MLN","Sort=A","Dates=H","DateFormat=P","Fill=—","Direction=H","UseDPDF=Y")</f>
        <v>0</v>
      </c>
      <c r="AC23" s="13">
        <f>_xll.BDH("INDIGO IN Equity","XO_GL_NET_OF_TAX","FQ2 2024","FQ2 2024","Currency=INR","Period=FQ","BEST_FPERIOD_OVERRIDE=FQ","FILING_STATUS=MR","EQY_CONSOLIDATED=N","SCALING_FORMAT=MLN","Sort=A","Dates=H","DateFormat=P","Fill=—","Direction=H","UseDPDF=Y")</f>
        <v>0</v>
      </c>
      <c r="AD23" s="13">
        <f>_xll.BDH("INDIGO IN Equity","XO_GL_NET_OF_TAX","FQ3 2024","FQ3 2024","Currency=INR","Period=FQ","BEST_FPERIOD_OVERRIDE=FQ","FILING_STATUS=MR","EQY_CONSOLIDATED=N","SCALING_FORMAT=MLN","Sort=A","Dates=H","DateFormat=P","Fill=—","Direction=H","UseDPDF=Y")</f>
        <v>0</v>
      </c>
      <c r="AE23" s="13">
        <f>_xll.BDH("INDIGO IN Equity","XO_GL_NET_OF_TAX","FQ4 2024","FQ4 2024","Currency=INR","Period=FQ","BEST_FPERIOD_OVERRIDE=FQ","FILING_STATUS=MR","EQY_CONSOLIDATED=N","SCALING_FORMAT=MLN","Sort=A","Dates=H","DateFormat=P","Fill=—","Direction=H","UseDPDF=Y")</f>
        <v>0</v>
      </c>
      <c r="AF23" s="13">
        <f>_xll.BDH("INDIGO IN Equity","XO_GL_NET_OF_TAX","FQ1 2025","FQ1 2025","Currency=INR","Period=FQ","BEST_FPERIOD_OVERRIDE=FQ","FILING_STATUS=MR","EQY_CONSOLIDATED=N","SCALING_FORMAT=MLN","Sort=A","Dates=H","DateFormat=P","Fill=—","Direction=H","UseDPDF=Y")</f>
        <v>0</v>
      </c>
      <c r="AG23" s="13">
        <f>_xll.BDH("INDIGO IN Equity","XO_GL_NET_OF_TAX","FQ2 2025","FQ2 2025","Currency=INR","Period=FQ","BEST_FPERIOD_OVERRIDE=FQ","FILING_STATUS=MR","EQY_CONSOLIDATED=N","SCALING_FORMAT=MLN","Sort=A","Dates=H","DateFormat=P","Fill=—","Direction=H","UseDPDF=Y")</f>
        <v>0</v>
      </c>
      <c r="AH23" s="13">
        <f>_xll.BDH("INDIGO IN Equity","XO_GL_NET_OF_TAX","FQ3 2025","FQ3 2025","Currency=INR","Period=FQ","BEST_FPERIOD_OVERRIDE=FQ","FILING_STATUS=MR","EQY_CONSOLIDATED=N","SCALING_FORMAT=MLN","Sort=A","Dates=H","DateFormat=P","Fill=—","Direction=H","UseDPDF=Y")</f>
        <v>0</v>
      </c>
      <c r="AI23" s="13">
        <f>_xll.BDH("INDIGO IN Equity","XO_GL_NET_OF_TAX","FQ4 2025","FQ4 2025","Currency=INR","Period=FQ","BEST_FPERIOD_OVERRIDE=FQ","FILING_STATUS=MR","EQY_CONSOLIDATED=N","SCALING_FORMAT=MLN","Sort=A","Dates=H","DateFormat=P","Fill=—","Direction=H","UseDPDF=Y")</f>
        <v>0</v>
      </c>
      <c r="AJ23" s="13">
        <f>_xll.BDH("INDIGO IN Equity","XO_GL_NET_OF_TAX","FQ1 2026","FQ1 2026","Currency=INR","Period=FQ","BEST_FPERIOD_OVERRIDE=FQ","FILING_STATUS=MR","EQY_CONSOLIDATED=N","SCALING_FORMAT=MLN","Sort=A","Dates=H","DateFormat=P","Fill=—","Direction=H","UseDPDF=Y")</f>
        <v>0</v>
      </c>
      <c r="AK23" s="13">
        <f>_xll.BDH("INDIGO IN Equity","XO_GL_NET_OF_TAX","FQ2 2026","FQ2 2026","Currency=INR","Period=FQ","BEST_FPERIOD_OVERRIDE=FQ","FILING_STATUS=MR","EQY_CONSOLIDATED=N","SCALING_FORMAT=MLN","Sort=A","Dates=H","DateFormat=P","Fill=—","Direction=H","UseDPDF=Y")</f>
        <v>0</v>
      </c>
      <c r="AL23" s="13">
        <f>_xll.BDH("INDIGO IN Equity","XO_GL_NET_OF_TAX","FQ3 2026","FQ3 2026","Currency=INR","Period=FQ","BEST_FPERIOD_OVERRIDE=FQ","FILING_STATUS=MR","EQY_CONSOLIDATED=N","SCALING_FORMAT=MLN","Sort=A","Dates=H","DateFormat=P","Fill=—","Direction=H","UseDPDF=Y")</f>
        <v>0</v>
      </c>
      <c r="AM23" s="13">
        <f>_xll.BDH("INDIGO IN Equity","XO_GL_NET_OF_TAX","FQ4 2026","FQ4 2026","Currency=INR","Period=FQ","BEST_FPERIOD_OVERRIDE=FQ","FILING_STATUS=MR","EQY_CONSOLIDATED=N","SCALING_FORMAT=MLN","Sort=A","Dates=H","DateFormat=P","Fill=—","Direction=H","UseDPDF=Y")</f>
        <v>0</v>
      </c>
      <c r="AN23" s="13">
        <f>_xll.BDH("INDIGO IN Equity","XO_GL_NET_OF_TAX","FQ1 2027","FQ1 2027","Currency=INR","Period=FQ","BEST_FPERIOD_OVERRIDE=FQ","FILING_STATUS=MR","EQY_CONSOLIDATED=N","SCALING_FORMAT=MLN","Sort=A","Dates=H","DateFormat=P","Fill=—","Direction=H","UseDPDF=Y")</f>
        <v>0</v>
      </c>
      <c r="AO23" s="13"/>
      <c r="AP23" s="13"/>
    </row>
    <row r="24" spans="1:42" x14ac:dyDescent="0.25">
      <c r="A24" s="12" t="s">
        <v>136</v>
      </c>
      <c r="B24" s="12" t="s">
        <v>137</v>
      </c>
      <c r="C24" s="13">
        <f>_xll.BDH("INDIGO IN Equity","IS_DISCONTINUED_OPERATIONS","FQ4 2017","FQ4 2017","Currency=INR","Period=FQ","BEST_FPERIOD_OVERRIDE=FQ","FILING_STATUS=MR","EQY_CONSOLIDATED=N","SCALING_FORMAT=MLN","Sort=A","Dates=H","DateFormat=P","Fill=—","Direction=H","UseDPDF=Y")</f>
        <v>0</v>
      </c>
      <c r="D24" s="13">
        <f>_xll.BDH("INDIGO IN Equity","IS_DISCONTINUED_OPERATIONS","FQ1 2018","FQ1 2018","Currency=INR","Period=FQ","BEST_FPERIOD_OVERRIDE=FQ","FILING_STATUS=MR","EQY_CONSOLIDATED=N","SCALING_FORMAT=MLN","Sort=A","Dates=H","DateFormat=P","Fill=—","Direction=H","UseDPDF=Y")</f>
        <v>0</v>
      </c>
      <c r="E24" s="13">
        <f>_xll.BDH("INDIGO IN Equity","IS_DISCONTINUED_OPERATIONS","FQ2 2018","FQ2 2018","Currency=INR","Period=FQ","BEST_FPERIOD_OVERRIDE=FQ","FILING_STATUS=MR","EQY_CONSOLIDATED=N","SCALING_FORMAT=MLN","Sort=A","Dates=H","DateFormat=P","Fill=—","Direction=H","UseDPDF=Y")</f>
        <v>0</v>
      </c>
      <c r="F24" s="13">
        <f>_xll.BDH("INDIGO IN Equity","IS_DISCONTINUED_OPERATIONS","FQ3 2018","FQ3 2018","Currency=INR","Period=FQ","BEST_FPERIOD_OVERRIDE=FQ","FILING_STATUS=MR","EQY_CONSOLIDATED=N","SCALING_FORMAT=MLN","Sort=A","Dates=H","DateFormat=P","Fill=—","Direction=H","UseDPDF=Y")</f>
        <v>0</v>
      </c>
      <c r="G24" s="13">
        <f>_xll.BDH("INDIGO IN Equity","IS_DISCONTINUED_OPERATIONS","FQ4 2018","FQ4 2018","Currency=INR","Period=FQ","BEST_FPERIOD_OVERRIDE=FQ","FILING_STATUS=MR","EQY_CONSOLIDATED=N","SCALING_FORMAT=MLN","Sort=A","Dates=H","DateFormat=P","Fill=—","Direction=H","UseDPDF=Y")</f>
        <v>0</v>
      </c>
      <c r="H24" s="13">
        <f>_xll.BDH("INDIGO IN Equity","IS_DISCONTINUED_OPERATIONS","FQ1 2019","FQ1 2019","Currency=INR","Period=FQ","BEST_FPERIOD_OVERRIDE=FQ","FILING_STATUS=MR","EQY_CONSOLIDATED=N","SCALING_FORMAT=MLN","Sort=A","Dates=H","DateFormat=P","Fill=—","Direction=H","UseDPDF=Y")</f>
        <v>0</v>
      </c>
      <c r="I24" s="13">
        <f>_xll.BDH("INDIGO IN Equity","IS_DISCONTINUED_OPERATIONS","FQ2 2019","FQ2 2019","Currency=INR","Period=FQ","BEST_FPERIOD_OVERRIDE=FQ","FILING_STATUS=MR","EQY_CONSOLIDATED=N","SCALING_FORMAT=MLN","Sort=A","Dates=H","DateFormat=P","Fill=—","Direction=H","UseDPDF=Y")</f>
        <v>0</v>
      </c>
      <c r="J24" s="13">
        <f>_xll.BDH("INDIGO IN Equity","IS_DISCONTINUED_OPERATIONS","FQ3 2019","FQ3 2019","Currency=INR","Period=FQ","BEST_FPERIOD_OVERRIDE=FQ","FILING_STATUS=MR","EQY_CONSOLIDATED=N","SCALING_FORMAT=MLN","Sort=A","Dates=H","DateFormat=P","Fill=—","Direction=H","UseDPDF=Y")</f>
        <v>0</v>
      </c>
      <c r="K24" s="13">
        <f>_xll.BDH("INDIGO IN Equity","IS_DISCONTINUED_OPERATIONS","FQ4 2019","FQ4 2019","Currency=INR","Period=FQ","BEST_FPERIOD_OVERRIDE=FQ","FILING_STATUS=MR","EQY_CONSOLIDATED=N","SCALING_FORMAT=MLN","Sort=A","Dates=H","DateFormat=P","Fill=—","Direction=H","UseDPDF=Y")</f>
        <v>0</v>
      </c>
      <c r="L24" s="13">
        <f>_xll.BDH("INDIGO IN Equity","IS_DISCONTINUED_OPERATIONS","FQ1 2020","FQ1 2020","Currency=INR","Period=FQ","BEST_FPERIOD_OVERRIDE=FQ","FILING_STATUS=MR","EQY_CONSOLIDATED=N","SCALING_FORMAT=MLN","Sort=A","Dates=H","DateFormat=P","Fill=—","Direction=H","UseDPDF=Y")</f>
        <v>0</v>
      </c>
      <c r="M24" s="13">
        <f>_xll.BDH("INDIGO IN Equity","IS_DISCONTINUED_OPERATIONS","FQ2 2020","FQ2 2020","Currency=INR","Period=FQ","BEST_FPERIOD_OVERRIDE=FQ","FILING_STATUS=MR","EQY_CONSOLIDATED=N","SCALING_FORMAT=MLN","Sort=A","Dates=H","DateFormat=P","Fill=—","Direction=H","UseDPDF=Y")</f>
        <v>0</v>
      </c>
      <c r="N24" s="13">
        <f>_xll.BDH("INDIGO IN Equity","IS_DISCONTINUED_OPERATIONS","FQ3 2020","FQ3 2020","Currency=INR","Period=FQ","BEST_FPERIOD_OVERRIDE=FQ","FILING_STATUS=MR","EQY_CONSOLIDATED=N","SCALING_FORMAT=MLN","Sort=A","Dates=H","DateFormat=P","Fill=—","Direction=H","UseDPDF=Y")</f>
        <v>0</v>
      </c>
      <c r="O24" s="13">
        <f>_xll.BDH("INDIGO IN Equity","IS_DISCONTINUED_OPERATIONS","FQ4 2020","FQ4 2020","Currency=INR","Period=FQ","BEST_FPERIOD_OVERRIDE=FQ","FILING_STATUS=MR","EQY_CONSOLIDATED=N","SCALING_FORMAT=MLN","Sort=A","Dates=H","DateFormat=P","Fill=—","Direction=H","UseDPDF=Y")</f>
        <v>0</v>
      </c>
      <c r="P24" s="13">
        <f>_xll.BDH("INDIGO IN Equity","IS_DISCONTINUED_OPERATIONS","FQ1 2021","FQ1 2021","Currency=INR","Period=FQ","BEST_FPERIOD_OVERRIDE=FQ","FILING_STATUS=MR","EQY_CONSOLIDATED=N","SCALING_FORMAT=MLN","Sort=A","Dates=H","DateFormat=P","Fill=—","Direction=H","UseDPDF=Y")</f>
        <v>0</v>
      </c>
      <c r="Q24" s="13">
        <f>_xll.BDH("INDIGO IN Equity","IS_DISCONTINUED_OPERATIONS","FQ2 2021","FQ2 2021","Currency=INR","Period=FQ","BEST_FPERIOD_OVERRIDE=FQ","FILING_STATUS=MR","EQY_CONSOLIDATED=N","SCALING_FORMAT=MLN","Sort=A","Dates=H","DateFormat=P","Fill=—","Direction=H","UseDPDF=Y")</f>
        <v>0</v>
      </c>
      <c r="R24" s="13">
        <f>_xll.BDH("INDIGO IN Equity","IS_DISCONTINUED_OPERATIONS","FQ3 2021","FQ3 2021","Currency=INR","Period=FQ","BEST_FPERIOD_OVERRIDE=FQ","FILING_STATUS=MR","EQY_CONSOLIDATED=N","SCALING_FORMAT=MLN","Sort=A","Dates=H","DateFormat=P","Fill=—","Direction=H","UseDPDF=Y")</f>
        <v>0</v>
      </c>
      <c r="S24" s="13">
        <f>_xll.BDH("INDIGO IN Equity","IS_DISCONTINUED_OPERATIONS","FQ4 2021","FQ4 2021","Currency=INR","Period=FQ","BEST_FPERIOD_OVERRIDE=FQ","FILING_STATUS=MR","EQY_CONSOLIDATED=N","SCALING_FORMAT=MLN","Sort=A","Dates=H","DateFormat=P","Fill=—","Direction=H","UseDPDF=Y")</f>
        <v>0</v>
      </c>
      <c r="T24" s="13">
        <f>_xll.BDH("INDIGO IN Equity","IS_DISCONTINUED_OPERATIONS","FQ1 2022","FQ1 2022","Currency=INR","Period=FQ","BEST_FPERIOD_OVERRIDE=FQ","FILING_STATUS=MR","EQY_CONSOLIDATED=N","SCALING_FORMAT=MLN","Sort=A","Dates=H","DateFormat=P","Fill=—","Direction=H","UseDPDF=Y")</f>
        <v>0</v>
      </c>
      <c r="U24" s="13">
        <f>_xll.BDH("INDIGO IN Equity","IS_DISCONTINUED_OPERATIONS","FQ2 2022","FQ2 2022","Currency=INR","Period=FQ","BEST_FPERIOD_OVERRIDE=FQ","FILING_STATUS=MR","EQY_CONSOLIDATED=N","SCALING_FORMAT=MLN","Sort=A","Dates=H","DateFormat=P","Fill=—","Direction=H","UseDPDF=Y")</f>
        <v>0</v>
      </c>
      <c r="V24" s="13">
        <f>_xll.BDH("INDIGO IN Equity","IS_DISCONTINUED_OPERATIONS","FQ3 2022","FQ3 2022","Currency=INR","Period=FQ","BEST_FPERIOD_OVERRIDE=FQ","FILING_STATUS=MR","EQY_CONSOLIDATED=N","SCALING_FORMAT=MLN","Sort=A","Dates=H","DateFormat=P","Fill=—","Direction=H","UseDPDF=Y")</f>
        <v>0</v>
      </c>
      <c r="W24" s="13">
        <f>_xll.BDH("INDIGO IN Equity","IS_DISCONTINUED_OPERATIONS","FQ4 2022","FQ4 2022","Currency=INR","Period=FQ","BEST_FPERIOD_OVERRIDE=FQ","FILING_STATUS=MR","EQY_CONSOLIDATED=N","SCALING_FORMAT=MLN","Sort=A","Dates=H","DateFormat=P","Fill=—","Direction=H","UseDPDF=Y")</f>
        <v>0</v>
      </c>
      <c r="X24" s="13">
        <f>_xll.BDH("INDIGO IN Equity","IS_DISCONTINUED_OPERATIONS","FQ1 2023","FQ1 2023","Currency=INR","Period=FQ","BEST_FPERIOD_OVERRIDE=FQ","FILING_STATUS=MR","EQY_CONSOLIDATED=N","SCALING_FORMAT=MLN","Sort=A","Dates=H","DateFormat=P","Fill=—","Direction=H","UseDPDF=Y")</f>
        <v>0</v>
      </c>
      <c r="Y24" s="13">
        <f>_xll.BDH("INDIGO IN Equity","IS_DISCONTINUED_OPERATIONS","FQ2 2023","FQ2 2023","Currency=INR","Period=FQ","BEST_FPERIOD_OVERRIDE=FQ","FILING_STATUS=MR","EQY_CONSOLIDATED=N","SCALING_FORMAT=MLN","Sort=A","Dates=H","DateFormat=P","Fill=—","Direction=H","UseDPDF=Y")</f>
        <v>0</v>
      </c>
      <c r="Z24" s="13">
        <f>_xll.BDH("INDIGO IN Equity","IS_DISCONTINUED_OPERATIONS","FQ3 2023","FQ3 2023","Currency=INR","Period=FQ","BEST_FPERIOD_OVERRIDE=FQ","FILING_STATUS=MR","EQY_CONSOLIDATED=N","SCALING_FORMAT=MLN","Sort=A","Dates=H","DateFormat=P","Fill=—","Direction=H","UseDPDF=Y")</f>
        <v>0</v>
      </c>
      <c r="AA24" s="13">
        <f>_xll.BDH("INDIGO IN Equity","IS_DISCONTINUED_OPERATIONS","FQ4 2023","FQ4 2023","Currency=INR","Period=FQ","BEST_FPERIOD_OVERRIDE=FQ","FILING_STATUS=MR","EQY_CONSOLIDATED=N","SCALING_FORMAT=MLN","Sort=A","Dates=H","DateFormat=P","Fill=—","Direction=H","UseDPDF=Y")</f>
        <v>0</v>
      </c>
      <c r="AB24" s="13">
        <f>_xll.BDH("INDIGO IN Equity","IS_DISCONTINUED_OPERATIONS","FQ1 2024","FQ1 2024","Currency=INR","Period=FQ","BEST_FPERIOD_OVERRIDE=FQ","FILING_STATUS=MR","EQY_CONSOLIDATED=N","SCALING_FORMAT=MLN","Sort=A","Dates=H","DateFormat=P","Fill=—","Direction=H","UseDPDF=Y")</f>
        <v>0</v>
      </c>
      <c r="AC24" s="13">
        <f>_xll.BDH("INDIGO IN Equity","IS_DISCONTINUED_OPERATIONS","FQ2 2024","FQ2 2024","Currency=INR","Period=FQ","BEST_FPERIOD_OVERRIDE=FQ","FILING_STATUS=MR","EQY_CONSOLIDATED=N","SCALING_FORMAT=MLN","Sort=A","Dates=H","DateFormat=P","Fill=—","Direction=H","UseDPDF=Y")</f>
        <v>0</v>
      </c>
      <c r="AD24" s="13">
        <f>_xll.BDH("INDIGO IN Equity","IS_DISCONTINUED_OPERATIONS","FQ3 2024","FQ3 2024","Currency=INR","Period=FQ","BEST_FPERIOD_OVERRIDE=FQ","FILING_STATUS=MR","EQY_CONSOLIDATED=N","SCALING_FORMAT=MLN","Sort=A","Dates=H","DateFormat=P","Fill=—","Direction=H","UseDPDF=Y")</f>
        <v>0</v>
      </c>
      <c r="AE24" s="13">
        <f>_xll.BDH("INDIGO IN Equity","IS_DISCONTINUED_OPERATIONS","FQ4 2024","FQ4 2024","Currency=INR","Period=FQ","BEST_FPERIOD_OVERRIDE=FQ","FILING_STATUS=MR","EQY_CONSOLIDATED=N","SCALING_FORMAT=MLN","Sort=A","Dates=H","DateFormat=P","Fill=—","Direction=H","UseDPDF=Y")</f>
        <v>0</v>
      </c>
      <c r="AF24" s="13">
        <f>_xll.BDH("INDIGO IN Equity","IS_DISCONTINUED_OPERATIONS","FQ1 2025","FQ1 2025","Currency=INR","Period=FQ","BEST_FPERIOD_OVERRIDE=FQ","FILING_STATUS=MR","EQY_CONSOLIDATED=N","SCALING_FORMAT=MLN","Sort=A","Dates=H","DateFormat=P","Fill=—","Direction=H","UseDPDF=Y")</f>
        <v>0</v>
      </c>
      <c r="AG24" s="13">
        <f>_xll.BDH("INDIGO IN Equity","IS_DISCONTINUED_OPERATIONS","FQ2 2025","FQ2 2025","Currency=INR","Period=FQ","BEST_FPERIOD_OVERRIDE=FQ","FILING_STATUS=MR","EQY_CONSOLIDATED=N","SCALING_FORMAT=MLN","Sort=A","Dates=H","DateFormat=P","Fill=—","Direction=H","UseDPDF=Y")</f>
        <v>0</v>
      </c>
      <c r="AH24" s="13">
        <f>_xll.BDH("INDIGO IN Equity","IS_DISCONTINUED_OPERATIONS","FQ3 2025","FQ3 2025","Currency=INR","Period=FQ","BEST_FPERIOD_OVERRIDE=FQ","FILING_STATUS=MR","EQY_CONSOLIDATED=N","SCALING_FORMAT=MLN","Sort=A","Dates=H","DateFormat=P","Fill=—","Direction=H","UseDPDF=Y")</f>
        <v>0</v>
      </c>
      <c r="AI24" s="13">
        <f>_xll.BDH("INDIGO IN Equity","IS_DISCONTINUED_OPERATIONS","FQ4 2025","FQ4 2025","Currency=INR","Period=FQ","BEST_FPERIOD_OVERRIDE=FQ","FILING_STATUS=MR","EQY_CONSOLIDATED=N","SCALING_FORMAT=MLN","Sort=A","Dates=H","DateFormat=P","Fill=—","Direction=H","UseDPDF=Y")</f>
        <v>0</v>
      </c>
      <c r="AJ24" s="13">
        <f>_xll.BDH("INDIGO IN Equity","IS_DISCONTINUED_OPERATIONS","FQ1 2026","FQ1 2026","Currency=INR","Period=FQ","BEST_FPERIOD_OVERRIDE=FQ","FILING_STATUS=MR","EQY_CONSOLIDATED=N","SCALING_FORMAT=MLN","Sort=A","Dates=H","DateFormat=P","Fill=—","Direction=H","UseDPDF=Y")</f>
        <v>0</v>
      </c>
      <c r="AK24" s="13">
        <f>_xll.BDH("INDIGO IN Equity","IS_DISCONTINUED_OPERATIONS","FQ2 2026","FQ2 2026","Currency=INR","Period=FQ","BEST_FPERIOD_OVERRIDE=FQ","FILING_STATUS=MR","EQY_CONSOLIDATED=N","SCALING_FORMAT=MLN","Sort=A","Dates=H","DateFormat=P","Fill=—","Direction=H","UseDPDF=Y")</f>
        <v>0</v>
      </c>
      <c r="AL24" s="13">
        <f>_xll.BDH("INDIGO IN Equity","IS_DISCONTINUED_OPERATIONS","FQ3 2026","FQ3 2026","Currency=INR","Period=FQ","BEST_FPERIOD_OVERRIDE=FQ","FILING_STATUS=MR","EQY_CONSOLIDATED=N","SCALING_FORMAT=MLN","Sort=A","Dates=H","DateFormat=P","Fill=—","Direction=H","UseDPDF=Y")</f>
        <v>0</v>
      </c>
      <c r="AM24" s="13">
        <f>_xll.BDH("INDIGO IN Equity","IS_DISCONTINUED_OPERATIONS","FQ4 2026","FQ4 2026","Currency=INR","Period=FQ","BEST_FPERIOD_OVERRIDE=FQ","FILING_STATUS=MR","EQY_CONSOLIDATED=N","SCALING_FORMAT=MLN","Sort=A","Dates=H","DateFormat=P","Fill=—","Direction=H","UseDPDF=Y")</f>
        <v>0</v>
      </c>
      <c r="AN24" s="13">
        <f>_xll.BDH("INDIGO IN Equity","IS_DISCONTINUED_OPERATIONS","FQ1 2027","FQ1 2027","Currency=INR","Period=FQ","BEST_FPERIOD_OVERRIDE=FQ","FILING_STATUS=MR","EQY_CONSOLIDATED=N","SCALING_FORMAT=MLN","Sort=A","Dates=H","DateFormat=P","Fill=—","Direction=H","UseDPDF=Y")</f>
        <v>0</v>
      </c>
      <c r="AO24" s="13"/>
      <c r="AP24" s="13"/>
    </row>
    <row r="25" spans="1:42" x14ac:dyDescent="0.25">
      <c r="A25" s="12" t="s">
        <v>138</v>
      </c>
      <c r="B25" s="12" t="s">
        <v>139</v>
      </c>
      <c r="C25" s="13">
        <f>_xll.BDH("INDIGO IN Equity","EXTRAORD_ITEMS_ACCOUNTING_CHANGS","FQ4 2017","FQ4 2017","Currency=INR","Period=FQ","BEST_FPERIOD_OVERRIDE=FQ","FILING_STATUS=MR","EQY_CONSOLIDATED=N","SCALING_FORMAT=MLN","Sort=A","Dates=H","DateFormat=P","Fill=—","Direction=H","UseDPDF=Y")</f>
        <v>0</v>
      </c>
      <c r="D25" s="13">
        <f>_xll.BDH("INDIGO IN Equity","EXTRAORD_ITEMS_ACCOUNTING_CHANGS","FQ1 2018","FQ1 2018","Currency=INR","Period=FQ","BEST_FPERIOD_OVERRIDE=FQ","FILING_STATUS=MR","EQY_CONSOLIDATED=N","SCALING_FORMAT=MLN","Sort=A","Dates=H","DateFormat=P","Fill=—","Direction=H","UseDPDF=Y")</f>
        <v>0</v>
      </c>
      <c r="E25" s="13">
        <f>_xll.BDH("INDIGO IN Equity","EXTRAORD_ITEMS_ACCOUNTING_CHANGS","FQ2 2018","FQ2 2018","Currency=INR","Period=FQ","BEST_FPERIOD_OVERRIDE=FQ","FILING_STATUS=MR","EQY_CONSOLIDATED=N","SCALING_FORMAT=MLN","Sort=A","Dates=H","DateFormat=P","Fill=—","Direction=H","UseDPDF=Y")</f>
        <v>0</v>
      </c>
      <c r="F25" s="13">
        <f>_xll.BDH("INDIGO IN Equity","EXTRAORD_ITEMS_ACCOUNTING_CHANGS","FQ3 2018","FQ3 2018","Currency=INR","Period=FQ","BEST_FPERIOD_OVERRIDE=FQ","FILING_STATUS=MR","EQY_CONSOLIDATED=N","SCALING_FORMAT=MLN","Sort=A","Dates=H","DateFormat=P","Fill=—","Direction=H","UseDPDF=Y")</f>
        <v>0</v>
      </c>
      <c r="G25" s="13">
        <f>_xll.BDH("INDIGO IN Equity","EXTRAORD_ITEMS_ACCOUNTING_CHANGS","FQ4 2018","FQ4 2018","Currency=INR","Period=FQ","BEST_FPERIOD_OVERRIDE=FQ","FILING_STATUS=MR","EQY_CONSOLIDATED=N","SCALING_FORMAT=MLN","Sort=A","Dates=H","DateFormat=P","Fill=—","Direction=H","UseDPDF=Y")</f>
        <v>0</v>
      </c>
      <c r="H25" s="13">
        <f>_xll.BDH("INDIGO IN Equity","EXTRAORD_ITEMS_ACCOUNTING_CHANGS","FQ1 2019","FQ1 2019","Currency=INR","Period=FQ","BEST_FPERIOD_OVERRIDE=FQ","FILING_STATUS=MR","EQY_CONSOLIDATED=N","SCALING_FORMAT=MLN","Sort=A","Dates=H","DateFormat=P","Fill=—","Direction=H","UseDPDF=Y")</f>
        <v>0</v>
      </c>
      <c r="I25" s="13">
        <f>_xll.BDH("INDIGO IN Equity","EXTRAORD_ITEMS_ACCOUNTING_CHANGS","FQ2 2019","FQ2 2019","Currency=INR","Period=FQ","BEST_FPERIOD_OVERRIDE=FQ","FILING_STATUS=MR","EQY_CONSOLIDATED=N","SCALING_FORMAT=MLN","Sort=A","Dates=H","DateFormat=P","Fill=—","Direction=H","UseDPDF=Y")</f>
        <v>0</v>
      </c>
      <c r="J25" s="13">
        <f>_xll.BDH("INDIGO IN Equity","EXTRAORD_ITEMS_ACCOUNTING_CHANGS","FQ3 2019","FQ3 2019","Currency=INR","Period=FQ","BEST_FPERIOD_OVERRIDE=FQ","FILING_STATUS=MR","EQY_CONSOLIDATED=N","SCALING_FORMAT=MLN","Sort=A","Dates=H","DateFormat=P","Fill=—","Direction=H","UseDPDF=Y")</f>
        <v>0</v>
      </c>
      <c r="K25" s="13">
        <f>_xll.BDH("INDIGO IN Equity","EXTRAORD_ITEMS_ACCOUNTING_CHANGS","FQ4 2019","FQ4 2019","Currency=INR","Period=FQ","BEST_FPERIOD_OVERRIDE=FQ","FILING_STATUS=MR","EQY_CONSOLIDATED=N","SCALING_FORMAT=MLN","Sort=A","Dates=H","DateFormat=P","Fill=—","Direction=H","UseDPDF=Y")</f>
        <v>0</v>
      </c>
      <c r="L25" s="13">
        <f>_xll.BDH("INDIGO IN Equity","EXTRAORD_ITEMS_ACCOUNTING_CHANGS","FQ1 2020","FQ1 2020","Currency=INR","Period=FQ","BEST_FPERIOD_OVERRIDE=FQ","FILING_STATUS=MR","EQY_CONSOLIDATED=N","SCALING_FORMAT=MLN","Sort=A","Dates=H","DateFormat=P","Fill=—","Direction=H","UseDPDF=Y")</f>
        <v>0</v>
      </c>
      <c r="M25" s="13">
        <f>_xll.BDH("INDIGO IN Equity","EXTRAORD_ITEMS_ACCOUNTING_CHANGS","FQ2 2020","FQ2 2020","Currency=INR","Period=FQ","BEST_FPERIOD_OVERRIDE=FQ","FILING_STATUS=MR","EQY_CONSOLIDATED=N","SCALING_FORMAT=MLN","Sort=A","Dates=H","DateFormat=P","Fill=—","Direction=H","UseDPDF=Y")</f>
        <v>0</v>
      </c>
      <c r="N25" s="13">
        <f>_xll.BDH("INDIGO IN Equity","EXTRAORD_ITEMS_ACCOUNTING_CHANGS","FQ3 2020","FQ3 2020","Currency=INR","Period=FQ","BEST_FPERIOD_OVERRIDE=FQ","FILING_STATUS=MR","EQY_CONSOLIDATED=N","SCALING_FORMAT=MLN","Sort=A","Dates=H","DateFormat=P","Fill=—","Direction=H","UseDPDF=Y")</f>
        <v>0</v>
      </c>
      <c r="O25" s="13">
        <f>_xll.BDH("INDIGO IN Equity","EXTRAORD_ITEMS_ACCOUNTING_CHANGS","FQ4 2020","FQ4 2020","Currency=INR","Period=FQ","BEST_FPERIOD_OVERRIDE=FQ","FILING_STATUS=MR","EQY_CONSOLIDATED=N","SCALING_FORMAT=MLN","Sort=A","Dates=H","DateFormat=P","Fill=—","Direction=H","UseDPDF=Y")</f>
        <v>0</v>
      </c>
      <c r="P25" s="13">
        <f>_xll.BDH("INDIGO IN Equity","EXTRAORD_ITEMS_ACCOUNTING_CHANGS","FQ1 2021","FQ1 2021","Currency=INR","Period=FQ","BEST_FPERIOD_OVERRIDE=FQ","FILING_STATUS=MR","EQY_CONSOLIDATED=N","SCALING_FORMAT=MLN","Sort=A","Dates=H","DateFormat=P","Fill=—","Direction=H","UseDPDF=Y")</f>
        <v>0</v>
      </c>
      <c r="Q25" s="13">
        <f>_xll.BDH("INDIGO IN Equity","EXTRAORD_ITEMS_ACCOUNTING_CHANGS","FQ2 2021","FQ2 2021","Currency=INR","Period=FQ","BEST_FPERIOD_OVERRIDE=FQ","FILING_STATUS=MR","EQY_CONSOLIDATED=N","SCALING_FORMAT=MLN","Sort=A","Dates=H","DateFormat=P","Fill=—","Direction=H","UseDPDF=Y")</f>
        <v>0</v>
      </c>
      <c r="R25" s="13">
        <f>_xll.BDH("INDIGO IN Equity","EXTRAORD_ITEMS_ACCOUNTING_CHANGS","FQ3 2021","FQ3 2021","Currency=INR","Period=FQ","BEST_FPERIOD_OVERRIDE=FQ","FILING_STATUS=MR","EQY_CONSOLIDATED=N","SCALING_FORMAT=MLN","Sort=A","Dates=H","DateFormat=P","Fill=—","Direction=H","UseDPDF=Y")</f>
        <v>0</v>
      </c>
      <c r="S25" s="13">
        <f>_xll.BDH("INDIGO IN Equity","EXTRAORD_ITEMS_ACCOUNTING_CHANGS","FQ4 2021","FQ4 2021","Currency=INR","Period=FQ","BEST_FPERIOD_OVERRIDE=FQ","FILING_STATUS=MR","EQY_CONSOLIDATED=N","SCALING_FORMAT=MLN","Sort=A","Dates=H","DateFormat=P","Fill=—","Direction=H","UseDPDF=Y")</f>
        <v>0</v>
      </c>
      <c r="T25" s="13">
        <f>_xll.BDH("INDIGO IN Equity","EXTRAORD_ITEMS_ACCOUNTING_CHANGS","FQ1 2022","FQ1 2022","Currency=INR","Period=FQ","BEST_FPERIOD_OVERRIDE=FQ","FILING_STATUS=MR","EQY_CONSOLIDATED=N","SCALING_FORMAT=MLN","Sort=A","Dates=H","DateFormat=P","Fill=—","Direction=H","UseDPDF=Y")</f>
        <v>0</v>
      </c>
      <c r="U25" s="13">
        <f>_xll.BDH("INDIGO IN Equity","EXTRAORD_ITEMS_ACCOUNTING_CHANGS","FQ2 2022","FQ2 2022","Currency=INR","Period=FQ","BEST_FPERIOD_OVERRIDE=FQ","FILING_STATUS=MR","EQY_CONSOLIDATED=N","SCALING_FORMAT=MLN","Sort=A","Dates=H","DateFormat=P","Fill=—","Direction=H","UseDPDF=Y")</f>
        <v>0</v>
      </c>
      <c r="V25" s="13">
        <f>_xll.BDH("INDIGO IN Equity","EXTRAORD_ITEMS_ACCOUNTING_CHANGS","FQ3 2022","FQ3 2022","Currency=INR","Period=FQ","BEST_FPERIOD_OVERRIDE=FQ","FILING_STATUS=MR","EQY_CONSOLIDATED=N","SCALING_FORMAT=MLN","Sort=A","Dates=H","DateFormat=P","Fill=—","Direction=H","UseDPDF=Y")</f>
        <v>0</v>
      </c>
      <c r="W25" s="13">
        <f>_xll.BDH("INDIGO IN Equity","EXTRAORD_ITEMS_ACCOUNTING_CHANGS","FQ4 2022","FQ4 2022","Currency=INR","Period=FQ","BEST_FPERIOD_OVERRIDE=FQ","FILING_STATUS=MR","EQY_CONSOLIDATED=N","SCALING_FORMAT=MLN","Sort=A","Dates=H","DateFormat=P","Fill=—","Direction=H","UseDPDF=Y")</f>
        <v>0</v>
      </c>
      <c r="X25" s="13">
        <f>_xll.BDH("INDIGO IN Equity","EXTRAORD_ITEMS_ACCOUNTING_CHANGS","FQ1 2023","FQ1 2023","Currency=INR","Period=FQ","BEST_FPERIOD_OVERRIDE=FQ","FILING_STATUS=MR","EQY_CONSOLIDATED=N","SCALING_FORMAT=MLN","Sort=A","Dates=H","DateFormat=P","Fill=—","Direction=H","UseDPDF=Y")</f>
        <v>0</v>
      </c>
      <c r="Y25" s="13">
        <f>_xll.BDH("INDIGO IN Equity","EXTRAORD_ITEMS_ACCOUNTING_CHANGS","FQ2 2023","FQ2 2023","Currency=INR","Period=FQ","BEST_FPERIOD_OVERRIDE=FQ","FILING_STATUS=MR","EQY_CONSOLIDATED=N","SCALING_FORMAT=MLN","Sort=A","Dates=H","DateFormat=P","Fill=—","Direction=H","UseDPDF=Y")</f>
        <v>0</v>
      </c>
      <c r="Z25" s="13">
        <f>_xll.BDH("INDIGO IN Equity","EXTRAORD_ITEMS_ACCOUNTING_CHANGS","FQ3 2023","FQ3 2023","Currency=INR","Period=FQ","BEST_FPERIOD_OVERRIDE=FQ","FILING_STATUS=MR","EQY_CONSOLIDATED=N","SCALING_FORMAT=MLN","Sort=A","Dates=H","DateFormat=P","Fill=—","Direction=H","UseDPDF=Y")</f>
        <v>0</v>
      </c>
      <c r="AA25" s="13">
        <f>_xll.BDH("INDIGO IN Equity","EXTRAORD_ITEMS_ACCOUNTING_CHANGS","FQ4 2023","FQ4 2023","Currency=INR","Period=FQ","BEST_FPERIOD_OVERRIDE=FQ","FILING_STATUS=MR","EQY_CONSOLIDATED=N","SCALING_FORMAT=MLN","Sort=A","Dates=H","DateFormat=P","Fill=—","Direction=H","UseDPDF=Y")</f>
        <v>0</v>
      </c>
      <c r="AB25" s="13">
        <f>_xll.BDH("INDIGO IN Equity","EXTRAORD_ITEMS_ACCOUNTING_CHANGS","FQ1 2024","FQ1 2024","Currency=INR","Period=FQ","BEST_FPERIOD_OVERRIDE=FQ","FILING_STATUS=MR","EQY_CONSOLIDATED=N","SCALING_FORMAT=MLN","Sort=A","Dates=H","DateFormat=P","Fill=—","Direction=H","UseDPDF=Y")</f>
        <v>0</v>
      </c>
      <c r="AC25" s="13">
        <f>_xll.BDH("INDIGO IN Equity","EXTRAORD_ITEMS_ACCOUNTING_CHANGS","FQ2 2024","FQ2 2024","Currency=INR","Period=FQ","BEST_FPERIOD_OVERRIDE=FQ","FILING_STATUS=MR","EQY_CONSOLIDATED=N","SCALING_FORMAT=MLN","Sort=A","Dates=H","DateFormat=P","Fill=—","Direction=H","UseDPDF=Y")</f>
        <v>0</v>
      </c>
      <c r="AD25" s="13">
        <f>_xll.BDH("INDIGO IN Equity","EXTRAORD_ITEMS_ACCOUNTING_CHANGS","FQ3 2024","FQ3 2024","Currency=INR","Period=FQ","BEST_FPERIOD_OVERRIDE=FQ","FILING_STATUS=MR","EQY_CONSOLIDATED=N","SCALING_FORMAT=MLN","Sort=A","Dates=H","DateFormat=P","Fill=—","Direction=H","UseDPDF=Y")</f>
        <v>0</v>
      </c>
      <c r="AE25" s="13">
        <f>_xll.BDH("INDIGO IN Equity","EXTRAORD_ITEMS_ACCOUNTING_CHANGS","FQ4 2024","FQ4 2024","Currency=INR","Period=FQ","BEST_FPERIOD_OVERRIDE=FQ","FILING_STATUS=MR","EQY_CONSOLIDATED=N","SCALING_FORMAT=MLN","Sort=A","Dates=H","DateFormat=P","Fill=—","Direction=H","UseDPDF=Y")</f>
        <v>0</v>
      </c>
      <c r="AF25" s="13">
        <f>_xll.BDH("INDIGO IN Equity","EXTRAORD_ITEMS_ACCOUNTING_CHANGS","FQ1 2025","FQ1 2025","Currency=INR","Period=FQ","BEST_FPERIOD_OVERRIDE=FQ","FILING_STATUS=MR","EQY_CONSOLIDATED=N","SCALING_FORMAT=MLN","Sort=A","Dates=H","DateFormat=P","Fill=—","Direction=H","UseDPDF=Y")</f>
        <v>0</v>
      </c>
      <c r="AG25" s="13">
        <f>_xll.BDH("INDIGO IN Equity","EXTRAORD_ITEMS_ACCOUNTING_CHANGS","FQ2 2025","FQ2 2025","Currency=INR","Period=FQ","BEST_FPERIOD_OVERRIDE=FQ","FILING_STATUS=MR","EQY_CONSOLIDATED=N","SCALING_FORMAT=MLN","Sort=A","Dates=H","DateFormat=P","Fill=—","Direction=H","UseDPDF=Y")</f>
        <v>0</v>
      </c>
      <c r="AH25" s="13">
        <f>_xll.BDH("INDIGO IN Equity","EXTRAORD_ITEMS_ACCOUNTING_CHANGS","FQ3 2025","FQ3 2025","Currency=INR","Period=FQ","BEST_FPERIOD_OVERRIDE=FQ","FILING_STATUS=MR","EQY_CONSOLIDATED=N","SCALING_FORMAT=MLN","Sort=A","Dates=H","DateFormat=P","Fill=—","Direction=H","UseDPDF=Y")</f>
        <v>0</v>
      </c>
      <c r="AI25" s="13">
        <f>_xll.BDH("INDIGO IN Equity","EXTRAORD_ITEMS_ACCOUNTING_CHANGS","FQ4 2025","FQ4 2025","Currency=INR","Period=FQ","BEST_FPERIOD_OVERRIDE=FQ","FILING_STATUS=MR","EQY_CONSOLIDATED=N","SCALING_FORMAT=MLN","Sort=A","Dates=H","DateFormat=P","Fill=—","Direction=H","UseDPDF=Y")</f>
        <v>0</v>
      </c>
      <c r="AJ25" s="13">
        <f>_xll.BDH("INDIGO IN Equity","EXTRAORD_ITEMS_ACCOUNTING_CHANGS","FQ1 2026","FQ1 2026","Currency=INR","Period=FQ","BEST_FPERIOD_OVERRIDE=FQ","FILING_STATUS=MR","EQY_CONSOLIDATED=N","SCALING_FORMAT=MLN","Sort=A","Dates=H","DateFormat=P","Fill=—","Direction=H","UseDPDF=Y")</f>
        <v>0</v>
      </c>
      <c r="AK25" s="13">
        <f>_xll.BDH("INDIGO IN Equity","EXTRAORD_ITEMS_ACCOUNTING_CHANGS","FQ2 2026","FQ2 2026","Currency=INR","Period=FQ","BEST_FPERIOD_OVERRIDE=FQ","FILING_STATUS=MR","EQY_CONSOLIDATED=N","SCALING_FORMAT=MLN","Sort=A","Dates=H","DateFormat=P","Fill=—","Direction=H","UseDPDF=Y")</f>
        <v>0</v>
      </c>
      <c r="AL25" s="13">
        <f>_xll.BDH("INDIGO IN Equity","EXTRAORD_ITEMS_ACCOUNTING_CHANGS","FQ3 2026","FQ3 2026","Currency=INR","Period=FQ","BEST_FPERIOD_OVERRIDE=FQ","FILING_STATUS=MR","EQY_CONSOLIDATED=N","SCALING_FORMAT=MLN","Sort=A","Dates=H","DateFormat=P","Fill=—","Direction=H","UseDPDF=Y")</f>
        <v>0</v>
      </c>
      <c r="AM25" s="13">
        <f>_xll.BDH("INDIGO IN Equity","EXTRAORD_ITEMS_ACCOUNTING_CHANGS","FQ4 2026","FQ4 2026","Currency=INR","Period=FQ","BEST_FPERIOD_OVERRIDE=FQ","FILING_STATUS=MR","EQY_CONSOLIDATED=N","SCALING_FORMAT=MLN","Sort=A","Dates=H","DateFormat=P","Fill=—","Direction=H","UseDPDF=Y")</f>
        <v>0</v>
      </c>
      <c r="AN25" s="13">
        <f>_xll.BDH("INDIGO IN Equity","EXTRAORD_ITEMS_ACCOUNTING_CHANGS","FQ1 2027","FQ1 2027","Currency=INR","Period=FQ","BEST_FPERIOD_OVERRIDE=FQ","FILING_STATUS=MR","EQY_CONSOLIDATED=N","SCALING_FORMAT=MLN","Sort=A","Dates=H","DateFormat=P","Fill=—","Direction=H","UseDPDF=Y")</f>
        <v>0</v>
      </c>
      <c r="AO25" s="13"/>
      <c r="AP25" s="13"/>
    </row>
    <row r="26" spans="1:42" x14ac:dyDescent="0.25">
      <c r="A26" s="10" t="s">
        <v>140</v>
      </c>
      <c r="B26" s="10" t="s">
        <v>141</v>
      </c>
      <c r="C26" s="11">
        <f>_xll.BDH("INDIGO IN Equity","NI_INCLUDING_MINORITY_INT_RATIO","FQ4 2017","FQ4 2017","Currency=INR","Period=FQ","BEST_FPERIOD_OVERRIDE=FQ","FILING_STATUS=MR","EQY_CONSOLIDATED=N","SCALING_FORMAT=MLN","FA_ADJUSTED=GAAP","Sort=A","Dates=H","DateFormat=P","Fill=—","Direction=H","UseDPDF=Y")</f>
        <v>4403.08</v>
      </c>
      <c r="D26" s="11">
        <f>_xll.BDH("INDIGO IN Equity","NI_INCLUDING_MINORITY_INT_RATIO","FQ1 2018","FQ1 2018","Currency=INR","Period=FQ","BEST_FPERIOD_OVERRIDE=FQ","FILING_STATUS=MR","EQY_CONSOLIDATED=N","SCALING_FORMAT=MLN","FA_ADJUSTED=GAAP","Sort=A","Dates=H","DateFormat=P","Fill=—","Direction=H","UseDPDF=Y")</f>
        <v>8111.46</v>
      </c>
      <c r="E26" s="11">
        <f>_xll.BDH("INDIGO IN Equity","NI_INCLUDING_MINORITY_INT_RATIO","FQ2 2018","FQ2 2018","Currency=INR","Period=FQ","BEST_FPERIOD_OVERRIDE=FQ","FILING_STATUS=MR","EQY_CONSOLIDATED=N","SCALING_FORMAT=MLN","FA_ADJUSTED=GAAP","Sort=A","Dates=H","DateFormat=P","Fill=—","Direction=H","UseDPDF=Y")</f>
        <v>5515.56</v>
      </c>
      <c r="F26" s="11">
        <f>_xll.BDH("INDIGO IN Equity","NI_INCLUDING_MINORITY_INT_RATIO","FQ3 2018","FQ3 2018","Currency=INR","Period=FQ","BEST_FPERIOD_OVERRIDE=FQ","FILING_STATUS=MR","EQY_CONSOLIDATED=N","SCALING_FORMAT=MLN","FA_ADJUSTED=GAAP","Sort=A","Dates=H","DateFormat=P","Fill=—","Direction=H","UseDPDF=Y")</f>
        <v>7620.3</v>
      </c>
      <c r="G26" s="11">
        <f>_xll.BDH("INDIGO IN Equity","NI_INCLUDING_MINORITY_INT_RATIO","FQ4 2018","FQ4 2018","Currency=INR","Period=FQ","BEST_FPERIOD_OVERRIDE=FQ","FILING_STATUS=MR","EQY_CONSOLIDATED=N","SCALING_FORMAT=MLN","FA_ADJUSTED=GAAP","Sort=A","Dates=H","DateFormat=P","Fill=—","Direction=H","UseDPDF=Y")</f>
        <v>1176.42</v>
      </c>
      <c r="H26" s="11">
        <f>_xll.BDH("INDIGO IN Equity","NI_INCLUDING_MINORITY_INT_RATIO","FQ1 2019","FQ1 2019","Currency=INR","Period=FQ","BEST_FPERIOD_OVERRIDE=FQ","FILING_STATUS=MR","EQY_CONSOLIDATED=N","SCALING_FORMAT=MLN","FA_ADJUSTED=GAAP","Sort=A","Dates=H","DateFormat=P","Fill=—","Direction=H","UseDPDF=Y")</f>
        <v>277.89999999999998</v>
      </c>
      <c r="I26" s="11">
        <f>_xll.BDH("INDIGO IN Equity","NI_INCLUDING_MINORITY_INT_RATIO","FQ2 2019","FQ2 2019","Currency=INR","Period=FQ","BEST_FPERIOD_OVERRIDE=FQ","FILING_STATUS=MR","EQY_CONSOLIDATED=N","SCALING_FORMAT=MLN","FA_ADJUSTED=GAAP","Sort=A","Dates=H","DateFormat=P","Fill=—","Direction=H","UseDPDF=Y")</f>
        <v>-6521.3</v>
      </c>
      <c r="J26" s="11">
        <f>_xll.BDH("INDIGO IN Equity","NI_INCLUDING_MINORITY_INT_RATIO","FQ3 2019","FQ3 2019","Currency=INR","Period=FQ","BEST_FPERIOD_OVERRIDE=FQ","FILING_STATUS=MR","EQY_CONSOLIDATED=N","SCALING_FORMAT=MLN","FA_ADJUSTED=GAAP","Sort=A","Dates=H","DateFormat=P","Fill=—","Direction=H","UseDPDF=Y")</f>
        <v>1908.88</v>
      </c>
      <c r="K26" s="11">
        <f>_xll.BDH("INDIGO IN Equity","NI_INCLUDING_MINORITY_INT_RATIO","FQ4 2019","FQ4 2019","Currency=INR","Period=FQ","BEST_FPERIOD_OVERRIDE=FQ","FILING_STATUS=MR","EQY_CONSOLIDATED=N","SCALING_FORMAT=MLN","FA_ADJUSTED=GAAP","Sort=A","Dates=H","DateFormat=P","Fill=—","Direction=H","UseDPDF=Y")</f>
        <v>5895.87</v>
      </c>
      <c r="L26" s="11">
        <f>_xll.BDH("INDIGO IN Equity","NI_INCLUDING_MINORITY_INT_RATIO","FQ1 2020","FQ1 2020","Currency=INR","Period=FQ","BEST_FPERIOD_OVERRIDE=FQ","FILING_STATUS=MR","EQY_CONSOLIDATED=N","SCALING_FORMAT=MLN","FA_ADJUSTED=GAAP","Sort=A","Dates=H","DateFormat=P","Fill=—","Direction=H","UseDPDF=Y")</f>
        <v>12004.68</v>
      </c>
      <c r="M26" s="11">
        <f>_xll.BDH("INDIGO IN Equity","NI_INCLUDING_MINORITY_INT_RATIO","FQ2 2020","FQ2 2020","Currency=INR","Period=FQ","BEST_FPERIOD_OVERRIDE=FQ","FILING_STATUS=MR","EQY_CONSOLIDATED=N","SCALING_FORMAT=MLN","FA_ADJUSTED=GAAP","Sort=A","Dates=H","DateFormat=P","Fill=—","Direction=H","UseDPDF=Y")</f>
        <v>-10656.11</v>
      </c>
      <c r="N26" s="11">
        <f>_xll.BDH("INDIGO IN Equity","NI_INCLUDING_MINORITY_INT_RATIO","FQ3 2020","FQ3 2020","Currency=INR","Period=FQ","BEST_FPERIOD_OVERRIDE=FQ","FILING_STATUS=MR","EQY_CONSOLIDATED=N","SCALING_FORMAT=MLN","FA_ADJUSTED=GAAP","Sort=A","Dates=H","DateFormat=P","Fill=—","Direction=H","UseDPDF=Y")</f>
        <v>4904.5</v>
      </c>
      <c r="O26" s="11">
        <f>_xll.BDH("INDIGO IN Equity","NI_INCLUDING_MINORITY_INT_RATIO","FQ4 2020","FQ4 2020","Currency=INR","Period=FQ","BEST_FPERIOD_OVERRIDE=FQ","FILING_STATUS=MR","EQY_CONSOLIDATED=N","SCALING_FORMAT=MLN","FA_ADJUSTED=GAAP","Sort=A","Dates=H","DateFormat=P","Fill=—","Direction=H","UseDPDF=Y")</f>
        <v>-8734.66</v>
      </c>
      <c r="P26" s="11">
        <f>_xll.BDH("INDIGO IN Equity","NI_INCLUDING_MINORITY_INT_RATIO","FQ1 2021","FQ1 2021","Currency=INR","Period=FQ","BEST_FPERIOD_OVERRIDE=FQ","FILING_STATUS=MR","EQY_CONSOLIDATED=N","SCALING_FORMAT=MLN","FA_ADJUSTED=GAAP","Sort=A","Dates=H","DateFormat=P","Fill=—","Direction=H","UseDPDF=Y")</f>
        <v>-28493.919999999998</v>
      </c>
      <c r="Q26" s="11">
        <f>_xll.BDH("INDIGO IN Equity","NI_INCLUDING_MINORITY_INT_RATIO","FQ2 2021","FQ2 2021","Currency=INR","Period=FQ","BEST_FPERIOD_OVERRIDE=FQ","FILING_STATUS=MR","EQY_CONSOLIDATED=N","SCALING_FORMAT=MLN","FA_ADJUSTED=GAAP","Sort=A","Dates=H","DateFormat=P","Fill=—","Direction=H","UseDPDF=Y")</f>
        <v>-11947.7</v>
      </c>
      <c r="R26" s="11">
        <f>_xll.BDH("INDIGO IN Equity","NI_INCLUDING_MINORITY_INT_RATIO","FQ3 2021","FQ3 2021","Currency=INR","Period=FQ","BEST_FPERIOD_OVERRIDE=FQ","FILING_STATUS=MR","EQY_CONSOLIDATED=N","SCALING_FORMAT=MLN","FA_ADJUSTED=GAAP","Sort=A","Dates=H","DateFormat=P","Fill=—","Direction=H","UseDPDF=Y")</f>
        <v>-6265.81</v>
      </c>
      <c r="S26" s="11">
        <f>_xll.BDH("INDIGO IN Equity","NI_INCLUDING_MINORITY_INT_RATIO","FQ4 2021","FQ4 2021","Currency=INR","Period=FQ","BEST_FPERIOD_OVERRIDE=FQ","FILING_STATUS=MR","EQY_CONSOLIDATED=N","SCALING_FORMAT=MLN","FA_ADJUSTED=GAAP","Sort=A","Dates=H","DateFormat=P","Fill=—","Direction=H","UseDPDF=Y")</f>
        <v>-11590.49</v>
      </c>
      <c r="T26" s="11">
        <f>_xll.BDH("INDIGO IN Equity","NI_INCLUDING_MINORITY_INT_RATIO","FQ1 2022","FQ1 2022","Currency=INR","Period=FQ","BEST_FPERIOD_OVERRIDE=FQ","FILING_STATUS=MR","EQY_CONSOLIDATED=N","SCALING_FORMAT=MLN","FA_ADJUSTED=GAAP","Sort=A","Dates=H","DateFormat=P","Fill=—","Direction=H","UseDPDF=Y")</f>
        <v>-31792.65</v>
      </c>
      <c r="U26" s="11">
        <f>_xll.BDH("INDIGO IN Equity","NI_INCLUDING_MINORITY_INT_RATIO","FQ2 2022","FQ2 2022","Currency=INR","Period=FQ","BEST_FPERIOD_OVERRIDE=FQ","FILING_STATUS=MR","EQY_CONSOLIDATED=N","SCALING_FORMAT=MLN","FA_ADJUSTED=GAAP","Sort=A","Dates=H","DateFormat=P","Fill=—","Direction=H","UseDPDF=Y")</f>
        <v>-14404.2</v>
      </c>
      <c r="V26" s="11">
        <f>_xll.BDH("INDIGO IN Equity","NI_INCLUDING_MINORITY_INT_RATIO","FQ3 2022","FQ3 2022","Currency=INR","Period=FQ","BEST_FPERIOD_OVERRIDE=FQ","FILING_STATUS=MR","EQY_CONSOLIDATED=N","SCALING_FORMAT=MLN","FA_ADJUSTED=GAAP","Sort=A","Dates=H","DateFormat=P","Fill=—","Direction=H","UseDPDF=Y")</f>
        <v>1284.5</v>
      </c>
      <c r="W26" s="11">
        <f>_xll.BDH("INDIGO IN Equity","NI_INCLUDING_MINORITY_INT_RATIO","FQ4 2022","FQ4 2022","Currency=INR","Period=FQ","BEST_FPERIOD_OVERRIDE=FQ","FILING_STATUS=MR","EQY_CONSOLIDATED=N","SCALING_FORMAT=MLN","FA_ADJUSTED=GAAP","Sort=A","Dates=H","DateFormat=P","Fill=—","Direction=H","UseDPDF=Y")</f>
        <v>-16797.900000000001</v>
      </c>
      <c r="X26" s="11">
        <f>_xll.BDH("INDIGO IN Equity","NI_INCLUDING_MINORITY_INT_RATIO","FQ1 2023","FQ1 2023","Currency=INR","Period=FQ","BEST_FPERIOD_OVERRIDE=FQ","FILING_STATUS=MR","EQY_CONSOLIDATED=N","SCALING_FORMAT=MLN","FA_ADJUSTED=GAAP","Sort=A","Dates=H","DateFormat=P","Fill=—","Direction=H","UseDPDF=Y")</f>
        <v>-10654.23</v>
      </c>
      <c r="Y26" s="11">
        <f>_xll.BDH("INDIGO IN Equity","NI_INCLUDING_MINORITY_INT_RATIO","FQ2 2023","FQ2 2023","Currency=INR","Period=FQ","BEST_FPERIOD_OVERRIDE=FQ","FILING_STATUS=MR","EQY_CONSOLIDATED=N","SCALING_FORMAT=MLN","FA_ADJUSTED=GAAP","Sort=A","Dates=H","DateFormat=P","Fill=—","Direction=H","UseDPDF=Y")</f>
        <v>-15854.85</v>
      </c>
      <c r="Z26" s="11">
        <f>_xll.BDH("INDIGO IN Equity","NI_INCLUDING_MINORITY_INT_RATIO","FQ3 2023","FQ3 2023","Currency=INR","Period=FQ","BEST_FPERIOD_OVERRIDE=FQ","FILING_STATUS=MR","EQY_CONSOLIDATED=N","SCALING_FORMAT=MLN","FA_ADJUSTED=GAAP","Sort=A","Dates=H","DateFormat=P","Fill=—","Direction=H","UseDPDF=Y")</f>
        <v>14181.72</v>
      </c>
      <c r="AA26" s="11">
        <f>_xll.BDH("INDIGO IN Equity","NI_INCLUDING_MINORITY_INT_RATIO","FQ4 2023","FQ4 2023","Currency=INR","Period=FQ","BEST_FPERIOD_OVERRIDE=FQ","FILING_STATUS=MR","EQY_CONSOLIDATED=N","SCALING_FORMAT=MLN","FA_ADJUSTED=GAAP","Sort=A","Dates=H","DateFormat=P","Fill=—","Direction=H","UseDPDF=Y")</f>
        <v>9160.2000000000007</v>
      </c>
      <c r="AB26" s="11">
        <f>_xll.BDH("INDIGO IN Equity","NI_INCLUDING_MINORITY_INT_RATIO","FQ1 2024","FQ1 2024","Currency=INR","Period=FQ","BEST_FPERIOD_OVERRIDE=FQ","FILING_STATUS=MR","EQY_CONSOLIDATED=N","SCALING_FORMAT=MLN","FA_ADJUSTED=GAAP","Sort=A","Dates=H","DateFormat=P","Fill=—","Direction=H","UseDPDF=Y")</f>
        <v>30872.46</v>
      </c>
      <c r="AC26" s="11">
        <f>_xll.BDH("INDIGO IN Equity","NI_INCLUDING_MINORITY_INT_RATIO","FQ2 2024","FQ2 2024","Currency=INR","Period=FQ","BEST_FPERIOD_OVERRIDE=FQ","FILING_STATUS=MR","EQY_CONSOLIDATED=N","SCALING_FORMAT=MLN","FA_ADJUSTED=GAAP","Sort=A","Dates=H","DateFormat=P","Fill=—","Direction=H","UseDPDF=Y")</f>
        <v>1878.6</v>
      </c>
      <c r="AD26" s="11">
        <f>_xll.BDH("INDIGO IN Equity","NI_INCLUDING_MINORITY_INT_RATIO","FQ3 2024","FQ3 2024","Currency=INR","Period=FQ","BEST_FPERIOD_OVERRIDE=FQ","FILING_STATUS=MR","EQY_CONSOLIDATED=N","SCALING_FORMAT=MLN","FA_ADJUSTED=GAAP","Sort=A","Dates=H","DateFormat=P","Fill=—","Direction=H","UseDPDF=Y")</f>
        <v>29984.94</v>
      </c>
      <c r="AE26" s="11">
        <f>_xll.BDH("INDIGO IN Equity","NI_INCLUDING_MINORITY_INT_RATIO","FQ4 2024","FQ4 2024","Currency=INR","Period=FQ","BEST_FPERIOD_OVERRIDE=FQ","FILING_STATUS=MR","EQY_CONSOLIDATED=N","SCALING_FORMAT=MLN","FA_ADJUSTED=GAAP","Sort=A","Dates=H","DateFormat=P","Fill=—","Direction=H","UseDPDF=Y")</f>
        <v>18938.849999999999</v>
      </c>
      <c r="AF26" s="11">
        <f>_xll.BDH("INDIGO IN Equity","NI_INCLUDING_MINORITY_INT_RATIO","FQ1 2025","FQ1 2025","Currency=INR","Period=FQ","BEST_FPERIOD_OVERRIDE=FQ","FILING_STATUS=MR","EQY_CONSOLIDATED=N","SCALING_FORMAT=MLN","FA_ADJUSTED=GAAP","Sort=A","Dates=H","DateFormat=P","Fill=—","Direction=H","UseDPDF=Y")</f>
        <v>27267</v>
      </c>
      <c r="AG26" s="11">
        <f>_xll.BDH("INDIGO IN Equity","NI_INCLUDING_MINORITY_INT_RATIO","FQ2 2025","FQ2 2025","Currency=INR","Period=FQ","BEST_FPERIOD_OVERRIDE=FQ","FILING_STATUS=MR","EQY_CONSOLIDATED=N","SCALING_FORMAT=MLN","FA_ADJUSTED=GAAP","Sort=A","Dates=H","DateFormat=P","Fill=—","Direction=H","UseDPDF=Y")</f>
        <v>-9888</v>
      </c>
      <c r="AH26" s="11">
        <f>_xll.BDH("INDIGO IN Equity","NI_INCLUDING_MINORITY_INT_RATIO","FQ3 2025","FQ3 2025","Currency=INR","Period=FQ","BEST_FPERIOD_OVERRIDE=FQ","FILING_STATUS=MR","EQY_CONSOLIDATED=N","SCALING_FORMAT=MLN","FA_ADJUSTED=GAAP","Sort=A","Dates=H","DateFormat=P","Fill=—","Direction=H","UseDPDF=Y")</f>
        <v>24420</v>
      </c>
      <c r="AI26" s="11">
        <f>_xll.BDH("INDIGO IN Equity","NI_INCLUDING_MINORITY_INT_RATIO","FQ4 2025","FQ4 2025","Currency=INR","Period=FQ","BEST_FPERIOD_OVERRIDE=FQ","FILING_STATUS=MR","EQY_CONSOLIDATED=N","SCALING_FORMAT=MLN","FA_ADJUSTED=GAAP","Sort=A","Dates=H","DateFormat=P","Fill=—","Direction=H","UseDPDF=Y")</f>
        <v>30734</v>
      </c>
      <c r="AJ26" s="11">
        <f>_xll.BDH("INDIGO IN Equity","NI_INCLUDING_MINORITY_INT_RATIO","FQ1 2026","FQ1 2026","Currency=INR","Period=FQ","BEST_FPERIOD_OVERRIDE=FQ","FILING_STATUS=MR","EQY_CONSOLIDATED=N","SCALING_FORMAT=MLN","FA_ADJUSTED=GAAP","Sort=A","Dates=H","DateFormat=P","Fill=—","Direction=H","UseDPDF=Y")</f>
        <v>21611</v>
      </c>
      <c r="AK26" s="11">
        <f>_xll.BDH("INDIGO IN Equity","NI_INCLUDING_MINORITY_INT_RATIO","FQ2 2026","FQ2 2026","Currency=INR","Period=FQ","BEST_FPERIOD_OVERRIDE=FQ","FILING_STATUS=MR","EQY_CONSOLIDATED=N","SCALING_FORMAT=MLN","FA_ADJUSTED=GAAP","Sort=A","Dates=H","DateFormat=P","Fill=—","Direction=H","UseDPDF=Y")</f>
        <v>-26141</v>
      </c>
      <c r="AL26" s="11">
        <f>_xll.BDH("INDIGO IN Equity","NI_INCLUDING_MINORITY_INT_RATIO","FQ3 2026","FQ3 2026","Currency=INR","Period=FQ","BEST_FPERIOD_OVERRIDE=FQ","FILING_STATUS=MR","EQY_CONSOLIDATED=N","SCALING_FORMAT=MLN","FA_ADJUSTED=GAAP","Sort=A","Dates=H","DateFormat=P","Fill=—","Direction=H","UseDPDF=Y")</f>
        <v>6126</v>
      </c>
      <c r="AM26" s="11">
        <f>_xll.BDH("INDIGO IN Equity","NI_INCLUDING_MINORITY_INT_RATIO","FQ4 2026","FQ4 2026","Currency=INR","Period=FQ","BEST_FPERIOD_OVERRIDE=FQ","FILING_STATUS=MR","EQY_CONSOLIDATED=N","SCALING_FORMAT=MLN","FA_ADJUSTED=GAAP","Sort=A","Dates=H","DateFormat=P","Fill=—","Direction=H","UseDPDF=Y")</f>
        <v>-26621</v>
      </c>
      <c r="AN26" s="11">
        <f>_xll.BDH("INDIGO IN Equity","NI_INCLUDING_MINORITY_INT_RATIO","FQ1 2027","FQ1 2027","Currency=INR","Period=FQ","BEST_FPERIOD_OVERRIDE=FQ","FILING_STATUS=MR","EQY_CONSOLIDATED=N","SCALING_FORMAT=MLN","FA_ADJUSTED=GAAP","Sort=A","Dates=H","DateFormat=P","Fill=—","Direction=H","UseDPDF=Y")</f>
        <v>-3815</v>
      </c>
      <c r="AO26" s="11"/>
      <c r="AP26" s="11"/>
    </row>
    <row r="27" spans="1:42" x14ac:dyDescent="0.25">
      <c r="A27" s="12" t="s">
        <v>142</v>
      </c>
      <c r="B27" s="12" t="s">
        <v>143</v>
      </c>
      <c r="C27" s="13">
        <f>_xll.BDH("INDIGO IN Equity","MIN_NONCONTROL_INTEREST_CREDITS","FQ4 2017","FQ4 2017","Currency=INR","Period=FQ","BEST_FPERIOD_OVERRIDE=FQ","FILING_STATUS=MR","EQY_CONSOLIDATED=N","SCALING_FORMAT=MLN","FA_ADJUSTED=GAAP","Sort=A","Dates=H","DateFormat=P","Fill=—","Direction=H","UseDPDF=Y")</f>
        <v>0</v>
      </c>
      <c r="D27" s="13" t="str">
        <f>_xll.BDH("INDIGO IN Equity","MIN_NONCONTROL_INTEREST_CREDITS","FQ1 2018","FQ1 2018","Currency=INR","Period=FQ","BEST_FPERIOD_OVERRIDE=FQ","FILING_STATUS=MR","EQY_CONSOLIDATED=N","SCALING_FORMAT=MLN","FA_ADJUSTED=GAAP","Sort=A","Dates=H","DateFormat=P","Fill=—","Direction=H","UseDPDF=Y")</f>
        <v>—</v>
      </c>
      <c r="E27" s="13">
        <f>_xll.BDH("INDIGO IN Equity","MIN_NONCONTROL_INTEREST_CREDITS","FQ2 2018","FQ2 2018","Currency=INR","Period=FQ","BEST_FPERIOD_OVERRIDE=FQ","FILING_STATUS=MR","EQY_CONSOLIDATED=N","SCALING_FORMAT=MLN","FA_ADJUSTED=GAAP","Sort=A","Dates=H","DateFormat=P","Fill=—","Direction=H","UseDPDF=Y")</f>
        <v>0</v>
      </c>
      <c r="F27" s="13">
        <f>_xll.BDH("INDIGO IN Equity","MIN_NONCONTROL_INTEREST_CREDITS","FQ3 2018","FQ3 2018","Currency=INR","Period=FQ","BEST_FPERIOD_OVERRIDE=FQ","FILING_STATUS=MR","EQY_CONSOLIDATED=N","SCALING_FORMAT=MLN","FA_ADJUSTED=GAAP","Sort=A","Dates=H","DateFormat=P","Fill=—","Direction=H","UseDPDF=Y")</f>
        <v>0</v>
      </c>
      <c r="G27" s="13">
        <f>_xll.BDH("INDIGO IN Equity","MIN_NONCONTROL_INTEREST_CREDITS","FQ4 2018","FQ4 2018","Currency=INR","Period=FQ","BEST_FPERIOD_OVERRIDE=FQ","FILING_STATUS=MR","EQY_CONSOLIDATED=N","SCALING_FORMAT=MLN","FA_ADJUSTED=GAAP","Sort=A","Dates=H","DateFormat=P","Fill=—","Direction=H","UseDPDF=Y")</f>
        <v>0</v>
      </c>
      <c r="H27" s="13">
        <f>_xll.BDH("INDIGO IN Equity","MIN_NONCONTROL_INTEREST_CREDITS","FQ1 2019","FQ1 2019","Currency=INR","Period=FQ","BEST_FPERIOD_OVERRIDE=FQ","FILING_STATUS=MR","EQY_CONSOLIDATED=N","SCALING_FORMAT=MLN","FA_ADJUSTED=GAAP","Sort=A","Dates=H","DateFormat=P","Fill=—","Direction=H","UseDPDF=Y")</f>
        <v>0</v>
      </c>
      <c r="I27" s="13">
        <f>_xll.BDH("INDIGO IN Equity","MIN_NONCONTROL_INTEREST_CREDITS","FQ2 2019","FQ2 2019","Currency=INR","Period=FQ","BEST_FPERIOD_OVERRIDE=FQ","FILING_STATUS=MR","EQY_CONSOLIDATED=N","SCALING_FORMAT=MLN","FA_ADJUSTED=GAAP","Sort=A","Dates=H","DateFormat=P","Fill=—","Direction=H","UseDPDF=Y")</f>
        <v>0</v>
      </c>
      <c r="J27" s="13">
        <f>_xll.BDH("INDIGO IN Equity","MIN_NONCONTROL_INTEREST_CREDITS","FQ3 2019","FQ3 2019","Currency=INR","Period=FQ","BEST_FPERIOD_OVERRIDE=FQ","FILING_STATUS=MR","EQY_CONSOLIDATED=N","SCALING_FORMAT=MLN","FA_ADJUSTED=GAAP","Sort=A","Dates=H","DateFormat=P","Fill=—","Direction=H","UseDPDF=Y")</f>
        <v>0</v>
      </c>
      <c r="K27" s="13">
        <f>_xll.BDH("INDIGO IN Equity","MIN_NONCONTROL_INTEREST_CREDITS","FQ4 2019","FQ4 2019","Currency=INR","Period=FQ","BEST_FPERIOD_OVERRIDE=FQ","FILING_STATUS=MR","EQY_CONSOLIDATED=N","SCALING_FORMAT=MLN","FA_ADJUSTED=GAAP","Sort=A","Dates=H","DateFormat=P","Fill=—","Direction=H","UseDPDF=Y")</f>
        <v>0</v>
      </c>
      <c r="L27" s="13">
        <f>_xll.BDH("INDIGO IN Equity","MIN_NONCONTROL_INTEREST_CREDITS","FQ1 2020","FQ1 2020","Currency=INR","Period=FQ","BEST_FPERIOD_OVERRIDE=FQ","FILING_STATUS=MR","EQY_CONSOLIDATED=N","SCALING_FORMAT=MLN","FA_ADJUSTED=GAAP","Sort=A","Dates=H","DateFormat=P","Fill=—","Direction=H","UseDPDF=Y")</f>
        <v>0</v>
      </c>
      <c r="M27" s="13">
        <f>_xll.BDH("INDIGO IN Equity","MIN_NONCONTROL_INTEREST_CREDITS","FQ2 2020","FQ2 2020","Currency=INR","Period=FQ","BEST_FPERIOD_OVERRIDE=FQ","FILING_STATUS=MR","EQY_CONSOLIDATED=N","SCALING_FORMAT=MLN","FA_ADJUSTED=GAAP","Sort=A","Dates=H","DateFormat=P","Fill=—","Direction=H","UseDPDF=Y")</f>
        <v>0</v>
      </c>
      <c r="N27" s="13">
        <f>_xll.BDH("INDIGO IN Equity","MIN_NONCONTROL_INTEREST_CREDITS","FQ3 2020","FQ3 2020","Currency=INR","Period=FQ","BEST_FPERIOD_OVERRIDE=FQ","FILING_STATUS=MR","EQY_CONSOLIDATED=N","SCALING_FORMAT=MLN","FA_ADJUSTED=GAAP","Sort=A","Dates=H","DateFormat=P","Fill=—","Direction=H","UseDPDF=Y")</f>
        <v>0</v>
      </c>
      <c r="O27" s="13">
        <f>_xll.BDH("INDIGO IN Equity","MIN_NONCONTROL_INTEREST_CREDITS","FQ4 2020","FQ4 2020","Currency=INR","Period=FQ","BEST_FPERIOD_OVERRIDE=FQ","FILING_STATUS=MR","EQY_CONSOLIDATED=N","SCALING_FORMAT=MLN","FA_ADJUSTED=GAAP","Sort=A","Dates=H","DateFormat=P","Fill=—","Direction=H","UseDPDF=Y")</f>
        <v>0</v>
      </c>
      <c r="P27" s="13">
        <f>_xll.BDH("INDIGO IN Equity","MIN_NONCONTROL_INTEREST_CREDITS","FQ1 2021","FQ1 2021","Currency=INR","Period=FQ","BEST_FPERIOD_OVERRIDE=FQ","FILING_STATUS=MR","EQY_CONSOLIDATED=N","SCALING_FORMAT=MLN","FA_ADJUSTED=GAAP","Sort=A","Dates=H","DateFormat=P","Fill=—","Direction=H","UseDPDF=Y")</f>
        <v>0</v>
      </c>
      <c r="Q27" s="13">
        <f>_xll.BDH("INDIGO IN Equity","MIN_NONCONTROL_INTEREST_CREDITS","FQ2 2021","FQ2 2021","Currency=INR","Period=FQ","BEST_FPERIOD_OVERRIDE=FQ","FILING_STATUS=MR","EQY_CONSOLIDATED=N","SCALING_FORMAT=MLN","FA_ADJUSTED=GAAP","Sort=A","Dates=H","DateFormat=P","Fill=—","Direction=H","UseDPDF=Y")</f>
        <v>0</v>
      </c>
      <c r="R27" s="13">
        <f>_xll.BDH("INDIGO IN Equity","MIN_NONCONTROL_INTEREST_CREDITS","FQ3 2021","FQ3 2021","Currency=INR","Period=FQ","BEST_FPERIOD_OVERRIDE=FQ","FILING_STATUS=MR","EQY_CONSOLIDATED=N","SCALING_FORMAT=MLN","FA_ADJUSTED=GAAP","Sort=A","Dates=H","DateFormat=P","Fill=—","Direction=H","UseDPDF=Y")</f>
        <v>0</v>
      </c>
      <c r="S27" s="13">
        <f>_xll.BDH("INDIGO IN Equity","MIN_NONCONTROL_INTEREST_CREDITS","FQ4 2021","FQ4 2021","Currency=INR","Period=FQ","BEST_FPERIOD_OVERRIDE=FQ","FILING_STATUS=MR","EQY_CONSOLIDATED=N","SCALING_FORMAT=MLN","FA_ADJUSTED=GAAP","Sort=A","Dates=H","DateFormat=P","Fill=—","Direction=H","UseDPDF=Y")</f>
        <v>0</v>
      </c>
      <c r="T27" s="13">
        <f>_xll.BDH("INDIGO IN Equity","MIN_NONCONTROL_INTEREST_CREDITS","FQ1 2022","FQ1 2022","Currency=INR","Period=FQ","BEST_FPERIOD_OVERRIDE=FQ","FILING_STATUS=MR","EQY_CONSOLIDATED=N","SCALING_FORMAT=MLN","FA_ADJUSTED=GAAP","Sort=A","Dates=H","DateFormat=P","Fill=—","Direction=H","UseDPDF=Y")</f>
        <v>0</v>
      </c>
      <c r="U27" s="13">
        <f>_xll.BDH("INDIGO IN Equity","MIN_NONCONTROL_INTEREST_CREDITS","FQ2 2022","FQ2 2022","Currency=INR","Period=FQ","BEST_FPERIOD_OVERRIDE=FQ","FILING_STATUS=MR","EQY_CONSOLIDATED=N","SCALING_FORMAT=MLN","FA_ADJUSTED=GAAP","Sort=A","Dates=H","DateFormat=P","Fill=—","Direction=H","UseDPDF=Y")</f>
        <v>0</v>
      </c>
      <c r="V27" s="13">
        <f>_xll.BDH("INDIGO IN Equity","MIN_NONCONTROL_INTEREST_CREDITS","FQ3 2022","FQ3 2022","Currency=INR","Period=FQ","BEST_FPERIOD_OVERRIDE=FQ","FILING_STATUS=MR","EQY_CONSOLIDATED=N","SCALING_FORMAT=MLN","FA_ADJUSTED=GAAP","Sort=A","Dates=H","DateFormat=P","Fill=—","Direction=H","UseDPDF=Y")</f>
        <v>0</v>
      </c>
      <c r="W27" s="13">
        <f>_xll.BDH("INDIGO IN Equity","MIN_NONCONTROL_INTEREST_CREDITS","FQ4 2022","FQ4 2022","Currency=INR","Period=FQ","BEST_FPERIOD_OVERRIDE=FQ","FILING_STATUS=MR","EQY_CONSOLIDATED=N","SCALING_FORMAT=MLN","FA_ADJUSTED=GAAP","Sort=A","Dates=H","DateFormat=P","Fill=—","Direction=H","UseDPDF=Y")</f>
        <v>0</v>
      </c>
      <c r="X27" s="13">
        <f>_xll.BDH("INDIGO IN Equity","MIN_NONCONTROL_INTEREST_CREDITS","FQ1 2023","FQ1 2023","Currency=INR","Period=FQ","BEST_FPERIOD_OVERRIDE=FQ","FILING_STATUS=MR","EQY_CONSOLIDATED=N","SCALING_FORMAT=MLN","FA_ADJUSTED=GAAP","Sort=A","Dates=H","DateFormat=P","Fill=—","Direction=H","UseDPDF=Y")</f>
        <v>0</v>
      </c>
      <c r="Y27" s="13">
        <f>_xll.BDH("INDIGO IN Equity","MIN_NONCONTROL_INTEREST_CREDITS","FQ2 2023","FQ2 2023","Currency=INR","Period=FQ","BEST_FPERIOD_OVERRIDE=FQ","FILING_STATUS=MR","EQY_CONSOLIDATED=N","SCALING_FORMAT=MLN","FA_ADJUSTED=GAAP","Sort=A","Dates=H","DateFormat=P","Fill=—","Direction=H","UseDPDF=Y")</f>
        <v>0</v>
      </c>
      <c r="Z27" s="13">
        <f>_xll.BDH("INDIGO IN Equity","MIN_NONCONTROL_INTEREST_CREDITS","FQ3 2023","FQ3 2023","Currency=INR","Period=FQ","BEST_FPERIOD_OVERRIDE=FQ","FILING_STATUS=MR","EQY_CONSOLIDATED=N","SCALING_FORMAT=MLN","FA_ADJUSTED=GAAP","Sort=A","Dates=H","DateFormat=P","Fill=—","Direction=H","UseDPDF=Y")</f>
        <v>0</v>
      </c>
      <c r="AA27" s="13">
        <f>_xll.BDH("INDIGO IN Equity","MIN_NONCONTROL_INTEREST_CREDITS","FQ4 2023","FQ4 2023","Currency=INR","Period=FQ","BEST_FPERIOD_OVERRIDE=FQ","FILING_STATUS=MR","EQY_CONSOLIDATED=N","SCALING_FORMAT=MLN","FA_ADJUSTED=GAAP","Sort=A","Dates=H","DateFormat=P","Fill=—","Direction=H","UseDPDF=Y")</f>
        <v>0</v>
      </c>
      <c r="AB27" s="13">
        <f>_xll.BDH("INDIGO IN Equity","MIN_NONCONTROL_INTEREST_CREDITS","FQ1 2024","FQ1 2024","Currency=INR","Period=FQ","BEST_FPERIOD_OVERRIDE=FQ","FILING_STATUS=MR","EQY_CONSOLIDATED=N","SCALING_FORMAT=MLN","FA_ADJUSTED=GAAP","Sort=A","Dates=H","DateFormat=P","Fill=—","Direction=H","UseDPDF=Y")</f>
        <v>0</v>
      </c>
      <c r="AC27" s="13">
        <f>_xll.BDH("INDIGO IN Equity","MIN_NONCONTROL_INTEREST_CREDITS","FQ2 2024","FQ2 2024","Currency=INR","Period=FQ","BEST_FPERIOD_OVERRIDE=FQ","FILING_STATUS=MR","EQY_CONSOLIDATED=N","SCALING_FORMAT=MLN","FA_ADJUSTED=GAAP","Sort=A","Dates=H","DateFormat=P","Fill=—","Direction=H","UseDPDF=Y")</f>
        <v>0</v>
      </c>
      <c r="AD27" s="13">
        <f>_xll.BDH("INDIGO IN Equity","MIN_NONCONTROL_INTEREST_CREDITS","FQ3 2024","FQ3 2024","Currency=INR","Period=FQ","BEST_FPERIOD_OVERRIDE=FQ","FILING_STATUS=MR","EQY_CONSOLIDATED=N","SCALING_FORMAT=MLN","FA_ADJUSTED=GAAP","Sort=A","Dates=H","DateFormat=P","Fill=—","Direction=H","UseDPDF=Y")</f>
        <v>0</v>
      </c>
      <c r="AE27" s="13">
        <f>_xll.BDH("INDIGO IN Equity","MIN_NONCONTROL_INTEREST_CREDITS","FQ4 2024","FQ4 2024","Currency=INR","Period=FQ","BEST_FPERIOD_OVERRIDE=FQ","FILING_STATUS=MR","EQY_CONSOLIDATED=N","SCALING_FORMAT=MLN","FA_ADJUSTED=GAAP","Sort=A","Dates=H","DateFormat=P","Fill=—","Direction=H","UseDPDF=Y")</f>
        <v>0</v>
      </c>
      <c r="AF27" s="13">
        <f>_xll.BDH("INDIGO IN Equity","MIN_NONCONTROL_INTEREST_CREDITS","FQ1 2025","FQ1 2025","Currency=INR","Period=FQ","BEST_FPERIOD_OVERRIDE=FQ","FILING_STATUS=MR","EQY_CONSOLIDATED=N","SCALING_FORMAT=MLN","FA_ADJUSTED=GAAP","Sort=A","Dates=H","DateFormat=P","Fill=—","Direction=H","UseDPDF=Y")</f>
        <v>0</v>
      </c>
      <c r="AG27" s="13">
        <f>_xll.BDH("INDIGO IN Equity","MIN_NONCONTROL_INTEREST_CREDITS","FQ2 2025","FQ2 2025","Currency=INR","Period=FQ","BEST_FPERIOD_OVERRIDE=FQ","FILING_STATUS=MR","EQY_CONSOLIDATED=N","SCALING_FORMAT=MLN","FA_ADJUSTED=GAAP","Sort=A","Dates=H","DateFormat=P","Fill=—","Direction=H","UseDPDF=Y")</f>
        <v>0</v>
      </c>
      <c r="AH27" s="13">
        <f>_xll.BDH("INDIGO IN Equity","MIN_NONCONTROL_INTEREST_CREDITS","FQ3 2025","FQ3 2025","Currency=INR","Period=FQ","BEST_FPERIOD_OVERRIDE=FQ","FILING_STATUS=MR","EQY_CONSOLIDATED=N","SCALING_FORMAT=MLN","FA_ADJUSTED=GAAP","Sort=A","Dates=H","DateFormat=P","Fill=—","Direction=H","UseDPDF=Y")</f>
        <v>0</v>
      </c>
      <c r="AI27" s="13">
        <f>_xll.BDH("INDIGO IN Equity","MIN_NONCONTROL_INTEREST_CREDITS","FQ4 2025","FQ4 2025","Currency=INR","Period=FQ","BEST_FPERIOD_OVERRIDE=FQ","FILING_STATUS=MR","EQY_CONSOLIDATED=N","SCALING_FORMAT=MLN","FA_ADJUSTED=GAAP","Sort=A","Dates=H","DateFormat=P","Fill=—","Direction=H","UseDPDF=Y")</f>
        <v>0</v>
      </c>
      <c r="AJ27" s="13">
        <f>_xll.BDH("INDIGO IN Equity","MIN_NONCONTROL_INTEREST_CREDITS","FQ1 2026","FQ1 2026","Currency=INR","Period=FQ","BEST_FPERIOD_OVERRIDE=FQ","FILING_STATUS=MR","EQY_CONSOLIDATED=N","SCALING_FORMAT=MLN","FA_ADJUSTED=GAAP","Sort=A","Dates=H","DateFormat=P","Fill=—","Direction=H","UseDPDF=Y")</f>
        <v>0</v>
      </c>
      <c r="AK27" s="13">
        <f>_xll.BDH("INDIGO IN Equity","MIN_NONCONTROL_INTEREST_CREDITS","FQ2 2026","FQ2 2026","Currency=INR","Period=FQ","BEST_FPERIOD_OVERRIDE=FQ","FILING_STATUS=MR","EQY_CONSOLIDATED=N","SCALING_FORMAT=MLN","FA_ADJUSTED=GAAP","Sort=A","Dates=H","DateFormat=P","Fill=—","Direction=H","UseDPDF=Y")</f>
        <v>0</v>
      </c>
      <c r="AL27" s="13">
        <f>_xll.BDH("INDIGO IN Equity","MIN_NONCONTROL_INTEREST_CREDITS","FQ3 2026","FQ3 2026","Currency=INR","Period=FQ","BEST_FPERIOD_OVERRIDE=FQ","FILING_STATUS=MR","EQY_CONSOLIDATED=N","SCALING_FORMAT=MLN","FA_ADJUSTED=GAAP","Sort=A","Dates=H","DateFormat=P","Fill=—","Direction=H","UseDPDF=Y")</f>
        <v>0</v>
      </c>
      <c r="AM27" s="13">
        <f>_xll.BDH("INDIGO IN Equity","MIN_NONCONTROL_INTEREST_CREDITS","FQ4 2026","FQ4 2026","Currency=INR","Period=FQ","BEST_FPERIOD_OVERRIDE=FQ","FILING_STATUS=MR","EQY_CONSOLIDATED=N","SCALING_FORMAT=MLN","FA_ADJUSTED=GAAP","Sort=A","Dates=H","DateFormat=P","Fill=—","Direction=H","UseDPDF=Y")</f>
        <v>0</v>
      </c>
      <c r="AN27" s="13">
        <f>_xll.BDH("INDIGO IN Equity","MIN_NONCONTROL_INTEREST_CREDITS","FQ1 2027","FQ1 2027","Currency=INR","Period=FQ","BEST_FPERIOD_OVERRIDE=FQ","FILING_STATUS=MR","EQY_CONSOLIDATED=N","SCALING_FORMAT=MLN","FA_ADJUSTED=GAAP","Sort=A","Dates=H","DateFormat=P","Fill=—","Direction=H","UseDPDF=Y")</f>
        <v>0</v>
      </c>
      <c r="AO27" s="13"/>
      <c r="AP27" s="13"/>
    </row>
    <row r="28" spans="1:42" x14ac:dyDescent="0.25">
      <c r="A28" s="10" t="s">
        <v>144</v>
      </c>
      <c r="B28" s="10" t="s">
        <v>145</v>
      </c>
      <c r="C28" s="11">
        <f>_xll.BDH("INDIGO IN Equity","NET_INCOME","FQ4 2017","FQ4 2017","Currency=INR","Period=FQ","BEST_FPERIOD_OVERRIDE=FQ","FILING_STATUS=MR","EQY_CONSOLIDATED=N","SCALING_FORMAT=MLN","FA_ADJUSTED=GAAP","Sort=A","Dates=H","DateFormat=P","Fill=—","Direction=H","UseDPDF=Y")</f>
        <v>4403.08</v>
      </c>
      <c r="D28" s="11">
        <f>_xll.BDH("INDIGO IN Equity","NET_INCOME","FQ1 2018","FQ1 2018","Currency=INR","Period=FQ","BEST_FPERIOD_OVERRIDE=FQ","FILING_STATUS=MR","EQY_CONSOLIDATED=N","SCALING_FORMAT=MLN","FA_ADJUSTED=GAAP","Sort=A","Dates=H","DateFormat=P","Fill=—","Direction=H","UseDPDF=Y")</f>
        <v>8111.46</v>
      </c>
      <c r="E28" s="11">
        <f>_xll.BDH("INDIGO IN Equity","NET_INCOME","FQ2 2018","FQ2 2018","Currency=INR","Period=FQ","BEST_FPERIOD_OVERRIDE=FQ","FILING_STATUS=MR","EQY_CONSOLIDATED=N","SCALING_FORMAT=MLN","FA_ADJUSTED=GAAP","Sort=A","Dates=H","DateFormat=P","Fill=—","Direction=H","UseDPDF=Y")</f>
        <v>5515.56</v>
      </c>
      <c r="F28" s="11">
        <f>_xll.BDH("INDIGO IN Equity","NET_INCOME","FQ3 2018","FQ3 2018","Currency=INR","Period=FQ","BEST_FPERIOD_OVERRIDE=FQ","FILING_STATUS=MR","EQY_CONSOLIDATED=N","SCALING_FORMAT=MLN","FA_ADJUSTED=GAAP","Sort=A","Dates=H","DateFormat=P","Fill=—","Direction=H","UseDPDF=Y")</f>
        <v>7620.3</v>
      </c>
      <c r="G28" s="11">
        <f>_xll.BDH("INDIGO IN Equity","NET_INCOME","FQ4 2018","FQ4 2018","Currency=INR","Period=FQ","BEST_FPERIOD_OVERRIDE=FQ","FILING_STATUS=MR","EQY_CONSOLIDATED=N","SCALING_FORMAT=MLN","FA_ADJUSTED=GAAP","Sort=A","Dates=H","DateFormat=P","Fill=—","Direction=H","UseDPDF=Y")</f>
        <v>1176.42</v>
      </c>
      <c r="H28" s="11">
        <f>_xll.BDH("INDIGO IN Equity","NET_INCOME","FQ1 2019","FQ1 2019","Currency=INR","Period=FQ","BEST_FPERIOD_OVERRIDE=FQ","FILING_STATUS=MR","EQY_CONSOLIDATED=N","SCALING_FORMAT=MLN","FA_ADJUSTED=GAAP","Sort=A","Dates=H","DateFormat=P","Fill=—","Direction=H","UseDPDF=Y")</f>
        <v>277.89999999999998</v>
      </c>
      <c r="I28" s="11">
        <f>_xll.BDH("INDIGO IN Equity","NET_INCOME","FQ2 2019","FQ2 2019","Currency=INR","Period=FQ","BEST_FPERIOD_OVERRIDE=FQ","FILING_STATUS=MR","EQY_CONSOLIDATED=N","SCALING_FORMAT=MLN","FA_ADJUSTED=GAAP","Sort=A","Dates=H","DateFormat=P","Fill=—","Direction=H","UseDPDF=Y")</f>
        <v>-6521.3</v>
      </c>
      <c r="J28" s="11">
        <f>_xll.BDH("INDIGO IN Equity","NET_INCOME","FQ3 2019","FQ3 2019","Currency=INR","Period=FQ","BEST_FPERIOD_OVERRIDE=FQ","FILING_STATUS=MR","EQY_CONSOLIDATED=N","SCALING_FORMAT=MLN","FA_ADJUSTED=GAAP","Sort=A","Dates=H","DateFormat=P","Fill=—","Direction=H","UseDPDF=Y")</f>
        <v>1908.88</v>
      </c>
      <c r="K28" s="11">
        <f>_xll.BDH("INDIGO IN Equity","NET_INCOME","FQ4 2019","FQ4 2019","Currency=INR","Period=FQ","BEST_FPERIOD_OVERRIDE=FQ","FILING_STATUS=MR","EQY_CONSOLIDATED=N","SCALING_FORMAT=MLN","FA_ADJUSTED=GAAP","Sort=A","Dates=H","DateFormat=P","Fill=—","Direction=H","UseDPDF=Y")</f>
        <v>5895.87</v>
      </c>
      <c r="L28" s="11">
        <f>_xll.BDH("INDIGO IN Equity","NET_INCOME","FQ1 2020","FQ1 2020","Currency=INR","Period=FQ","BEST_FPERIOD_OVERRIDE=FQ","FILING_STATUS=MR","EQY_CONSOLIDATED=N","SCALING_FORMAT=MLN","FA_ADJUSTED=GAAP","Sort=A","Dates=H","DateFormat=P","Fill=—","Direction=H","UseDPDF=Y")</f>
        <v>12004.68</v>
      </c>
      <c r="M28" s="11">
        <f>_xll.BDH("INDIGO IN Equity","NET_INCOME","FQ2 2020","FQ2 2020","Currency=INR","Period=FQ","BEST_FPERIOD_OVERRIDE=FQ","FILING_STATUS=MR","EQY_CONSOLIDATED=N","SCALING_FORMAT=MLN","FA_ADJUSTED=GAAP","Sort=A","Dates=H","DateFormat=P","Fill=—","Direction=H","UseDPDF=Y")</f>
        <v>-10656.11</v>
      </c>
      <c r="N28" s="11">
        <f>_xll.BDH("INDIGO IN Equity","NET_INCOME","FQ3 2020","FQ3 2020","Currency=INR","Period=FQ","BEST_FPERIOD_OVERRIDE=FQ","FILING_STATUS=MR","EQY_CONSOLIDATED=N","SCALING_FORMAT=MLN","FA_ADJUSTED=GAAP","Sort=A","Dates=H","DateFormat=P","Fill=—","Direction=H","UseDPDF=Y")</f>
        <v>4904.5</v>
      </c>
      <c r="O28" s="11">
        <f>_xll.BDH("INDIGO IN Equity","NET_INCOME","FQ4 2020","FQ4 2020","Currency=INR","Period=FQ","BEST_FPERIOD_OVERRIDE=FQ","FILING_STATUS=MR","EQY_CONSOLIDATED=N","SCALING_FORMAT=MLN","FA_ADJUSTED=GAAP","Sort=A","Dates=H","DateFormat=P","Fill=—","Direction=H","UseDPDF=Y")</f>
        <v>-8734.66</v>
      </c>
      <c r="P28" s="11">
        <f>_xll.BDH("INDIGO IN Equity","NET_INCOME","FQ1 2021","FQ1 2021","Currency=INR","Period=FQ","BEST_FPERIOD_OVERRIDE=FQ","FILING_STATUS=MR","EQY_CONSOLIDATED=N","SCALING_FORMAT=MLN","FA_ADJUSTED=GAAP","Sort=A","Dates=H","DateFormat=P","Fill=—","Direction=H","UseDPDF=Y")</f>
        <v>-28493.919999999998</v>
      </c>
      <c r="Q28" s="11">
        <f>_xll.BDH("INDIGO IN Equity","NET_INCOME","FQ2 2021","FQ2 2021","Currency=INR","Period=FQ","BEST_FPERIOD_OVERRIDE=FQ","FILING_STATUS=MR","EQY_CONSOLIDATED=N","SCALING_FORMAT=MLN","FA_ADJUSTED=GAAP","Sort=A","Dates=H","DateFormat=P","Fill=—","Direction=H","UseDPDF=Y")</f>
        <v>-11947.7</v>
      </c>
      <c r="R28" s="11">
        <f>_xll.BDH("INDIGO IN Equity","NET_INCOME","FQ3 2021","FQ3 2021","Currency=INR","Period=FQ","BEST_FPERIOD_OVERRIDE=FQ","FILING_STATUS=MR","EQY_CONSOLIDATED=N","SCALING_FORMAT=MLN","FA_ADJUSTED=GAAP","Sort=A","Dates=H","DateFormat=P","Fill=—","Direction=H","UseDPDF=Y")</f>
        <v>-6265.81</v>
      </c>
      <c r="S28" s="11">
        <f>_xll.BDH("INDIGO IN Equity","NET_INCOME","FQ4 2021","FQ4 2021","Currency=INR","Period=FQ","BEST_FPERIOD_OVERRIDE=FQ","FILING_STATUS=MR","EQY_CONSOLIDATED=N","SCALING_FORMAT=MLN","FA_ADJUSTED=GAAP","Sort=A","Dates=H","DateFormat=P","Fill=—","Direction=H","UseDPDF=Y")</f>
        <v>-11590.49</v>
      </c>
      <c r="T28" s="11">
        <f>_xll.BDH("INDIGO IN Equity","NET_INCOME","FQ1 2022","FQ1 2022","Currency=INR","Period=FQ","BEST_FPERIOD_OVERRIDE=FQ","FILING_STATUS=MR","EQY_CONSOLIDATED=N","SCALING_FORMAT=MLN","FA_ADJUSTED=GAAP","Sort=A","Dates=H","DateFormat=P","Fill=—","Direction=H","UseDPDF=Y")</f>
        <v>-31792.65</v>
      </c>
      <c r="U28" s="11">
        <f>_xll.BDH("INDIGO IN Equity","NET_INCOME","FQ2 2022","FQ2 2022","Currency=INR","Period=FQ","BEST_FPERIOD_OVERRIDE=FQ","FILING_STATUS=MR","EQY_CONSOLIDATED=N","SCALING_FORMAT=MLN","FA_ADJUSTED=GAAP","Sort=A","Dates=H","DateFormat=P","Fill=—","Direction=H","UseDPDF=Y")</f>
        <v>-14404.2</v>
      </c>
      <c r="V28" s="11">
        <f>_xll.BDH("INDIGO IN Equity","NET_INCOME","FQ3 2022","FQ3 2022","Currency=INR","Period=FQ","BEST_FPERIOD_OVERRIDE=FQ","FILING_STATUS=MR","EQY_CONSOLIDATED=N","SCALING_FORMAT=MLN","FA_ADJUSTED=GAAP","Sort=A","Dates=H","DateFormat=P","Fill=—","Direction=H","UseDPDF=Y")</f>
        <v>1284.5</v>
      </c>
      <c r="W28" s="11">
        <f>_xll.BDH("INDIGO IN Equity","NET_INCOME","FQ4 2022","FQ4 2022","Currency=INR","Period=FQ","BEST_FPERIOD_OVERRIDE=FQ","FILING_STATUS=MR","EQY_CONSOLIDATED=N","SCALING_FORMAT=MLN","FA_ADJUSTED=GAAP","Sort=A","Dates=H","DateFormat=P","Fill=—","Direction=H","UseDPDF=Y")</f>
        <v>-16797.900000000001</v>
      </c>
      <c r="X28" s="11">
        <f>_xll.BDH("INDIGO IN Equity","NET_INCOME","FQ1 2023","FQ1 2023","Currency=INR","Period=FQ","BEST_FPERIOD_OVERRIDE=FQ","FILING_STATUS=MR","EQY_CONSOLIDATED=N","SCALING_FORMAT=MLN","FA_ADJUSTED=GAAP","Sort=A","Dates=H","DateFormat=P","Fill=—","Direction=H","UseDPDF=Y")</f>
        <v>-10654.23</v>
      </c>
      <c r="Y28" s="11">
        <f>_xll.BDH("INDIGO IN Equity","NET_INCOME","FQ2 2023","FQ2 2023","Currency=INR","Period=FQ","BEST_FPERIOD_OVERRIDE=FQ","FILING_STATUS=MR","EQY_CONSOLIDATED=N","SCALING_FORMAT=MLN","FA_ADJUSTED=GAAP","Sort=A","Dates=H","DateFormat=P","Fill=—","Direction=H","UseDPDF=Y")</f>
        <v>-15854.85</v>
      </c>
      <c r="Z28" s="11">
        <f>_xll.BDH("INDIGO IN Equity","NET_INCOME","FQ3 2023","FQ3 2023","Currency=INR","Period=FQ","BEST_FPERIOD_OVERRIDE=FQ","FILING_STATUS=MR","EQY_CONSOLIDATED=N","SCALING_FORMAT=MLN","FA_ADJUSTED=GAAP","Sort=A","Dates=H","DateFormat=P","Fill=—","Direction=H","UseDPDF=Y")</f>
        <v>14181.72</v>
      </c>
      <c r="AA28" s="11">
        <f>_xll.BDH("INDIGO IN Equity","NET_INCOME","FQ4 2023","FQ4 2023","Currency=INR","Period=FQ","BEST_FPERIOD_OVERRIDE=FQ","FILING_STATUS=MR","EQY_CONSOLIDATED=N","SCALING_FORMAT=MLN","FA_ADJUSTED=GAAP","Sort=A","Dates=H","DateFormat=P","Fill=—","Direction=H","UseDPDF=Y")</f>
        <v>9160.2000000000007</v>
      </c>
      <c r="AB28" s="11">
        <f>_xll.BDH("INDIGO IN Equity","NET_INCOME","FQ1 2024","FQ1 2024","Currency=INR","Period=FQ","BEST_FPERIOD_OVERRIDE=FQ","FILING_STATUS=MR","EQY_CONSOLIDATED=N","SCALING_FORMAT=MLN","FA_ADJUSTED=GAAP","Sort=A","Dates=H","DateFormat=P","Fill=—","Direction=H","UseDPDF=Y")</f>
        <v>30872.46</v>
      </c>
      <c r="AC28" s="11">
        <f>_xll.BDH("INDIGO IN Equity","NET_INCOME","FQ2 2024","FQ2 2024","Currency=INR","Period=FQ","BEST_FPERIOD_OVERRIDE=FQ","FILING_STATUS=MR","EQY_CONSOLIDATED=N","SCALING_FORMAT=MLN","FA_ADJUSTED=GAAP","Sort=A","Dates=H","DateFormat=P","Fill=—","Direction=H","UseDPDF=Y")</f>
        <v>1878.6</v>
      </c>
      <c r="AD28" s="11">
        <f>_xll.BDH("INDIGO IN Equity","NET_INCOME","FQ3 2024","FQ3 2024","Currency=INR","Period=FQ","BEST_FPERIOD_OVERRIDE=FQ","FILING_STATUS=MR","EQY_CONSOLIDATED=N","SCALING_FORMAT=MLN","FA_ADJUSTED=GAAP","Sort=A","Dates=H","DateFormat=P","Fill=—","Direction=H","UseDPDF=Y")</f>
        <v>29984.94</v>
      </c>
      <c r="AE28" s="11">
        <f>_xll.BDH("INDIGO IN Equity","NET_INCOME","FQ4 2024","FQ4 2024","Currency=INR","Period=FQ","BEST_FPERIOD_OVERRIDE=FQ","FILING_STATUS=MR","EQY_CONSOLIDATED=N","SCALING_FORMAT=MLN","FA_ADJUSTED=GAAP","Sort=A","Dates=H","DateFormat=P","Fill=—","Direction=H","UseDPDF=Y")</f>
        <v>18938.849999999999</v>
      </c>
      <c r="AF28" s="11">
        <f>_xll.BDH("INDIGO IN Equity","NET_INCOME","FQ1 2025","FQ1 2025","Currency=INR","Period=FQ","BEST_FPERIOD_OVERRIDE=FQ","FILING_STATUS=MR","EQY_CONSOLIDATED=N","SCALING_FORMAT=MLN","FA_ADJUSTED=GAAP","Sort=A","Dates=H","DateFormat=P","Fill=—","Direction=H","UseDPDF=Y")</f>
        <v>27267</v>
      </c>
      <c r="AG28" s="11">
        <f>_xll.BDH("INDIGO IN Equity","NET_INCOME","FQ2 2025","FQ2 2025","Currency=INR","Period=FQ","BEST_FPERIOD_OVERRIDE=FQ","FILING_STATUS=MR","EQY_CONSOLIDATED=N","SCALING_FORMAT=MLN","FA_ADJUSTED=GAAP","Sort=A","Dates=H","DateFormat=P","Fill=—","Direction=H","UseDPDF=Y")</f>
        <v>-9888</v>
      </c>
      <c r="AH28" s="11">
        <f>_xll.BDH("INDIGO IN Equity","NET_INCOME","FQ3 2025","FQ3 2025","Currency=INR","Period=FQ","BEST_FPERIOD_OVERRIDE=FQ","FILING_STATUS=MR","EQY_CONSOLIDATED=N","SCALING_FORMAT=MLN","FA_ADJUSTED=GAAP","Sort=A","Dates=H","DateFormat=P","Fill=—","Direction=H","UseDPDF=Y")</f>
        <v>24420</v>
      </c>
      <c r="AI28" s="11">
        <f>_xll.BDH("INDIGO IN Equity","NET_INCOME","FQ4 2025","FQ4 2025","Currency=INR","Period=FQ","BEST_FPERIOD_OVERRIDE=FQ","FILING_STATUS=MR","EQY_CONSOLIDATED=N","SCALING_FORMAT=MLN","FA_ADJUSTED=GAAP","Sort=A","Dates=H","DateFormat=P","Fill=—","Direction=H","UseDPDF=Y")</f>
        <v>30734</v>
      </c>
      <c r="AJ28" s="11">
        <f>_xll.BDH("INDIGO IN Equity","NET_INCOME","FQ1 2026","FQ1 2026","Currency=INR","Period=FQ","BEST_FPERIOD_OVERRIDE=FQ","FILING_STATUS=MR","EQY_CONSOLIDATED=N","SCALING_FORMAT=MLN","FA_ADJUSTED=GAAP","Sort=A","Dates=H","DateFormat=P","Fill=—","Direction=H","UseDPDF=Y")</f>
        <v>21611</v>
      </c>
      <c r="AK28" s="11">
        <f>_xll.BDH("INDIGO IN Equity","NET_INCOME","FQ2 2026","FQ2 2026","Currency=INR","Period=FQ","BEST_FPERIOD_OVERRIDE=FQ","FILING_STATUS=MR","EQY_CONSOLIDATED=N","SCALING_FORMAT=MLN","FA_ADJUSTED=GAAP","Sort=A","Dates=H","DateFormat=P","Fill=—","Direction=H","UseDPDF=Y")</f>
        <v>-26141</v>
      </c>
      <c r="AL28" s="11">
        <f>_xll.BDH("INDIGO IN Equity","NET_INCOME","FQ3 2026","FQ3 2026","Currency=INR","Period=FQ","BEST_FPERIOD_OVERRIDE=FQ","FILING_STATUS=MR","EQY_CONSOLIDATED=N","SCALING_FORMAT=MLN","FA_ADJUSTED=GAAP","Sort=A","Dates=H","DateFormat=P","Fill=—","Direction=H","UseDPDF=Y")</f>
        <v>6126</v>
      </c>
      <c r="AM28" s="11">
        <f>_xll.BDH("INDIGO IN Equity","NET_INCOME","FQ4 2026","FQ4 2026","Currency=INR","Period=FQ","BEST_FPERIOD_OVERRIDE=FQ","FILING_STATUS=MR","EQY_CONSOLIDATED=N","SCALING_FORMAT=MLN","FA_ADJUSTED=GAAP","Sort=A","Dates=H","DateFormat=P","Fill=—","Direction=H","UseDPDF=Y")</f>
        <v>-26621</v>
      </c>
      <c r="AN28" s="11">
        <f>_xll.BDH("INDIGO IN Equity","NET_INCOME","FQ1 2027","FQ1 2027","Currency=INR","Period=FQ","BEST_FPERIOD_OVERRIDE=FQ","FILING_STATUS=MR","EQY_CONSOLIDATED=N","SCALING_FORMAT=MLN","FA_ADJUSTED=GAAP","Sort=A","Dates=H","DateFormat=P","Fill=—","Direction=H","UseDPDF=Y")</f>
        <v>-3815</v>
      </c>
      <c r="AO28" s="11">
        <v>-27881.5</v>
      </c>
      <c r="AP28" s="11">
        <v>10847.666666666701</v>
      </c>
    </row>
    <row r="29" spans="1:42" x14ac:dyDescent="0.25">
      <c r="A29" s="12" t="s">
        <v>146</v>
      </c>
      <c r="B29" s="12" t="s">
        <v>147</v>
      </c>
      <c r="C29" s="13">
        <f>_xll.BDH("INDIGO IN Equity","IS_TOT_CASH_PFD_DVD","FQ4 2017","FQ4 2017","Currency=INR","Period=FQ","BEST_FPERIOD_OVERRIDE=FQ","FILING_STATUS=MR","EQY_CONSOLIDATED=N","SCALING_FORMAT=MLN","Sort=A","Dates=H","DateFormat=P","Fill=—","Direction=H","UseDPDF=Y")</f>
        <v>0</v>
      </c>
      <c r="D29" s="13">
        <f>_xll.BDH("INDIGO IN Equity","IS_TOT_CASH_PFD_DVD","FQ1 2018","FQ1 2018","Currency=INR","Period=FQ","BEST_FPERIOD_OVERRIDE=FQ","FILING_STATUS=MR","EQY_CONSOLIDATED=N","SCALING_FORMAT=MLN","Sort=A","Dates=H","DateFormat=P","Fill=—","Direction=H","UseDPDF=Y")</f>
        <v>0</v>
      </c>
      <c r="E29" s="13">
        <f>_xll.BDH("INDIGO IN Equity","IS_TOT_CASH_PFD_DVD","FQ2 2018","FQ2 2018","Currency=INR","Period=FQ","BEST_FPERIOD_OVERRIDE=FQ","FILING_STATUS=MR","EQY_CONSOLIDATED=N","SCALING_FORMAT=MLN","Sort=A","Dates=H","DateFormat=P","Fill=—","Direction=H","UseDPDF=Y")</f>
        <v>0</v>
      </c>
      <c r="F29" s="13">
        <f>_xll.BDH("INDIGO IN Equity","IS_TOT_CASH_PFD_DVD","FQ3 2018","FQ3 2018","Currency=INR","Period=FQ","BEST_FPERIOD_OVERRIDE=FQ","FILING_STATUS=MR","EQY_CONSOLIDATED=N","SCALING_FORMAT=MLN","Sort=A","Dates=H","DateFormat=P","Fill=—","Direction=H","UseDPDF=Y")</f>
        <v>0</v>
      </c>
      <c r="G29" s="13">
        <f>_xll.BDH("INDIGO IN Equity","IS_TOT_CASH_PFD_DVD","FQ4 2018","FQ4 2018","Currency=INR","Period=FQ","BEST_FPERIOD_OVERRIDE=FQ","FILING_STATUS=MR","EQY_CONSOLIDATED=N","SCALING_FORMAT=MLN","Sort=A","Dates=H","DateFormat=P","Fill=—","Direction=H","UseDPDF=Y")</f>
        <v>0</v>
      </c>
      <c r="H29" s="13">
        <f>_xll.BDH("INDIGO IN Equity","IS_TOT_CASH_PFD_DVD","FQ1 2019","FQ1 2019","Currency=INR","Period=FQ","BEST_FPERIOD_OVERRIDE=FQ","FILING_STATUS=MR","EQY_CONSOLIDATED=N","SCALING_FORMAT=MLN","Sort=A","Dates=H","DateFormat=P","Fill=—","Direction=H","UseDPDF=Y")</f>
        <v>0</v>
      </c>
      <c r="I29" s="13">
        <f>_xll.BDH("INDIGO IN Equity","IS_TOT_CASH_PFD_DVD","FQ2 2019","FQ2 2019","Currency=INR","Period=FQ","BEST_FPERIOD_OVERRIDE=FQ","FILING_STATUS=MR","EQY_CONSOLIDATED=N","SCALING_FORMAT=MLN","Sort=A","Dates=H","DateFormat=P","Fill=—","Direction=H","UseDPDF=Y")</f>
        <v>0</v>
      </c>
      <c r="J29" s="13">
        <f>_xll.BDH("INDIGO IN Equity","IS_TOT_CASH_PFD_DVD","FQ3 2019","FQ3 2019","Currency=INR","Period=FQ","BEST_FPERIOD_OVERRIDE=FQ","FILING_STATUS=MR","EQY_CONSOLIDATED=N","SCALING_FORMAT=MLN","Sort=A","Dates=H","DateFormat=P","Fill=—","Direction=H","UseDPDF=Y")</f>
        <v>0</v>
      </c>
      <c r="K29" s="13">
        <f>_xll.BDH("INDIGO IN Equity","IS_TOT_CASH_PFD_DVD","FQ4 2019","FQ4 2019","Currency=INR","Period=FQ","BEST_FPERIOD_OVERRIDE=FQ","FILING_STATUS=MR","EQY_CONSOLIDATED=N","SCALING_FORMAT=MLN","Sort=A","Dates=H","DateFormat=P","Fill=—","Direction=H","UseDPDF=Y")</f>
        <v>0</v>
      </c>
      <c r="L29" s="13">
        <f>_xll.BDH("INDIGO IN Equity","IS_TOT_CASH_PFD_DVD","FQ1 2020","FQ1 2020","Currency=INR","Period=FQ","BEST_FPERIOD_OVERRIDE=FQ","FILING_STATUS=MR","EQY_CONSOLIDATED=N","SCALING_FORMAT=MLN","Sort=A","Dates=H","DateFormat=P","Fill=—","Direction=H","UseDPDF=Y")</f>
        <v>0</v>
      </c>
      <c r="M29" s="13">
        <f>_xll.BDH("INDIGO IN Equity","IS_TOT_CASH_PFD_DVD","FQ2 2020","FQ2 2020","Currency=INR","Period=FQ","BEST_FPERIOD_OVERRIDE=FQ","FILING_STATUS=MR","EQY_CONSOLIDATED=N","SCALING_FORMAT=MLN","Sort=A","Dates=H","DateFormat=P","Fill=—","Direction=H","UseDPDF=Y")</f>
        <v>0</v>
      </c>
      <c r="N29" s="13">
        <f>_xll.BDH("INDIGO IN Equity","IS_TOT_CASH_PFD_DVD","FQ3 2020","FQ3 2020","Currency=INR","Period=FQ","BEST_FPERIOD_OVERRIDE=FQ","FILING_STATUS=MR","EQY_CONSOLIDATED=N","SCALING_FORMAT=MLN","Sort=A","Dates=H","DateFormat=P","Fill=—","Direction=H","UseDPDF=Y")</f>
        <v>0</v>
      </c>
      <c r="O29" s="13">
        <f>_xll.BDH("INDIGO IN Equity","IS_TOT_CASH_PFD_DVD","FQ4 2020","FQ4 2020","Currency=INR","Period=FQ","BEST_FPERIOD_OVERRIDE=FQ","FILING_STATUS=MR","EQY_CONSOLIDATED=N","SCALING_FORMAT=MLN","Sort=A","Dates=H","DateFormat=P","Fill=—","Direction=H","UseDPDF=Y")</f>
        <v>0</v>
      </c>
      <c r="P29" s="13">
        <f>_xll.BDH("INDIGO IN Equity","IS_TOT_CASH_PFD_DVD","FQ1 2021","FQ1 2021","Currency=INR","Period=FQ","BEST_FPERIOD_OVERRIDE=FQ","FILING_STATUS=MR","EQY_CONSOLIDATED=N","SCALING_FORMAT=MLN","Sort=A","Dates=H","DateFormat=P","Fill=—","Direction=H","UseDPDF=Y")</f>
        <v>0</v>
      </c>
      <c r="Q29" s="13">
        <f>_xll.BDH("INDIGO IN Equity","IS_TOT_CASH_PFD_DVD","FQ2 2021","FQ2 2021","Currency=INR","Period=FQ","BEST_FPERIOD_OVERRIDE=FQ","FILING_STATUS=MR","EQY_CONSOLIDATED=N","SCALING_FORMAT=MLN","Sort=A","Dates=H","DateFormat=P","Fill=—","Direction=H","UseDPDF=Y")</f>
        <v>0</v>
      </c>
      <c r="R29" s="13">
        <f>_xll.BDH("INDIGO IN Equity","IS_TOT_CASH_PFD_DVD","FQ3 2021","FQ3 2021","Currency=INR","Period=FQ","BEST_FPERIOD_OVERRIDE=FQ","FILING_STATUS=MR","EQY_CONSOLIDATED=N","SCALING_FORMAT=MLN","Sort=A","Dates=H","DateFormat=P","Fill=—","Direction=H","UseDPDF=Y")</f>
        <v>0</v>
      </c>
      <c r="S29" s="13">
        <f>_xll.BDH("INDIGO IN Equity","IS_TOT_CASH_PFD_DVD","FQ4 2021","FQ4 2021","Currency=INR","Period=FQ","BEST_FPERIOD_OVERRIDE=FQ","FILING_STATUS=MR","EQY_CONSOLIDATED=N","SCALING_FORMAT=MLN","Sort=A","Dates=H","DateFormat=P","Fill=—","Direction=H","UseDPDF=Y")</f>
        <v>0</v>
      </c>
      <c r="T29" s="13">
        <f>_xll.BDH("INDIGO IN Equity","IS_TOT_CASH_PFD_DVD","FQ1 2022","FQ1 2022","Currency=INR","Period=FQ","BEST_FPERIOD_OVERRIDE=FQ","FILING_STATUS=MR","EQY_CONSOLIDATED=N","SCALING_FORMAT=MLN","Sort=A","Dates=H","DateFormat=P","Fill=—","Direction=H","UseDPDF=Y")</f>
        <v>0</v>
      </c>
      <c r="U29" s="13">
        <f>_xll.BDH("INDIGO IN Equity","IS_TOT_CASH_PFD_DVD","FQ2 2022","FQ2 2022","Currency=INR","Period=FQ","BEST_FPERIOD_OVERRIDE=FQ","FILING_STATUS=MR","EQY_CONSOLIDATED=N","SCALING_FORMAT=MLN","Sort=A","Dates=H","DateFormat=P","Fill=—","Direction=H","UseDPDF=Y")</f>
        <v>0</v>
      </c>
      <c r="V29" s="13">
        <f>_xll.BDH("INDIGO IN Equity","IS_TOT_CASH_PFD_DVD","FQ3 2022","FQ3 2022","Currency=INR","Period=FQ","BEST_FPERIOD_OVERRIDE=FQ","FILING_STATUS=MR","EQY_CONSOLIDATED=N","SCALING_FORMAT=MLN","Sort=A","Dates=H","DateFormat=P","Fill=—","Direction=H","UseDPDF=Y")</f>
        <v>0</v>
      </c>
      <c r="W29" s="13">
        <f>_xll.BDH("INDIGO IN Equity","IS_TOT_CASH_PFD_DVD","FQ4 2022","FQ4 2022","Currency=INR","Period=FQ","BEST_FPERIOD_OVERRIDE=FQ","FILING_STATUS=MR","EQY_CONSOLIDATED=N","SCALING_FORMAT=MLN","Sort=A","Dates=H","DateFormat=P","Fill=—","Direction=H","UseDPDF=Y")</f>
        <v>0</v>
      </c>
      <c r="X29" s="13">
        <f>_xll.BDH("INDIGO IN Equity","IS_TOT_CASH_PFD_DVD","FQ1 2023","FQ1 2023","Currency=INR","Period=FQ","BEST_FPERIOD_OVERRIDE=FQ","FILING_STATUS=MR","EQY_CONSOLIDATED=N","SCALING_FORMAT=MLN","Sort=A","Dates=H","DateFormat=P","Fill=—","Direction=H","UseDPDF=Y")</f>
        <v>0</v>
      </c>
      <c r="Y29" s="13">
        <f>_xll.BDH("INDIGO IN Equity","IS_TOT_CASH_PFD_DVD","FQ2 2023","FQ2 2023","Currency=INR","Period=FQ","BEST_FPERIOD_OVERRIDE=FQ","FILING_STATUS=MR","EQY_CONSOLIDATED=N","SCALING_FORMAT=MLN","Sort=A","Dates=H","DateFormat=P","Fill=—","Direction=H","UseDPDF=Y")</f>
        <v>0</v>
      </c>
      <c r="Z29" s="13">
        <f>_xll.BDH("INDIGO IN Equity","IS_TOT_CASH_PFD_DVD","FQ3 2023","FQ3 2023","Currency=INR","Period=FQ","BEST_FPERIOD_OVERRIDE=FQ","FILING_STATUS=MR","EQY_CONSOLIDATED=N","SCALING_FORMAT=MLN","Sort=A","Dates=H","DateFormat=P","Fill=—","Direction=H","UseDPDF=Y")</f>
        <v>0</v>
      </c>
      <c r="AA29" s="13">
        <f>_xll.BDH("INDIGO IN Equity","IS_TOT_CASH_PFD_DVD","FQ4 2023","FQ4 2023","Currency=INR","Period=FQ","BEST_FPERIOD_OVERRIDE=FQ","FILING_STATUS=MR","EQY_CONSOLIDATED=N","SCALING_FORMAT=MLN","Sort=A","Dates=H","DateFormat=P","Fill=—","Direction=H","UseDPDF=Y")</f>
        <v>0</v>
      </c>
      <c r="AB29" s="13">
        <f>_xll.BDH("INDIGO IN Equity","IS_TOT_CASH_PFD_DVD","FQ1 2024","FQ1 2024","Currency=INR","Period=FQ","BEST_FPERIOD_OVERRIDE=FQ","FILING_STATUS=MR","EQY_CONSOLIDATED=N","SCALING_FORMAT=MLN","Sort=A","Dates=H","DateFormat=P","Fill=—","Direction=H","UseDPDF=Y")</f>
        <v>0</v>
      </c>
      <c r="AC29" s="13">
        <f>_xll.BDH("INDIGO IN Equity","IS_TOT_CASH_PFD_DVD","FQ2 2024","FQ2 2024","Currency=INR","Period=FQ","BEST_FPERIOD_OVERRIDE=FQ","FILING_STATUS=MR","EQY_CONSOLIDATED=N","SCALING_FORMAT=MLN","Sort=A","Dates=H","DateFormat=P","Fill=—","Direction=H","UseDPDF=Y")</f>
        <v>0</v>
      </c>
      <c r="AD29" s="13">
        <f>_xll.BDH("INDIGO IN Equity","IS_TOT_CASH_PFD_DVD","FQ3 2024","FQ3 2024","Currency=INR","Period=FQ","BEST_FPERIOD_OVERRIDE=FQ","FILING_STATUS=MR","EQY_CONSOLIDATED=N","SCALING_FORMAT=MLN","Sort=A","Dates=H","DateFormat=P","Fill=—","Direction=H","UseDPDF=Y")</f>
        <v>0</v>
      </c>
      <c r="AE29" s="13">
        <f>_xll.BDH("INDIGO IN Equity","IS_TOT_CASH_PFD_DVD","FQ4 2024","FQ4 2024","Currency=INR","Period=FQ","BEST_FPERIOD_OVERRIDE=FQ","FILING_STATUS=MR","EQY_CONSOLIDATED=N","SCALING_FORMAT=MLN","Sort=A","Dates=H","DateFormat=P","Fill=—","Direction=H","UseDPDF=Y")</f>
        <v>0</v>
      </c>
      <c r="AF29" s="13">
        <f>_xll.BDH("INDIGO IN Equity","IS_TOT_CASH_PFD_DVD","FQ1 2025","FQ1 2025","Currency=INR","Period=FQ","BEST_FPERIOD_OVERRIDE=FQ","FILING_STATUS=MR","EQY_CONSOLIDATED=N","SCALING_FORMAT=MLN","Sort=A","Dates=H","DateFormat=P","Fill=—","Direction=H","UseDPDF=Y")</f>
        <v>0</v>
      </c>
      <c r="AG29" s="13">
        <f>_xll.BDH("INDIGO IN Equity","IS_TOT_CASH_PFD_DVD","FQ2 2025","FQ2 2025","Currency=INR","Period=FQ","BEST_FPERIOD_OVERRIDE=FQ","FILING_STATUS=MR","EQY_CONSOLIDATED=N","SCALING_FORMAT=MLN","Sort=A","Dates=H","DateFormat=P","Fill=—","Direction=H","UseDPDF=Y")</f>
        <v>0</v>
      </c>
      <c r="AH29" s="13">
        <f>_xll.BDH("INDIGO IN Equity","IS_TOT_CASH_PFD_DVD","FQ3 2025","FQ3 2025","Currency=INR","Period=FQ","BEST_FPERIOD_OVERRIDE=FQ","FILING_STATUS=MR","EQY_CONSOLIDATED=N","SCALING_FORMAT=MLN","Sort=A","Dates=H","DateFormat=P","Fill=—","Direction=H","UseDPDF=Y")</f>
        <v>0</v>
      </c>
      <c r="AI29" s="13">
        <f>_xll.BDH("INDIGO IN Equity","IS_TOT_CASH_PFD_DVD","FQ4 2025","FQ4 2025","Currency=INR","Period=FQ","BEST_FPERIOD_OVERRIDE=FQ","FILING_STATUS=MR","EQY_CONSOLIDATED=N","SCALING_FORMAT=MLN","Sort=A","Dates=H","DateFormat=P","Fill=—","Direction=H","UseDPDF=Y")</f>
        <v>0</v>
      </c>
      <c r="AJ29" s="13">
        <f>_xll.BDH("INDIGO IN Equity","IS_TOT_CASH_PFD_DVD","FQ1 2026","FQ1 2026","Currency=INR","Period=FQ","BEST_FPERIOD_OVERRIDE=FQ","FILING_STATUS=MR","EQY_CONSOLIDATED=N","SCALING_FORMAT=MLN","Sort=A","Dates=H","DateFormat=P","Fill=—","Direction=H","UseDPDF=Y")</f>
        <v>0</v>
      </c>
      <c r="AK29" s="13">
        <f>_xll.BDH("INDIGO IN Equity","IS_TOT_CASH_PFD_DVD","FQ2 2026","FQ2 2026","Currency=INR","Period=FQ","BEST_FPERIOD_OVERRIDE=FQ","FILING_STATUS=MR","EQY_CONSOLIDATED=N","SCALING_FORMAT=MLN","Sort=A","Dates=H","DateFormat=P","Fill=—","Direction=H","UseDPDF=Y")</f>
        <v>0</v>
      </c>
      <c r="AL29" s="13">
        <f>_xll.BDH("INDIGO IN Equity","IS_TOT_CASH_PFD_DVD","FQ3 2026","FQ3 2026","Currency=INR","Period=FQ","BEST_FPERIOD_OVERRIDE=FQ","FILING_STATUS=MR","EQY_CONSOLIDATED=N","SCALING_FORMAT=MLN","Sort=A","Dates=H","DateFormat=P","Fill=—","Direction=H","UseDPDF=Y")</f>
        <v>0</v>
      </c>
      <c r="AM29" s="13">
        <f>_xll.BDH("INDIGO IN Equity","IS_TOT_CASH_PFD_DVD","FQ4 2026","FQ4 2026","Currency=INR","Period=FQ","BEST_FPERIOD_OVERRIDE=FQ","FILING_STATUS=MR","EQY_CONSOLIDATED=N","SCALING_FORMAT=MLN","Sort=A","Dates=H","DateFormat=P","Fill=—","Direction=H","UseDPDF=Y")</f>
        <v>0</v>
      </c>
      <c r="AN29" s="13">
        <f>_xll.BDH("INDIGO IN Equity","IS_TOT_CASH_PFD_DVD","FQ1 2027","FQ1 2027","Currency=INR","Period=FQ","BEST_FPERIOD_OVERRIDE=FQ","FILING_STATUS=MR","EQY_CONSOLIDATED=N","SCALING_FORMAT=MLN","Sort=A","Dates=H","DateFormat=P","Fill=—","Direction=H","UseDPDF=Y")</f>
        <v>0</v>
      </c>
      <c r="AO29" s="13"/>
      <c r="AP29" s="13"/>
    </row>
    <row r="30" spans="1:42" x14ac:dyDescent="0.25">
      <c r="A30" s="12" t="s">
        <v>148</v>
      </c>
      <c r="B30" s="12" t="s">
        <v>149</v>
      </c>
      <c r="C30" s="13">
        <f>_xll.BDH("INDIGO IN Equity","OTHER_ADJUSTMENTS","FQ4 2017","FQ4 2017","Currency=INR","Period=FQ","BEST_FPERIOD_OVERRIDE=FQ","FILING_STATUS=MR","EQY_CONSOLIDATED=N","SCALING_FORMAT=MLN","Sort=A","Dates=H","DateFormat=P","Fill=—","Direction=H","UseDPDF=Y")</f>
        <v>0</v>
      </c>
      <c r="D30" s="13">
        <f>_xll.BDH("INDIGO IN Equity","OTHER_ADJUSTMENTS","FQ1 2018","FQ1 2018","Currency=INR","Period=FQ","BEST_FPERIOD_OVERRIDE=FQ","FILING_STATUS=MR","EQY_CONSOLIDATED=N","SCALING_FORMAT=MLN","Sort=A","Dates=H","DateFormat=P","Fill=—","Direction=H","UseDPDF=Y")</f>
        <v>0</v>
      </c>
      <c r="E30" s="13">
        <f>_xll.BDH("INDIGO IN Equity","OTHER_ADJUSTMENTS","FQ2 2018","FQ2 2018","Currency=INR","Period=FQ","BEST_FPERIOD_OVERRIDE=FQ","FILING_STATUS=MR","EQY_CONSOLIDATED=N","SCALING_FORMAT=MLN","Sort=A","Dates=H","DateFormat=P","Fill=—","Direction=H","UseDPDF=Y")</f>
        <v>0</v>
      </c>
      <c r="F30" s="13">
        <f>_xll.BDH("INDIGO IN Equity","OTHER_ADJUSTMENTS","FQ3 2018","FQ3 2018","Currency=INR","Period=FQ","BEST_FPERIOD_OVERRIDE=FQ","FILING_STATUS=MR","EQY_CONSOLIDATED=N","SCALING_FORMAT=MLN","Sort=A","Dates=H","DateFormat=P","Fill=—","Direction=H","UseDPDF=Y")</f>
        <v>0</v>
      </c>
      <c r="G30" s="13">
        <f>_xll.BDH("INDIGO IN Equity","OTHER_ADJUSTMENTS","FQ4 2018","FQ4 2018","Currency=INR","Period=FQ","BEST_FPERIOD_OVERRIDE=FQ","FILING_STATUS=MR","EQY_CONSOLIDATED=N","SCALING_FORMAT=MLN","Sort=A","Dates=H","DateFormat=P","Fill=—","Direction=H","UseDPDF=Y")</f>
        <v>0</v>
      </c>
      <c r="H30" s="13">
        <f>_xll.BDH("INDIGO IN Equity","OTHER_ADJUSTMENTS","FQ1 2019","FQ1 2019","Currency=INR","Period=FQ","BEST_FPERIOD_OVERRIDE=FQ","FILING_STATUS=MR","EQY_CONSOLIDATED=N","SCALING_FORMAT=MLN","Sort=A","Dates=H","DateFormat=P","Fill=—","Direction=H","UseDPDF=Y")</f>
        <v>0</v>
      </c>
      <c r="I30" s="13">
        <f>_xll.BDH("INDIGO IN Equity","OTHER_ADJUSTMENTS","FQ2 2019","FQ2 2019","Currency=INR","Period=FQ","BEST_FPERIOD_OVERRIDE=FQ","FILING_STATUS=MR","EQY_CONSOLIDATED=N","SCALING_FORMAT=MLN","Sort=A","Dates=H","DateFormat=P","Fill=—","Direction=H","UseDPDF=Y")</f>
        <v>0</v>
      </c>
      <c r="J30" s="13">
        <f>_xll.BDH("INDIGO IN Equity","OTHER_ADJUSTMENTS","FQ3 2019","FQ3 2019","Currency=INR","Period=FQ","BEST_FPERIOD_OVERRIDE=FQ","FILING_STATUS=MR","EQY_CONSOLIDATED=N","SCALING_FORMAT=MLN","Sort=A","Dates=H","DateFormat=P","Fill=—","Direction=H","UseDPDF=Y")</f>
        <v>0</v>
      </c>
      <c r="K30" s="13">
        <f>_xll.BDH("INDIGO IN Equity","OTHER_ADJUSTMENTS","FQ4 2019","FQ4 2019","Currency=INR","Period=FQ","BEST_FPERIOD_OVERRIDE=FQ","FILING_STATUS=MR","EQY_CONSOLIDATED=N","SCALING_FORMAT=MLN","Sort=A","Dates=H","DateFormat=P","Fill=—","Direction=H","UseDPDF=Y")</f>
        <v>0</v>
      </c>
      <c r="L30" s="13">
        <f>_xll.BDH("INDIGO IN Equity","OTHER_ADJUSTMENTS","FQ1 2020","FQ1 2020","Currency=INR","Period=FQ","BEST_FPERIOD_OVERRIDE=FQ","FILING_STATUS=MR","EQY_CONSOLIDATED=N","SCALING_FORMAT=MLN","Sort=A","Dates=H","DateFormat=P","Fill=—","Direction=H","UseDPDF=Y")</f>
        <v>0</v>
      </c>
      <c r="M30" s="13">
        <f>_xll.BDH("INDIGO IN Equity","OTHER_ADJUSTMENTS","FQ2 2020","FQ2 2020","Currency=INR","Period=FQ","BEST_FPERIOD_OVERRIDE=FQ","FILING_STATUS=MR","EQY_CONSOLIDATED=N","SCALING_FORMAT=MLN","Sort=A","Dates=H","DateFormat=P","Fill=—","Direction=H","UseDPDF=Y")</f>
        <v>0</v>
      </c>
      <c r="N30" s="13">
        <f>_xll.BDH("INDIGO IN Equity","OTHER_ADJUSTMENTS","FQ3 2020","FQ3 2020","Currency=INR","Period=FQ","BEST_FPERIOD_OVERRIDE=FQ","FILING_STATUS=MR","EQY_CONSOLIDATED=N","SCALING_FORMAT=MLN","Sort=A","Dates=H","DateFormat=P","Fill=—","Direction=H","UseDPDF=Y")</f>
        <v>0</v>
      </c>
      <c r="O30" s="13">
        <f>_xll.BDH("INDIGO IN Equity","OTHER_ADJUSTMENTS","FQ4 2020","FQ4 2020","Currency=INR","Period=FQ","BEST_FPERIOD_OVERRIDE=FQ","FILING_STATUS=MR","EQY_CONSOLIDATED=N","SCALING_FORMAT=MLN","Sort=A","Dates=H","DateFormat=P","Fill=—","Direction=H","UseDPDF=Y")</f>
        <v>0</v>
      </c>
      <c r="P30" s="13">
        <f>_xll.BDH("INDIGO IN Equity","OTHER_ADJUSTMENTS","FQ1 2021","FQ1 2021","Currency=INR","Period=FQ","BEST_FPERIOD_OVERRIDE=FQ","FILING_STATUS=MR","EQY_CONSOLIDATED=N","SCALING_FORMAT=MLN","Sort=A","Dates=H","DateFormat=P","Fill=—","Direction=H","UseDPDF=Y")</f>
        <v>0</v>
      </c>
      <c r="Q30" s="13">
        <f>_xll.BDH("INDIGO IN Equity","OTHER_ADJUSTMENTS","FQ2 2021","FQ2 2021","Currency=INR","Period=FQ","BEST_FPERIOD_OVERRIDE=FQ","FILING_STATUS=MR","EQY_CONSOLIDATED=N","SCALING_FORMAT=MLN","Sort=A","Dates=H","DateFormat=P","Fill=—","Direction=H","UseDPDF=Y")</f>
        <v>0</v>
      </c>
      <c r="R30" s="13">
        <f>_xll.BDH("INDIGO IN Equity","OTHER_ADJUSTMENTS","FQ3 2021","FQ3 2021","Currency=INR","Period=FQ","BEST_FPERIOD_OVERRIDE=FQ","FILING_STATUS=MR","EQY_CONSOLIDATED=N","SCALING_FORMAT=MLN","Sort=A","Dates=H","DateFormat=P","Fill=—","Direction=H","UseDPDF=Y")</f>
        <v>0</v>
      </c>
      <c r="S30" s="13">
        <f>_xll.BDH("INDIGO IN Equity","OTHER_ADJUSTMENTS","FQ4 2021","FQ4 2021","Currency=INR","Period=FQ","BEST_FPERIOD_OVERRIDE=FQ","FILING_STATUS=MR","EQY_CONSOLIDATED=N","SCALING_FORMAT=MLN","Sort=A","Dates=H","DateFormat=P","Fill=—","Direction=H","UseDPDF=Y")</f>
        <v>0</v>
      </c>
      <c r="T30" s="13">
        <f>_xll.BDH("INDIGO IN Equity","OTHER_ADJUSTMENTS","FQ1 2022","FQ1 2022","Currency=INR","Period=FQ","BEST_FPERIOD_OVERRIDE=FQ","FILING_STATUS=MR","EQY_CONSOLIDATED=N","SCALING_FORMAT=MLN","Sort=A","Dates=H","DateFormat=P","Fill=—","Direction=H","UseDPDF=Y")</f>
        <v>0</v>
      </c>
      <c r="U30" s="13">
        <f>_xll.BDH("INDIGO IN Equity","OTHER_ADJUSTMENTS","FQ2 2022","FQ2 2022","Currency=INR","Period=FQ","BEST_FPERIOD_OVERRIDE=FQ","FILING_STATUS=MR","EQY_CONSOLIDATED=N","SCALING_FORMAT=MLN","Sort=A","Dates=H","DateFormat=P","Fill=—","Direction=H","UseDPDF=Y")</f>
        <v>0</v>
      </c>
      <c r="V30" s="13">
        <f>_xll.BDH("INDIGO IN Equity","OTHER_ADJUSTMENTS","FQ3 2022","FQ3 2022","Currency=INR","Period=FQ","BEST_FPERIOD_OVERRIDE=FQ","FILING_STATUS=MR","EQY_CONSOLIDATED=N","SCALING_FORMAT=MLN","Sort=A","Dates=H","DateFormat=P","Fill=—","Direction=H","UseDPDF=Y")</f>
        <v>0</v>
      </c>
      <c r="W30" s="13">
        <f>_xll.BDH("INDIGO IN Equity","OTHER_ADJUSTMENTS","FQ4 2022","FQ4 2022","Currency=INR","Period=FQ","BEST_FPERIOD_OVERRIDE=FQ","FILING_STATUS=MR","EQY_CONSOLIDATED=N","SCALING_FORMAT=MLN","Sort=A","Dates=H","DateFormat=P","Fill=—","Direction=H","UseDPDF=Y")</f>
        <v>0</v>
      </c>
      <c r="X30" s="13">
        <f>_xll.BDH("INDIGO IN Equity","OTHER_ADJUSTMENTS","FQ1 2023","FQ1 2023","Currency=INR","Period=FQ","BEST_FPERIOD_OVERRIDE=FQ","FILING_STATUS=MR","EQY_CONSOLIDATED=N","SCALING_FORMAT=MLN","Sort=A","Dates=H","DateFormat=P","Fill=—","Direction=H","UseDPDF=Y")</f>
        <v>0</v>
      </c>
      <c r="Y30" s="13">
        <f>_xll.BDH("INDIGO IN Equity","OTHER_ADJUSTMENTS","FQ2 2023","FQ2 2023","Currency=INR","Period=FQ","BEST_FPERIOD_OVERRIDE=FQ","FILING_STATUS=MR","EQY_CONSOLIDATED=N","SCALING_FORMAT=MLN","Sort=A","Dates=H","DateFormat=P","Fill=—","Direction=H","UseDPDF=Y")</f>
        <v>0</v>
      </c>
      <c r="Z30" s="13">
        <f>_xll.BDH("INDIGO IN Equity","OTHER_ADJUSTMENTS","FQ3 2023","FQ3 2023","Currency=INR","Period=FQ","BEST_FPERIOD_OVERRIDE=FQ","FILING_STATUS=MR","EQY_CONSOLIDATED=N","SCALING_FORMAT=MLN","Sort=A","Dates=H","DateFormat=P","Fill=—","Direction=H","UseDPDF=Y")</f>
        <v>0</v>
      </c>
      <c r="AA30" s="13">
        <f>_xll.BDH("INDIGO IN Equity","OTHER_ADJUSTMENTS","FQ4 2023","FQ4 2023","Currency=INR","Period=FQ","BEST_FPERIOD_OVERRIDE=FQ","FILING_STATUS=MR","EQY_CONSOLIDATED=N","SCALING_FORMAT=MLN","Sort=A","Dates=H","DateFormat=P","Fill=—","Direction=H","UseDPDF=Y")</f>
        <v>0</v>
      </c>
      <c r="AB30" s="13">
        <f>_xll.BDH("INDIGO IN Equity","OTHER_ADJUSTMENTS","FQ1 2024","FQ1 2024","Currency=INR","Period=FQ","BEST_FPERIOD_OVERRIDE=FQ","FILING_STATUS=MR","EQY_CONSOLIDATED=N","SCALING_FORMAT=MLN","Sort=A","Dates=H","DateFormat=P","Fill=—","Direction=H","UseDPDF=Y")</f>
        <v>0</v>
      </c>
      <c r="AC30" s="13">
        <f>_xll.BDH("INDIGO IN Equity","OTHER_ADJUSTMENTS","FQ2 2024","FQ2 2024","Currency=INR","Period=FQ","BEST_FPERIOD_OVERRIDE=FQ","FILING_STATUS=MR","EQY_CONSOLIDATED=N","SCALING_FORMAT=MLN","Sort=A","Dates=H","DateFormat=P","Fill=—","Direction=H","UseDPDF=Y")</f>
        <v>0</v>
      </c>
      <c r="AD30" s="13">
        <f>_xll.BDH("INDIGO IN Equity","OTHER_ADJUSTMENTS","FQ3 2024","FQ3 2024","Currency=INR","Period=FQ","BEST_FPERIOD_OVERRIDE=FQ","FILING_STATUS=MR","EQY_CONSOLIDATED=N","SCALING_FORMAT=MLN","Sort=A","Dates=H","DateFormat=P","Fill=—","Direction=H","UseDPDF=Y")</f>
        <v>0</v>
      </c>
      <c r="AE30" s="13">
        <f>_xll.BDH("INDIGO IN Equity","OTHER_ADJUSTMENTS","FQ4 2024","FQ4 2024","Currency=INR","Period=FQ","BEST_FPERIOD_OVERRIDE=FQ","FILING_STATUS=MR","EQY_CONSOLIDATED=N","SCALING_FORMAT=MLN","Sort=A","Dates=H","DateFormat=P","Fill=—","Direction=H","UseDPDF=Y")</f>
        <v>0</v>
      </c>
      <c r="AF30" s="13">
        <f>_xll.BDH("INDIGO IN Equity","OTHER_ADJUSTMENTS","FQ1 2025","FQ1 2025","Currency=INR","Period=FQ","BEST_FPERIOD_OVERRIDE=FQ","FILING_STATUS=MR","EQY_CONSOLIDATED=N","SCALING_FORMAT=MLN","Sort=A","Dates=H","DateFormat=P","Fill=—","Direction=H","UseDPDF=Y")</f>
        <v>0</v>
      </c>
      <c r="AG30" s="13">
        <f>_xll.BDH("INDIGO IN Equity","OTHER_ADJUSTMENTS","FQ2 2025","FQ2 2025","Currency=INR","Period=FQ","BEST_FPERIOD_OVERRIDE=FQ","FILING_STATUS=MR","EQY_CONSOLIDATED=N","SCALING_FORMAT=MLN","Sort=A","Dates=H","DateFormat=P","Fill=—","Direction=H","UseDPDF=Y")</f>
        <v>0</v>
      </c>
      <c r="AH30" s="13">
        <f>_xll.BDH("INDIGO IN Equity","OTHER_ADJUSTMENTS","FQ3 2025","FQ3 2025","Currency=INR","Period=FQ","BEST_FPERIOD_OVERRIDE=FQ","FILING_STATUS=MR","EQY_CONSOLIDATED=N","SCALING_FORMAT=MLN","Sort=A","Dates=H","DateFormat=P","Fill=—","Direction=H","UseDPDF=Y")</f>
        <v>0</v>
      </c>
      <c r="AI30" s="13">
        <f>_xll.BDH("INDIGO IN Equity","OTHER_ADJUSTMENTS","FQ4 2025","FQ4 2025","Currency=INR","Period=FQ","BEST_FPERIOD_OVERRIDE=FQ","FILING_STATUS=MR","EQY_CONSOLIDATED=N","SCALING_FORMAT=MLN","Sort=A","Dates=H","DateFormat=P","Fill=—","Direction=H","UseDPDF=Y")</f>
        <v>0</v>
      </c>
      <c r="AJ30" s="13">
        <f>_xll.BDH("INDIGO IN Equity","OTHER_ADJUSTMENTS","FQ1 2026","FQ1 2026","Currency=INR","Period=FQ","BEST_FPERIOD_OVERRIDE=FQ","FILING_STATUS=MR","EQY_CONSOLIDATED=N","SCALING_FORMAT=MLN","Sort=A","Dates=H","DateFormat=P","Fill=—","Direction=H","UseDPDF=Y")</f>
        <v>0</v>
      </c>
      <c r="AK30" s="13">
        <f>_xll.BDH("INDIGO IN Equity","OTHER_ADJUSTMENTS","FQ2 2026","FQ2 2026","Currency=INR","Period=FQ","BEST_FPERIOD_OVERRIDE=FQ","FILING_STATUS=MR","EQY_CONSOLIDATED=N","SCALING_FORMAT=MLN","Sort=A","Dates=H","DateFormat=P","Fill=—","Direction=H","UseDPDF=Y")</f>
        <v>0</v>
      </c>
      <c r="AL30" s="13">
        <f>_xll.BDH("INDIGO IN Equity","OTHER_ADJUSTMENTS","FQ3 2026","FQ3 2026","Currency=INR","Period=FQ","BEST_FPERIOD_OVERRIDE=FQ","FILING_STATUS=MR","EQY_CONSOLIDATED=N","SCALING_FORMAT=MLN","Sort=A","Dates=H","DateFormat=P","Fill=—","Direction=H","UseDPDF=Y")</f>
        <v>0</v>
      </c>
      <c r="AM30" s="13">
        <f>_xll.BDH("INDIGO IN Equity","OTHER_ADJUSTMENTS","FQ4 2026","FQ4 2026","Currency=INR","Period=FQ","BEST_FPERIOD_OVERRIDE=FQ","FILING_STATUS=MR","EQY_CONSOLIDATED=N","SCALING_FORMAT=MLN","Sort=A","Dates=H","DateFormat=P","Fill=—","Direction=H","UseDPDF=Y")</f>
        <v>0</v>
      </c>
      <c r="AN30" s="13">
        <f>_xll.BDH("INDIGO IN Equity","OTHER_ADJUSTMENTS","FQ1 2027","FQ1 2027","Currency=INR","Period=FQ","BEST_FPERIOD_OVERRIDE=FQ","FILING_STATUS=MR","EQY_CONSOLIDATED=N","SCALING_FORMAT=MLN","Sort=A","Dates=H","DateFormat=P","Fill=—","Direction=H","UseDPDF=Y")</f>
        <v>0</v>
      </c>
      <c r="AO30" s="13"/>
      <c r="AP30" s="13"/>
    </row>
    <row r="31" spans="1:42" x14ac:dyDescent="0.25">
      <c r="A31" s="10" t="s">
        <v>150</v>
      </c>
      <c r="B31" s="10" t="s">
        <v>151</v>
      </c>
      <c r="C31" s="11">
        <f>_xll.BDH("INDIGO IN Equity","EARN_FOR_COMMON","FQ4 2017","FQ4 2017","Currency=INR","Period=FQ","BEST_FPERIOD_OVERRIDE=FQ","FILING_STATUS=MR","EQY_CONSOLIDATED=N","SCALING_FORMAT=MLN","FA_ADJUSTED=GAAP","Sort=A","Dates=H","DateFormat=P","Fill=—","Direction=H","UseDPDF=Y")</f>
        <v>4403.08</v>
      </c>
      <c r="D31" s="11">
        <f>_xll.BDH("INDIGO IN Equity","EARN_FOR_COMMON","FQ1 2018","FQ1 2018","Currency=INR","Period=FQ","BEST_FPERIOD_OVERRIDE=FQ","FILING_STATUS=MR","EQY_CONSOLIDATED=N","SCALING_FORMAT=MLN","FA_ADJUSTED=GAAP","Sort=A","Dates=H","DateFormat=P","Fill=—","Direction=H","UseDPDF=Y")</f>
        <v>8111.46</v>
      </c>
      <c r="E31" s="11">
        <f>_xll.BDH("INDIGO IN Equity","EARN_FOR_COMMON","FQ2 2018","FQ2 2018","Currency=INR","Period=FQ","BEST_FPERIOD_OVERRIDE=FQ","FILING_STATUS=MR","EQY_CONSOLIDATED=N","SCALING_FORMAT=MLN","FA_ADJUSTED=GAAP","Sort=A","Dates=H","DateFormat=P","Fill=—","Direction=H","UseDPDF=Y")</f>
        <v>5515.56</v>
      </c>
      <c r="F31" s="11">
        <f>_xll.BDH("INDIGO IN Equity","EARN_FOR_COMMON","FQ3 2018","FQ3 2018","Currency=INR","Period=FQ","BEST_FPERIOD_OVERRIDE=FQ","FILING_STATUS=MR","EQY_CONSOLIDATED=N","SCALING_FORMAT=MLN","FA_ADJUSTED=GAAP","Sort=A","Dates=H","DateFormat=P","Fill=—","Direction=H","UseDPDF=Y")</f>
        <v>7620.3</v>
      </c>
      <c r="G31" s="11">
        <f>_xll.BDH("INDIGO IN Equity","EARN_FOR_COMMON","FQ4 2018","FQ4 2018","Currency=INR","Period=FQ","BEST_FPERIOD_OVERRIDE=FQ","FILING_STATUS=MR","EQY_CONSOLIDATED=N","SCALING_FORMAT=MLN","FA_ADJUSTED=GAAP","Sort=A","Dates=H","DateFormat=P","Fill=—","Direction=H","UseDPDF=Y")</f>
        <v>1176.42</v>
      </c>
      <c r="H31" s="11">
        <f>_xll.BDH("INDIGO IN Equity","EARN_FOR_COMMON","FQ1 2019","FQ1 2019","Currency=INR","Period=FQ","BEST_FPERIOD_OVERRIDE=FQ","FILING_STATUS=MR","EQY_CONSOLIDATED=N","SCALING_FORMAT=MLN","FA_ADJUSTED=GAAP","Sort=A","Dates=H","DateFormat=P","Fill=—","Direction=H","UseDPDF=Y")</f>
        <v>277.89999999999998</v>
      </c>
      <c r="I31" s="11">
        <f>_xll.BDH("INDIGO IN Equity","EARN_FOR_COMMON","FQ2 2019","FQ2 2019","Currency=INR","Period=FQ","BEST_FPERIOD_OVERRIDE=FQ","FILING_STATUS=MR","EQY_CONSOLIDATED=N","SCALING_FORMAT=MLN","FA_ADJUSTED=GAAP","Sort=A","Dates=H","DateFormat=P","Fill=—","Direction=H","UseDPDF=Y")</f>
        <v>-6521.3</v>
      </c>
      <c r="J31" s="11">
        <f>_xll.BDH("INDIGO IN Equity","EARN_FOR_COMMON","FQ3 2019","FQ3 2019","Currency=INR","Period=FQ","BEST_FPERIOD_OVERRIDE=FQ","FILING_STATUS=MR","EQY_CONSOLIDATED=N","SCALING_FORMAT=MLN","FA_ADJUSTED=GAAP","Sort=A","Dates=H","DateFormat=P","Fill=—","Direction=H","UseDPDF=Y")</f>
        <v>1908.88</v>
      </c>
      <c r="K31" s="11">
        <f>_xll.BDH("INDIGO IN Equity","EARN_FOR_COMMON","FQ4 2019","FQ4 2019","Currency=INR","Period=FQ","BEST_FPERIOD_OVERRIDE=FQ","FILING_STATUS=MR","EQY_CONSOLIDATED=N","SCALING_FORMAT=MLN","FA_ADJUSTED=GAAP","Sort=A","Dates=H","DateFormat=P","Fill=—","Direction=H","UseDPDF=Y")</f>
        <v>5895.87</v>
      </c>
      <c r="L31" s="11">
        <f>_xll.BDH("INDIGO IN Equity","EARN_FOR_COMMON","FQ1 2020","FQ1 2020","Currency=INR","Period=FQ","BEST_FPERIOD_OVERRIDE=FQ","FILING_STATUS=MR","EQY_CONSOLIDATED=N","SCALING_FORMAT=MLN","FA_ADJUSTED=GAAP","Sort=A","Dates=H","DateFormat=P","Fill=—","Direction=H","UseDPDF=Y")</f>
        <v>12004.68</v>
      </c>
      <c r="M31" s="11">
        <f>_xll.BDH("INDIGO IN Equity","EARN_FOR_COMMON","FQ2 2020","FQ2 2020","Currency=INR","Period=FQ","BEST_FPERIOD_OVERRIDE=FQ","FILING_STATUS=MR","EQY_CONSOLIDATED=N","SCALING_FORMAT=MLN","FA_ADJUSTED=GAAP","Sort=A","Dates=H","DateFormat=P","Fill=—","Direction=H","UseDPDF=Y")</f>
        <v>-10656.11</v>
      </c>
      <c r="N31" s="11">
        <f>_xll.BDH("INDIGO IN Equity","EARN_FOR_COMMON","FQ3 2020","FQ3 2020","Currency=INR","Period=FQ","BEST_FPERIOD_OVERRIDE=FQ","FILING_STATUS=MR","EQY_CONSOLIDATED=N","SCALING_FORMAT=MLN","FA_ADJUSTED=GAAP","Sort=A","Dates=H","DateFormat=P","Fill=—","Direction=H","UseDPDF=Y")</f>
        <v>4904.5</v>
      </c>
      <c r="O31" s="11">
        <f>_xll.BDH("INDIGO IN Equity","EARN_FOR_COMMON","FQ4 2020","FQ4 2020","Currency=INR","Period=FQ","BEST_FPERIOD_OVERRIDE=FQ","FILING_STATUS=MR","EQY_CONSOLIDATED=N","SCALING_FORMAT=MLN","FA_ADJUSTED=GAAP","Sort=A","Dates=H","DateFormat=P","Fill=—","Direction=H","UseDPDF=Y")</f>
        <v>-8734.66</v>
      </c>
      <c r="P31" s="11">
        <f>_xll.BDH("INDIGO IN Equity","EARN_FOR_COMMON","FQ1 2021","FQ1 2021","Currency=INR","Period=FQ","BEST_FPERIOD_OVERRIDE=FQ","FILING_STATUS=MR","EQY_CONSOLIDATED=N","SCALING_FORMAT=MLN","FA_ADJUSTED=GAAP","Sort=A","Dates=H","DateFormat=P","Fill=—","Direction=H","UseDPDF=Y")</f>
        <v>-28493.919999999998</v>
      </c>
      <c r="Q31" s="11">
        <f>_xll.BDH("INDIGO IN Equity","EARN_FOR_COMMON","FQ2 2021","FQ2 2021","Currency=INR","Period=FQ","BEST_FPERIOD_OVERRIDE=FQ","FILING_STATUS=MR","EQY_CONSOLIDATED=N","SCALING_FORMAT=MLN","FA_ADJUSTED=GAAP","Sort=A","Dates=H","DateFormat=P","Fill=—","Direction=H","UseDPDF=Y")</f>
        <v>-11947.7</v>
      </c>
      <c r="R31" s="11">
        <f>_xll.BDH("INDIGO IN Equity","EARN_FOR_COMMON","FQ3 2021","FQ3 2021","Currency=INR","Period=FQ","BEST_FPERIOD_OVERRIDE=FQ","FILING_STATUS=MR","EQY_CONSOLIDATED=N","SCALING_FORMAT=MLN","FA_ADJUSTED=GAAP","Sort=A","Dates=H","DateFormat=P","Fill=—","Direction=H","UseDPDF=Y")</f>
        <v>-6265.81</v>
      </c>
      <c r="S31" s="11">
        <f>_xll.BDH("INDIGO IN Equity","EARN_FOR_COMMON","FQ4 2021","FQ4 2021","Currency=INR","Period=FQ","BEST_FPERIOD_OVERRIDE=FQ","FILING_STATUS=MR","EQY_CONSOLIDATED=N","SCALING_FORMAT=MLN","FA_ADJUSTED=GAAP","Sort=A","Dates=H","DateFormat=P","Fill=—","Direction=H","UseDPDF=Y")</f>
        <v>-11590.49</v>
      </c>
      <c r="T31" s="11">
        <f>_xll.BDH("INDIGO IN Equity","EARN_FOR_COMMON","FQ1 2022","FQ1 2022","Currency=INR","Period=FQ","BEST_FPERIOD_OVERRIDE=FQ","FILING_STATUS=MR","EQY_CONSOLIDATED=N","SCALING_FORMAT=MLN","FA_ADJUSTED=GAAP","Sort=A","Dates=H","DateFormat=P","Fill=—","Direction=H","UseDPDF=Y")</f>
        <v>-31792.65</v>
      </c>
      <c r="U31" s="11">
        <f>_xll.BDH("INDIGO IN Equity","EARN_FOR_COMMON","FQ2 2022","FQ2 2022","Currency=INR","Period=FQ","BEST_FPERIOD_OVERRIDE=FQ","FILING_STATUS=MR","EQY_CONSOLIDATED=N","SCALING_FORMAT=MLN","FA_ADJUSTED=GAAP","Sort=A","Dates=H","DateFormat=P","Fill=—","Direction=H","UseDPDF=Y")</f>
        <v>-14404.2</v>
      </c>
      <c r="V31" s="11">
        <f>_xll.BDH("INDIGO IN Equity","EARN_FOR_COMMON","FQ3 2022","FQ3 2022","Currency=INR","Period=FQ","BEST_FPERIOD_OVERRIDE=FQ","FILING_STATUS=MR","EQY_CONSOLIDATED=N","SCALING_FORMAT=MLN","FA_ADJUSTED=GAAP","Sort=A","Dates=H","DateFormat=P","Fill=—","Direction=H","UseDPDF=Y")</f>
        <v>1284.5</v>
      </c>
      <c r="W31" s="11">
        <f>_xll.BDH("INDIGO IN Equity","EARN_FOR_COMMON","FQ4 2022","FQ4 2022","Currency=INR","Period=FQ","BEST_FPERIOD_OVERRIDE=FQ","FILING_STATUS=MR","EQY_CONSOLIDATED=N","SCALING_FORMAT=MLN","FA_ADJUSTED=GAAP","Sort=A","Dates=H","DateFormat=P","Fill=—","Direction=H","UseDPDF=Y")</f>
        <v>-16797.900000000001</v>
      </c>
      <c r="X31" s="11">
        <f>_xll.BDH("INDIGO IN Equity","EARN_FOR_COMMON","FQ1 2023","FQ1 2023","Currency=INR","Period=FQ","BEST_FPERIOD_OVERRIDE=FQ","FILING_STATUS=MR","EQY_CONSOLIDATED=N","SCALING_FORMAT=MLN","FA_ADJUSTED=GAAP","Sort=A","Dates=H","DateFormat=P","Fill=—","Direction=H","UseDPDF=Y")</f>
        <v>-10654.23</v>
      </c>
      <c r="Y31" s="11">
        <f>_xll.BDH("INDIGO IN Equity","EARN_FOR_COMMON","FQ2 2023","FQ2 2023","Currency=INR","Period=FQ","BEST_FPERIOD_OVERRIDE=FQ","FILING_STATUS=MR","EQY_CONSOLIDATED=N","SCALING_FORMAT=MLN","FA_ADJUSTED=GAAP","Sort=A","Dates=H","DateFormat=P","Fill=—","Direction=H","UseDPDF=Y")</f>
        <v>-15854.85</v>
      </c>
      <c r="Z31" s="11">
        <f>_xll.BDH("INDIGO IN Equity","EARN_FOR_COMMON","FQ3 2023","FQ3 2023","Currency=INR","Period=FQ","BEST_FPERIOD_OVERRIDE=FQ","FILING_STATUS=MR","EQY_CONSOLIDATED=N","SCALING_FORMAT=MLN","FA_ADJUSTED=GAAP","Sort=A","Dates=H","DateFormat=P","Fill=—","Direction=H","UseDPDF=Y")</f>
        <v>14181.72</v>
      </c>
      <c r="AA31" s="11">
        <f>_xll.BDH("INDIGO IN Equity","EARN_FOR_COMMON","FQ4 2023","FQ4 2023","Currency=INR","Period=FQ","BEST_FPERIOD_OVERRIDE=FQ","FILING_STATUS=MR","EQY_CONSOLIDATED=N","SCALING_FORMAT=MLN","FA_ADJUSTED=GAAP","Sort=A","Dates=H","DateFormat=P","Fill=—","Direction=H","UseDPDF=Y")</f>
        <v>9160.2000000000007</v>
      </c>
      <c r="AB31" s="11">
        <f>_xll.BDH("INDIGO IN Equity","EARN_FOR_COMMON","FQ1 2024","FQ1 2024","Currency=INR","Period=FQ","BEST_FPERIOD_OVERRIDE=FQ","FILING_STATUS=MR","EQY_CONSOLIDATED=N","SCALING_FORMAT=MLN","FA_ADJUSTED=GAAP","Sort=A","Dates=H","DateFormat=P","Fill=—","Direction=H","UseDPDF=Y")</f>
        <v>30872.46</v>
      </c>
      <c r="AC31" s="11">
        <f>_xll.BDH("INDIGO IN Equity","EARN_FOR_COMMON","FQ2 2024","FQ2 2024","Currency=INR","Period=FQ","BEST_FPERIOD_OVERRIDE=FQ","FILING_STATUS=MR","EQY_CONSOLIDATED=N","SCALING_FORMAT=MLN","FA_ADJUSTED=GAAP","Sort=A","Dates=H","DateFormat=P","Fill=—","Direction=H","UseDPDF=Y")</f>
        <v>1878.6</v>
      </c>
      <c r="AD31" s="11">
        <f>_xll.BDH("INDIGO IN Equity","EARN_FOR_COMMON","FQ3 2024","FQ3 2024","Currency=INR","Period=FQ","BEST_FPERIOD_OVERRIDE=FQ","FILING_STATUS=MR","EQY_CONSOLIDATED=N","SCALING_FORMAT=MLN","FA_ADJUSTED=GAAP","Sort=A","Dates=H","DateFormat=P","Fill=—","Direction=H","UseDPDF=Y")</f>
        <v>29984.94</v>
      </c>
      <c r="AE31" s="11">
        <f>_xll.BDH("INDIGO IN Equity","EARN_FOR_COMMON","FQ4 2024","FQ4 2024","Currency=INR","Period=FQ","BEST_FPERIOD_OVERRIDE=FQ","FILING_STATUS=MR","EQY_CONSOLIDATED=N","SCALING_FORMAT=MLN","FA_ADJUSTED=GAAP","Sort=A","Dates=H","DateFormat=P","Fill=—","Direction=H","UseDPDF=Y")</f>
        <v>18938.849999999999</v>
      </c>
      <c r="AF31" s="11">
        <f>_xll.BDH("INDIGO IN Equity","EARN_FOR_COMMON","FQ1 2025","FQ1 2025","Currency=INR","Period=FQ","BEST_FPERIOD_OVERRIDE=FQ","FILING_STATUS=MR","EQY_CONSOLIDATED=N","SCALING_FORMAT=MLN","FA_ADJUSTED=GAAP","Sort=A","Dates=H","DateFormat=P","Fill=—","Direction=H","UseDPDF=Y")</f>
        <v>27267</v>
      </c>
      <c r="AG31" s="11">
        <f>_xll.BDH("INDIGO IN Equity","EARN_FOR_COMMON","FQ2 2025","FQ2 2025","Currency=INR","Period=FQ","BEST_FPERIOD_OVERRIDE=FQ","FILING_STATUS=MR","EQY_CONSOLIDATED=N","SCALING_FORMAT=MLN","FA_ADJUSTED=GAAP","Sort=A","Dates=H","DateFormat=P","Fill=—","Direction=H","UseDPDF=Y")</f>
        <v>-9888</v>
      </c>
      <c r="AH31" s="11">
        <f>_xll.BDH("INDIGO IN Equity","EARN_FOR_COMMON","FQ3 2025","FQ3 2025","Currency=INR","Period=FQ","BEST_FPERIOD_OVERRIDE=FQ","FILING_STATUS=MR","EQY_CONSOLIDATED=N","SCALING_FORMAT=MLN","FA_ADJUSTED=GAAP","Sort=A","Dates=H","DateFormat=P","Fill=—","Direction=H","UseDPDF=Y")</f>
        <v>24420</v>
      </c>
      <c r="AI31" s="11">
        <f>_xll.BDH("INDIGO IN Equity","EARN_FOR_COMMON","FQ4 2025","FQ4 2025","Currency=INR","Period=FQ","BEST_FPERIOD_OVERRIDE=FQ","FILING_STATUS=MR","EQY_CONSOLIDATED=N","SCALING_FORMAT=MLN","FA_ADJUSTED=GAAP","Sort=A","Dates=H","DateFormat=P","Fill=—","Direction=H","UseDPDF=Y")</f>
        <v>30734</v>
      </c>
      <c r="AJ31" s="11">
        <f>_xll.BDH("INDIGO IN Equity","EARN_FOR_COMMON","FQ1 2026","FQ1 2026","Currency=INR","Period=FQ","BEST_FPERIOD_OVERRIDE=FQ","FILING_STATUS=MR","EQY_CONSOLIDATED=N","SCALING_FORMAT=MLN","FA_ADJUSTED=GAAP","Sort=A","Dates=H","DateFormat=P","Fill=—","Direction=H","UseDPDF=Y")</f>
        <v>21611</v>
      </c>
      <c r="AK31" s="11">
        <f>_xll.BDH("INDIGO IN Equity","EARN_FOR_COMMON","FQ2 2026","FQ2 2026","Currency=INR","Period=FQ","BEST_FPERIOD_OVERRIDE=FQ","FILING_STATUS=MR","EQY_CONSOLIDATED=N","SCALING_FORMAT=MLN","FA_ADJUSTED=GAAP","Sort=A","Dates=H","DateFormat=P","Fill=—","Direction=H","UseDPDF=Y")</f>
        <v>-26141</v>
      </c>
      <c r="AL31" s="11">
        <f>_xll.BDH("INDIGO IN Equity","EARN_FOR_COMMON","FQ3 2026","FQ3 2026","Currency=INR","Period=FQ","BEST_FPERIOD_OVERRIDE=FQ","FILING_STATUS=MR","EQY_CONSOLIDATED=N","SCALING_FORMAT=MLN","FA_ADJUSTED=GAAP","Sort=A","Dates=H","DateFormat=P","Fill=—","Direction=H","UseDPDF=Y")</f>
        <v>6126</v>
      </c>
      <c r="AM31" s="11">
        <f>_xll.BDH("INDIGO IN Equity","EARN_FOR_COMMON","FQ4 2026","FQ4 2026","Currency=INR","Period=FQ","BEST_FPERIOD_OVERRIDE=FQ","FILING_STATUS=MR","EQY_CONSOLIDATED=N","SCALING_FORMAT=MLN","FA_ADJUSTED=GAAP","Sort=A","Dates=H","DateFormat=P","Fill=—","Direction=H","UseDPDF=Y")</f>
        <v>-26621</v>
      </c>
      <c r="AN31" s="11">
        <f>_xll.BDH("INDIGO IN Equity","EARN_FOR_COMMON","FQ1 2027","FQ1 2027","Currency=INR","Period=FQ","BEST_FPERIOD_OVERRIDE=FQ","FILING_STATUS=MR","EQY_CONSOLIDATED=N","SCALING_FORMAT=MLN","FA_ADJUSTED=GAAP","Sort=A","Dates=H","DateFormat=P","Fill=—","Direction=H","UseDPDF=Y")</f>
        <v>-3815</v>
      </c>
      <c r="AO31" s="11">
        <v>-27881.5</v>
      </c>
      <c r="AP31" s="11">
        <v>10847.666666666701</v>
      </c>
    </row>
    <row r="32" spans="1:42" x14ac:dyDescent="0.25">
      <c r="A32" s="10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  <c r="AE32" s="14"/>
      <c r="AF32" s="14"/>
      <c r="AG32" s="14"/>
      <c r="AH32" s="14"/>
      <c r="AI32" s="14"/>
      <c r="AJ32" s="14"/>
      <c r="AK32" s="14"/>
      <c r="AL32" s="14"/>
      <c r="AM32" s="14"/>
      <c r="AN32" s="14"/>
      <c r="AO32" s="14"/>
      <c r="AP32" s="14"/>
    </row>
    <row r="33" spans="1:42" x14ac:dyDescent="0.25">
      <c r="A33" s="10" t="s">
        <v>152</v>
      </c>
      <c r="B33" s="10" t="s">
        <v>151</v>
      </c>
      <c r="C33" s="11">
        <f>_xll.BDH("INDIGO IN Equity","EARN_FOR_COMMON","FQ4 2017","FQ4 2017","Currency=INR","Period=FQ","BEST_FPERIOD_OVERRIDE=FQ","FILING_STATUS=MR","EQY_CONSOLIDATED=N","SCALING_FORMAT=MLN","FA_ADJUSTED=Adjusted","Sort=A","Dates=H","DateFormat=P","Fill=—","Direction=H","UseDPDF=Y")</f>
        <v>4403.08</v>
      </c>
      <c r="D33" s="11">
        <f>_xll.BDH("INDIGO IN Equity","EARN_FOR_COMMON","FQ1 2018","FQ1 2018","Currency=INR","Period=FQ","BEST_FPERIOD_OVERRIDE=FQ","FILING_STATUS=MR","EQY_CONSOLIDATED=N","SCALING_FORMAT=MLN","FA_ADJUSTED=Adjusted","Sort=A","Dates=H","DateFormat=P","Fill=—","Direction=H","UseDPDF=Y")</f>
        <v>8111.46</v>
      </c>
      <c r="E33" s="11">
        <f>_xll.BDH("INDIGO IN Equity","EARN_FOR_COMMON","FQ2 2018","FQ2 2018","Currency=INR","Period=FQ","BEST_FPERIOD_OVERRIDE=FQ","FILING_STATUS=MR","EQY_CONSOLIDATED=N","SCALING_FORMAT=MLN","FA_ADJUSTED=Adjusted","Sort=A","Dates=H","DateFormat=P","Fill=—","Direction=H","UseDPDF=Y")</f>
        <v>5515.56</v>
      </c>
      <c r="F33" s="11">
        <f>_xll.BDH("INDIGO IN Equity","EARN_FOR_COMMON","FQ3 2018","FQ3 2018","Currency=INR","Period=FQ","BEST_FPERIOD_OVERRIDE=FQ","FILING_STATUS=MR","EQY_CONSOLIDATED=N","SCALING_FORMAT=MLN","FA_ADJUSTED=Adjusted","Sort=A","Dates=H","DateFormat=P","Fill=—","Direction=H","UseDPDF=Y")</f>
        <v>7620.3</v>
      </c>
      <c r="G33" s="11">
        <f>_xll.BDH("INDIGO IN Equity","EARN_FOR_COMMON","FQ4 2018","FQ4 2018","Currency=INR","Period=FQ","BEST_FPERIOD_OVERRIDE=FQ","FILING_STATUS=MR","EQY_CONSOLIDATED=N","SCALING_FORMAT=MLN","FA_ADJUSTED=Adjusted","Sort=A","Dates=H","DateFormat=P","Fill=—","Direction=H","UseDPDF=Y")</f>
        <v>1176.42</v>
      </c>
      <c r="H33" s="11">
        <f>_xll.BDH("INDIGO IN Equity","EARN_FOR_COMMON","FQ1 2019","FQ1 2019","Currency=INR","Period=FQ","BEST_FPERIOD_OVERRIDE=FQ","FILING_STATUS=MR","EQY_CONSOLIDATED=N","SCALING_FORMAT=MLN","FA_ADJUSTED=Adjusted","Sort=A","Dates=H","DateFormat=P","Fill=—","Direction=H","UseDPDF=Y")</f>
        <v>277.89999999999998</v>
      </c>
      <c r="I33" s="11">
        <f>_xll.BDH("INDIGO IN Equity","EARN_FOR_COMMON","FQ2 2019","FQ2 2019","Currency=INR","Period=FQ","BEST_FPERIOD_OVERRIDE=FQ","FILING_STATUS=MR","EQY_CONSOLIDATED=N","SCALING_FORMAT=MLN","FA_ADJUSTED=Adjusted","Sort=A","Dates=H","DateFormat=P","Fill=—","Direction=H","UseDPDF=Y")</f>
        <v>-6521.3</v>
      </c>
      <c r="J33" s="11">
        <f>_xll.BDH("INDIGO IN Equity","EARN_FOR_COMMON","FQ3 2019","FQ3 2019","Currency=INR","Period=FQ","BEST_FPERIOD_OVERRIDE=FQ","FILING_STATUS=MR","EQY_CONSOLIDATED=N","SCALING_FORMAT=MLN","FA_ADJUSTED=Adjusted","Sort=A","Dates=H","DateFormat=P","Fill=—","Direction=H","UseDPDF=Y")</f>
        <v>1908.88</v>
      </c>
      <c r="K33" s="11">
        <f>_xll.BDH("INDIGO IN Equity","EARN_FOR_COMMON","FQ4 2019","FQ4 2019","Currency=INR","Period=FQ","BEST_FPERIOD_OVERRIDE=FQ","FILING_STATUS=MR","EQY_CONSOLIDATED=N","SCALING_FORMAT=MLN","FA_ADJUSTED=Adjusted","Sort=A","Dates=H","DateFormat=P","Fill=—","Direction=H","UseDPDF=Y")</f>
        <v>5895.87</v>
      </c>
      <c r="L33" s="11">
        <f>_xll.BDH("INDIGO IN Equity","EARN_FOR_COMMON","FQ1 2020","FQ1 2020","Currency=INR","Period=FQ","BEST_FPERIOD_OVERRIDE=FQ","FILING_STATUS=MR","EQY_CONSOLIDATED=N","SCALING_FORMAT=MLN","FA_ADJUSTED=Adjusted","Sort=A","Dates=H","DateFormat=P","Fill=—","Direction=H","UseDPDF=Y")</f>
        <v>12004.68</v>
      </c>
      <c r="M33" s="11">
        <f>_xll.BDH("INDIGO IN Equity","EARN_FOR_COMMON","FQ2 2020","FQ2 2020","Currency=INR","Period=FQ","BEST_FPERIOD_OVERRIDE=FQ","FILING_STATUS=MR","EQY_CONSOLIDATED=N","SCALING_FORMAT=MLN","FA_ADJUSTED=Adjusted","Sort=A","Dates=H","DateFormat=P","Fill=—","Direction=H","UseDPDF=Y")</f>
        <v>-10656.11</v>
      </c>
      <c r="N33" s="11">
        <f>_xll.BDH("INDIGO IN Equity","EARN_FOR_COMMON","FQ3 2020","FQ3 2020","Currency=INR","Period=FQ","BEST_FPERIOD_OVERRIDE=FQ","FILING_STATUS=MR","EQY_CONSOLIDATED=N","SCALING_FORMAT=MLN","FA_ADJUSTED=Adjusted","Sort=A","Dates=H","DateFormat=P","Fill=—","Direction=H","UseDPDF=Y")</f>
        <v>4904.5</v>
      </c>
      <c r="O33" s="11">
        <f>_xll.BDH("INDIGO IN Equity","EARN_FOR_COMMON","FQ4 2020","FQ4 2020","Currency=INR","Period=FQ","BEST_FPERIOD_OVERRIDE=FQ","FILING_STATUS=MR","EQY_CONSOLIDATED=N","SCALING_FORMAT=MLN","FA_ADJUSTED=Adjusted","Sort=A","Dates=H","DateFormat=P","Fill=—","Direction=H","UseDPDF=Y")</f>
        <v>-8734.66</v>
      </c>
      <c r="P33" s="11">
        <f>_xll.BDH("INDIGO IN Equity","EARN_FOR_COMMON","FQ1 2021","FQ1 2021","Currency=INR","Period=FQ","BEST_FPERIOD_OVERRIDE=FQ","FILING_STATUS=MR","EQY_CONSOLIDATED=N","SCALING_FORMAT=MLN","FA_ADJUSTED=Adjusted","Sort=A","Dates=H","DateFormat=P","Fill=—","Direction=H","UseDPDF=Y")</f>
        <v>-28493.919999999998</v>
      </c>
      <c r="Q33" s="11">
        <f>_xll.BDH("INDIGO IN Equity","EARN_FOR_COMMON","FQ2 2021","FQ2 2021","Currency=INR","Period=FQ","BEST_FPERIOD_OVERRIDE=FQ","FILING_STATUS=MR","EQY_CONSOLIDATED=N","SCALING_FORMAT=MLN","FA_ADJUSTED=Adjusted","Sort=A","Dates=H","DateFormat=P","Fill=—","Direction=H","UseDPDF=Y")</f>
        <v>-11947.7</v>
      </c>
      <c r="R33" s="11">
        <f>_xll.BDH("INDIGO IN Equity","EARN_FOR_COMMON","FQ3 2021","FQ3 2021","Currency=INR","Period=FQ","BEST_FPERIOD_OVERRIDE=FQ","FILING_STATUS=MR","EQY_CONSOLIDATED=N","SCALING_FORMAT=MLN","FA_ADJUSTED=Adjusted","Sort=A","Dates=H","DateFormat=P","Fill=—","Direction=H","UseDPDF=Y")</f>
        <v>-6265.81</v>
      </c>
      <c r="S33" s="11">
        <f>_xll.BDH("INDIGO IN Equity","EARN_FOR_COMMON","FQ4 2021","FQ4 2021","Currency=INR","Period=FQ","BEST_FPERIOD_OVERRIDE=FQ","FILING_STATUS=MR","EQY_CONSOLIDATED=N","SCALING_FORMAT=MLN","FA_ADJUSTED=Adjusted","Sort=A","Dates=H","DateFormat=P","Fill=—","Direction=H","UseDPDF=Y")</f>
        <v>-11590.49</v>
      </c>
      <c r="T33" s="11">
        <f>_xll.BDH("INDIGO IN Equity","EARN_FOR_COMMON","FQ1 2022","FQ1 2022","Currency=INR","Period=FQ","BEST_FPERIOD_OVERRIDE=FQ","FILING_STATUS=MR","EQY_CONSOLIDATED=N","SCALING_FORMAT=MLN","FA_ADJUSTED=Adjusted","Sort=A","Dates=H","DateFormat=P","Fill=—","Direction=H","UseDPDF=Y")</f>
        <v>-31792.65</v>
      </c>
      <c r="U33" s="11">
        <f>_xll.BDH("INDIGO IN Equity","EARN_FOR_COMMON","FQ2 2022","FQ2 2022","Currency=INR","Period=FQ","BEST_FPERIOD_OVERRIDE=FQ","FILING_STATUS=MR","EQY_CONSOLIDATED=N","SCALING_FORMAT=MLN","FA_ADJUSTED=Adjusted","Sort=A","Dates=H","DateFormat=P","Fill=—","Direction=H","UseDPDF=Y")</f>
        <v>-14404.2</v>
      </c>
      <c r="V33" s="11">
        <f>_xll.BDH("INDIGO IN Equity","EARN_FOR_COMMON","FQ3 2022","FQ3 2022","Currency=INR","Period=FQ","BEST_FPERIOD_OVERRIDE=FQ","FILING_STATUS=MR","EQY_CONSOLIDATED=N","SCALING_FORMAT=MLN","FA_ADJUSTED=Adjusted","Sort=A","Dates=H","DateFormat=P","Fill=—","Direction=H","UseDPDF=Y")</f>
        <v>1284.5</v>
      </c>
      <c r="W33" s="11">
        <f>_xll.BDH("INDIGO IN Equity","EARN_FOR_COMMON","FQ4 2022","FQ4 2022","Currency=INR","Period=FQ","BEST_FPERIOD_OVERRIDE=FQ","FILING_STATUS=MR","EQY_CONSOLIDATED=N","SCALING_FORMAT=MLN","FA_ADJUSTED=Adjusted","Sort=A","Dates=H","DateFormat=P","Fill=—","Direction=H","UseDPDF=Y")</f>
        <v>-16797.900000000001</v>
      </c>
      <c r="X33" s="11">
        <f>_xll.BDH("INDIGO IN Equity","EARN_FOR_COMMON","FQ1 2023","FQ1 2023","Currency=INR","Period=FQ","BEST_FPERIOD_OVERRIDE=FQ","FILING_STATUS=MR","EQY_CONSOLIDATED=N","SCALING_FORMAT=MLN","FA_ADJUSTED=Adjusted","Sort=A","Dates=H","DateFormat=P","Fill=—","Direction=H","UseDPDF=Y")</f>
        <v>-10654.23</v>
      </c>
      <c r="Y33" s="11">
        <f>_xll.BDH("INDIGO IN Equity","EARN_FOR_COMMON","FQ2 2023","FQ2 2023","Currency=INR","Period=FQ","BEST_FPERIOD_OVERRIDE=FQ","FILING_STATUS=MR","EQY_CONSOLIDATED=N","SCALING_FORMAT=MLN","FA_ADJUSTED=Adjusted","Sort=A","Dates=H","DateFormat=P","Fill=—","Direction=H","UseDPDF=Y")</f>
        <v>-15854.85</v>
      </c>
      <c r="Z33" s="11">
        <f>_xll.BDH("INDIGO IN Equity","EARN_FOR_COMMON","FQ3 2023","FQ3 2023","Currency=INR","Period=FQ","BEST_FPERIOD_OVERRIDE=FQ","FILING_STATUS=MR","EQY_CONSOLIDATED=N","SCALING_FORMAT=MLN","FA_ADJUSTED=Adjusted","Sort=A","Dates=H","DateFormat=P","Fill=—","Direction=H","UseDPDF=Y")</f>
        <v>14181.72</v>
      </c>
      <c r="AA33" s="11">
        <f>_xll.BDH("INDIGO IN Equity","EARN_FOR_COMMON","FQ4 2023","FQ4 2023","Currency=INR","Period=FQ","BEST_FPERIOD_OVERRIDE=FQ","FILING_STATUS=MR","EQY_CONSOLIDATED=N","SCALING_FORMAT=MLN","FA_ADJUSTED=Adjusted","Sort=A","Dates=H","DateFormat=P","Fill=—","Direction=H","UseDPDF=Y")</f>
        <v>9160.2000000000007</v>
      </c>
      <c r="AB33" s="11">
        <f>_xll.BDH("INDIGO IN Equity","EARN_FOR_COMMON","FQ1 2024","FQ1 2024","Currency=INR","Period=FQ","BEST_FPERIOD_OVERRIDE=FQ","FILING_STATUS=MR","EQY_CONSOLIDATED=N","SCALING_FORMAT=MLN","FA_ADJUSTED=Adjusted","Sort=A","Dates=H","DateFormat=P","Fill=—","Direction=H","UseDPDF=Y")</f>
        <v>30872.46</v>
      </c>
      <c r="AC33" s="11">
        <f>_xll.BDH("INDIGO IN Equity","EARN_FOR_COMMON","FQ2 2024","FQ2 2024","Currency=INR","Period=FQ","BEST_FPERIOD_OVERRIDE=FQ","FILING_STATUS=MR","EQY_CONSOLIDATED=N","SCALING_FORMAT=MLN","FA_ADJUSTED=Adjusted","Sort=A","Dates=H","DateFormat=P","Fill=—","Direction=H","UseDPDF=Y")</f>
        <v>1878.6</v>
      </c>
      <c r="AD33" s="11">
        <f>_xll.BDH("INDIGO IN Equity","EARN_FOR_COMMON","FQ3 2024","FQ3 2024","Currency=INR","Period=FQ","BEST_FPERIOD_OVERRIDE=FQ","FILING_STATUS=MR","EQY_CONSOLIDATED=N","SCALING_FORMAT=MLN","FA_ADJUSTED=Adjusted","Sort=A","Dates=H","DateFormat=P","Fill=—","Direction=H","UseDPDF=Y")</f>
        <v>29984.94</v>
      </c>
      <c r="AE33" s="11">
        <f>_xll.BDH("INDIGO IN Equity","EARN_FOR_COMMON","FQ4 2024","FQ4 2024","Currency=INR","Period=FQ","BEST_FPERIOD_OVERRIDE=FQ","FILING_STATUS=MR","EQY_CONSOLIDATED=N","SCALING_FORMAT=MLN","FA_ADJUSTED=Adjusted","Sort=A","Dates=H","DateFormat=P","Fill=—","Direction=H","UseDPDF=Y")</f>
        <v>18938.849999999999</v>
      </c>
      <c r="AF33" s="11">
        <f>_xll.BDH("INDIGO IN Equity","EARN_FOR_COMMON","FQ1 2025","FQ1 2025","Currency=INR","Period=FQ","BEST_FPERIOD_OVERRIDE=FQ","FILING_STATUS=MR","EQY_CONSOLIDATED=N","SCALING_FORMAT=MLN","FA_ADJUSTED=Adjusted","Sort=A","Dates=H","DateFormat=P","Fill=—","Direction=H","UseDPDF=Y")</f>
        <v>27267</v>
      </c>
      <c r="AG33" s="11">
        <f>_xll.BDH("INDIGO IN Equity","EARN_FOR_COMMON","FQ2 2025","FQ2 2025","Currency=INR","Period=FQ","BEST_FPERIOD_OVERRIDE=FQ","FILING_STATUS=MR","EQY_CONSOLIDATED=N","SCALING_FORMAT=MLN","FA_ADJUSTED=Adjusted","Sort=A","Dates=H","DateFormat=P","Fill=—","Direction=H","UseDPDF=Y")</f>
        <v>-9888</v>
      </c>
      <c r="AH33" s="11">
        <f>_xll.BDH("INDIGO IN Equity","EARN_FOR_COMMON","FQ3 2025","FQ3 2025","Currency=INR","Period=FQ","BEST_FPERIOD_OVERRIDE=FQ","FILING_STATUS=MR","EQY_CONSOLIDATED=N","SCALING_FORMAT=MLN","FA_ADJUSTED=Adjusted","Sort=A","Dates=H","DateFormat=P","Fill=—","Direction=H","UseDPDF=Y")</f>
        <v>24420</v>
      </c>
      <c r="AI33" s="11">
        <f>_xll.BDH("INDIGO IN Equity","EARN_FOR_COMMON","FQ4 2025","FQ4 2025","Currency=INR","Period=FQ","BEST_FPERIOD_OVERRIDE=FQ","FILING_STATUS=MR","EQY_CONSOLIDATED=N","SCALING_FORMAT=MLN","FA_ADJUSTED=Adjusted","Sort=A","Dates=H","DateFormat=P","Fill=—","Direction=H","UseDPDF=Y")</f>
        <v>30734</v>
      </c>
      <c r="AJ33" s="11">
        <f>_xll.BDH("INDIGO IN Equity","EARN_FOR_COMMON","FQ1 2026","FQ1 2026","Currency=INR","Period=FQ","BEST_FPERIOD_OVERRIDE=FQ","FILING_STATUS=MR","EQY_CONSOLIDATED=N","SCALING_FORMAT=MLN","FA_ADJUSTED=Adjusted","Sort=A","Dates=H","DateFormat=P","Fill=—","Direction=H","UseDPDF=Y")</f>
        <v>21611</v>
      </c>
      <c r="AK33" s="11">
        <f>_xll.BDH("INDIGO IN Equity","EARN_FOR_COMMON","FQ2 2026","FQ2 2026","Currency=INR","Period=FQ","BEST_FPERIOD_OVERRIDE=FQ","FILING_STATUS=MR","EQY_CONSOLIDATED=N","SCALING_FORMAT=MLN","FA_ADJUSTED=Adjusted","Sort=A","Dates=H","DateFormat=P","Fill=—","Direction=H","UseDPDF=Y")</f>
        <v>-26141</v>
      </c>
      <c r="AL33" s="11">
        <f>_xll.BDH("INDIGO IN Equity","EARN_FOR_COMMON","FQ3 2026","FQ3 2026","Currency=INR","Period=FQ","BEST_FPERIOD_OVERRIDE=FQ","FILING_STATUS=MR","EQY_CONSOLIDATED=N","SCALING_FORMAT=MLN","FA_ADJUSTED=Adjusted","Sort=A","Dates=H","DateFormat=P","Fill=—","Direction=H","UseDPDF=Y")</f>
        <v>6126</v>
      </c>
      <c r="AM33" s="11">
        <f>_xll.BDH("INDIGO IN Equity","EARN_FOR_COMMON","FQ4 2026","FQ4 2026","Currency=INR","Period=FQ","BEST_FPERIOD_OVERRIDE=FQ","FILING_STATUS=MR","EQY_CONSOLIDATED=N","SCALING_FORMAT=MLN","FA_ADJUSTED=Adjusted","Sort=A","Dates=H","DateFormat=P","Fill=—","Direction=H","UseDPDF=Y")</f>
        <v>-24873.1</v>
      </c>
      <c r="AN33" s="11">
        <f>_xll.BDH("INDIGO IN Equity","EARN_FOR_COMMON","FQ1 2027","FQ1 2027","Currency=INR","Period=FQ","BEST_FPERIOD_OVERRIDE=FQ","FILING_STATUS=MR","EQY_CONSOLIDATED=N","SCALING_FORMAT=MLN","FA_ADJUSTED=Adjusted","Sort=A","Dates=H","DateFormat=P","Fill=—","Direction=H","UseDPDF=Y")</f>
        <v>-3815</v>
      </c>
      <c r="AO33" s="11">
        <v>-25371.4</v>
      </c>
      <c r="AP33" s="11">
        <v>10847.666999999999</v>
      </c>
    </row>
    <row r="34" spans="1:42" x14ac:dyDescent="0.25">
      <c r="A34" s="12" t="s">
        <v>153</v>
      </c>
      <c r="B34" s="12" t="s">
        <v>154</v>
      </c>
      <c r="C34" s="13">
        <f>_xll.BDH("INDIGO IN Equity","IS_NET_ABNORMAL_ITEMS","FQ4 2017","FQ4 2017","Currency=INR","Period=FQ","BEST_FPERIOD_OVERRIDE=FQ","FILING_STATUS=MR","EQY_CONSOLIDATED=N","SCALING_FORMAT=MLN","Sort=A","Dates=H","DateFormat=P","Fill=—","Direction=H","UseDPDF=Y")</f>
        <v>0</v>
      </c>
      <c r="D34" s="13">
        <f>_xll.BDH("INDIGO IN Equity","IS_NET_ABNORMAL_ITEMS","FQ1 2018","FQ1 2018","Currency=INR","Period=FQ","BEST_FPERIOD_OVERRIDE=FQ","FILING_STATUS=MR","EQY_CONSOLIDATED=N","SCALING_FORMAT=MLN","Sort=A","Dates=H","DateFormat=P","Fill=—","Direction=H","UseDPDF=Y")</f>
        <v>0</v>
      </c>
      <c r="E34" s="13">
        <f>_xll.BDH("INDIGO IN Equity","IS_NET_ABNORMAL_ITEMS","FQ2 2018","FQ2 2018","Currency=INR","Period=FQ","BEST_FPERIOD_OVERRIDE=FQ","FILING_STATUS=MR","EQY_CONSOLIDATED=N","SCALING_FORMAT=MLN","Sort=A","Dates=H","DateFormat=P","Fill=—","Direction=H","UseDPDF=Y")</f>
        <v>0</v>
      </c>
      <c r="F34" s="13">
        <f>_xll.BDH("INDIGO IN Equity","IS_NET_ABNORMAL_ITEMS","FQ3 2018","FQ3 2018","Currency=INR","Period=FQ","BEST_FPERIOD_OVERRIDE=FQ","FILING_STATUS=MR","EQY_CONSOLIDATED=N","SCALING_FORMAT=MLN","Sort=A","Dates=H","DateFormat=P","Fill=—","Direction=H","UseDPDF=Y")</f>
        <v>0</v>
      </c>
      <c r="G34" s="13">
        <f>_xll.BDH("INDIGO IN Equity","IS_NET_ABNORMAL_ITEMS","FQ4 2018","FQ4 2018","Currency=INR","Period=FQ","BEST_FPERIOD_OVERRIDE=FQ","FILING_STATUS=MR","EQY_CONSOLIDATED=N","SCALING_FORMAT=MLN","Sort=A","Dates=H","DateFormat=P","Fill=—","Direction=H","UseDPDF=Y")</f>
        <v>0</v>
      </c>
      <c r="H34" s="13">
        <f>_xll.BDH("INDIGO IN Equity","IS_NET_ABNORMAL_ITEMS","FQ1 2019","FQ1 2019","Currency=INR","Period=FQ","BEST_FPERIOD_OVERRIDE=FQ","FILING_STATUS=MR","EQY_CONSOLIDATED=N","SCALING_FORMAT=MLN","Sort=A","Dates=H","DateFormat=P","Fill=—","Direction=H","UseDPDF=Y")</f>
        <v>0</v>
      </c>
      <c r="I34" s="13">
        <f>_xll.BDH("INDIGO IN Equity","IS_NET_ABNORMAL_ITEMS","FQ2 2019","FQ2 2019","Currency=INR","Period=FQ","BEST_FPERIOD_OVERRIDE=FQ","FILING_STATUS=MR","EQY_CONSOLIDATED=N","SCALING_FORMAT=MLN","Sort=A","Dates=H","DateFormat=P","Fill=—","Direction=H","UseDPDF=Y")</f>
        <v>0</v>
      </c>
      <c r="J34" s="13">
        <f>_xll.BDH("INDIGO IN Equity","IS_NET_ABNORMAL_ITEMS","FQ3 2019","FQ3 2019","Currency=INR","Period=FQ","BEST_FPERIOD_OVERRIDE=FQ","FILING_STATUS=MR","EQY_CONSOLIDATED=N","SCALING_FORMAT=MLN","Sort=A","Dates=H","DateFormat=P","Fill=—","Direction=H","UseDPDF=Y")</f>
        <v>0</v>
      </c>
      <c r="K34" s="13">
        <f>_xll.BDH("INDIGO IN Equity","IS_NET_ABNORMAL_ITEMS","FQ4 2019","FQ4 2019","Currency=INR","Period=FQ","BEST_FPERIOD_OVERRIDE=FQ","FILING_STATUS=MR","EQY_CONSOLIDATED=N","SCALING_FORMAT=MLN","Sort=A","Dates=H","DateFormat=P","Fill=—","Direction=H","UseDPDF=Y")</f>
        <v>0</v>
      </c>
      <c r="L34" s="13">
        <f>_xll.BDH("INDIGO IN Equity","IS_NET_ABNORMAL_ITEMS","FQ1 2020","FQ1 2020","Currency=INR","Period=FQ","BEST_FPERIOD_OVERRIDE=FQ","FILING_STATUS=MR","EQY_CONSOLIDATED=N","SCALING_FORMAT=MLN","Sort=A","Dates=H","DateFormat=P","Fill=—","Direction=H","UseDPDF=Y")</f>
        <v>0</v>
      </c>
      <c r="M34" s="13">
        <f>_xll.BDH("INDIGO IN Equity","IS_NET_ABNORMAL_ITEMS","FQ2 2020","FQ2 2020","Currency=INR","Period=FQ","BEST_FPERIOD_OVERRIDE=FQ","FILING_STATUS=MR","EQY_CONSOLIDATED=N","SCALING_FORMAT=MLN","Sort=A","Dates=H","DateFormat=P","Fill=—","Direction=H","UseDPDF=Y")</f>
        <v>0</v>
      </c>
      <c r="N34" s="13">
        <f>_xll.BDH("INDIGO IN Equity","IS_NET_ABNORMAL_ITEMS","FQ3 2020","FQ3 2020","Currency=INR","Period=FQ","BEST_FPERIOD_OVERRIDE=FQ","FILING_STATUS=MR","EQY_CONSOLIDATED=N","SCALING_FORMAT=MLN","Sort=A","Dates=H","DateFormat=P","Fill=—","Direction=H","UseDPDF=Y")</f>
        <v>0</v>
      </c>
      <c r="O34" s="13">
        <f>_xll.BDH("INDIGO IN Equity","IS_NET_ABNORMAL_ITEMS","FQ4 2020","FQ4 2020","Currency=INR","Period=FQ","BEST_FPERIOD_OVERRIDE=FQ","FILING_STATUS=MR","EQY_CONSOLIDATED=N","SCALING_FORMAT=MLN","Sort=A","Dates=H","DateFormat=P","Fill=—","Direction=H","UseDPDF=Y")</f>
        <v>0</v>
      </c>
      <c r="P34" s="13">
        <f>_xll.BDH("INDIGO IN Equity","IS_NET_ABNORMAL_ITEMS","FQ1 2021","FQ1 2021","Currency=INR","Period=FQ","BEST_FPERIOD_OVERRIDE=FQ","FILING_STATUS=MR","EQY_CONSOLIDATED=N","SCALING_FORMAT=MLN","Sort=A","Dates=H","DateFormat=P","Fill=—","Direction=H","UseDPDF=Y")</f>
        <v>0</v>
      </c>
      <c r="Q34" s="13">
        <f>_xll.BDH("INDIGO IN Equity","IS_NET_ABNORMAL_ITEMS","FQ2 2021","FQ2 2021","Currency=INR","Period=FQ","BEST_FPERIOD_OVERRIDE=FQ","FILING_STATUS=MR","EQY_CONSOLIDATED=N","SCALING_FORMAT=MLN","Sort=A","Dates=H","DateFormat=P","Fill=—","Direction=H","UseDPDF=Y")</f>
        <v>0</v>
      </c>
      <c r="R34" s="13">
        <f>_xll.BDH("INDIGO IN Equity","IS_NET_ABNORMAL_ITEMS","FQ3 2021","FQ3 2021","Currency=INR","Period=FQ","BEST_FPERIOD_OVERRIDE=FQ","FILING_STATUS=MR","EQY_CONSOLIDATED=N","SCALING_FORMAT=MLN","Sort=A","Dates=H","DateFormat=P","Fill=—","Direction=H","UseDPDF=Y")</f>
        <v>0</v>
      </c>
      <c r="S34" s="13">
        <f>_xll.BDH("INDIGO IN Equity","IS_NET_ABNORMAL_ITEMS","FQ4 2021","FQ4 2021","Currency=INR","Period=FQ","BEST_FPERIOD_OVERRIDE=FQ","FILING_STATUS=MR","EQY_CONSOLIDATED=N","SCALING_FORMAT=MLN","Sort=A","Dates=H","DateFormat=P","Fill=—","Direction=H","UseDPDF=Y")</f>
        <v>0</v>
      </c>
      <c r="T34" s="13">
        <f>_xll.BDH("INDIGO IN Equity","IS_NET_ABNORMAL_ITEMS","FQ1 2022","FQ1 2022","Currency=INR","Period=FQ","BEST_FPERIOD_OVERRIDE=FQ","FILING_STATUS=MR","EQY_CONSOLIDATED=N","SCALING_FORMAT=MLN","Sort=A","Dates=H","DateFormat=P","Fill=—","Direction=H","UseDPDF=Y")</f>
        <v>0</v>
      </c>
      <c r="U34" s="13">
        <f>_xll.BDH("INDIGO IN Equity","IS_NET_ABNORMAL_ITEMS","FQ2 2022","FQ2 2022","Currency=INR","Period=FQ","BEST_FPERIOD_OVERRIDE=FQ","FILING_STATUS=MR","EQY_CONSOLIDATED=N","SCALING_FORMAT=MLN","Sort=A","Dates=H","DateFormat=P","Fill=—","Direction=H","UseDPDF=Y")</f>
        <v>0</v>
      </c>
      <c r="V34" s="13">
        <f>_xll.BDH("INDIGO IN Equity","IS_NET_ABNORMAL_ITEMS","FQ3 2022","FQ3 2022","Currency=INR","Period=FQ","BEST_FPERIOD_OVERRIDE=FQ","FILING_STATUS=MR","EQY_CONSOLIDATED=N","SCALING_FORMAT=MLN","Sort=A","Dates=H","DateFormat=P","Fill=—","Direction=H","UseDPDF=Y")</f>
        <v>0</v>
      </c>
      <c r="W34" s="13">
        <f>_xll.BDH("INDIGO IN Equity","IS_NET_ABNORMAL_ITEMS","FQ4 2022","FQ4 2022","Currency=INR","Period=FQ","BEST_FPERIOD_OVERRIDE=FQ","FILING_STATUS=MR","EQY_CONSOLIDATED=N","SCALING_FORMAT=MLN","Sort=A","Dates=H","DateFormat=P","Fill=—","Direction=H","UseDPDF=Y")</f>
        <v>0</v>
      </c>
      <c r="X34" s="13">
        <f>_xll.BDH("INDIGO IN Equity","IS_NET_ABNORMAL_ITEMS","FQ1 2023","FQ1 2023","Currency=INR","Period=FQ","BEST_FPERIOD_OVERRIDE=FQ","FILING_STATUS=MR","EQY_CONSOLIDATED=N","SCALING_FORMAT=MLN","Sort=A","Dates=H","DateFormat=P","Fill=—","Direction=H","UseDPDF=Y")</f>
        <v>0</v>
      </c>
      <c r="Y34" s="13">
        <f>_xll.BDH("INDIGO IN Equity","IS_NET_ABNORMAL_ITEMS","FQ2 2023","FQ2 2023","Currency=INR","Period=FQ","BEST_FPERIOD_OVERRIDE=FQ","FILING_STATUS=MR","EQY_CONSOLIDATED=N","SCALING_FORMAT=MLN","Sort=A","Dates=H","DateFormat=P","Fill=—","Direction=H","UseDPDF=Y")</f>
        <v>0</v>
      </c>
      <c r="Z34" s="13">
        <f>_xll.BDH("INDIGO IN Equity","IS_NET_ABNORMAL_ITEMS","FQ3 2023","FQ3 2023","Currency=INR","Period=FQ","BEST_FPERIOD_OVERRIDE=FQ","FILING_STATUS=MR","EQY_CONSOLIDATED=N","SCALING_FORMAT=MLN","Sort=A","Dates=H","DateFormat=P","Fill=—","Direction=H","UseDPDF=Y")</f>
        <v>0</v>
      </c>
      <c r="AA34" s="13">
        <f>_xll.BDH("INDIGO IN Equity","IS_NET_ABNORMAL_ITEMS","FQ4 2023","FQ4 2023","Currency=INR","Period=FQ","BEST_FPERIOD_OVERRIDE=FQ","FILING_STATUS=MR","EQY_CONSOLIDATED=N","SCALING_FORMAT=MLN","Sort=A","Dates=H","DateFormat=P","Fill=—","Direction=H","UseDPDF=Y")</f>
        <v>0</v>
      </c>
      <c r="AB34" s="13">
        <f>_xll.BDH("INDIGO IN Equity","IS_NET_ABNORMAL_ITEMS","FQ1 2024","FQ1 2024","Currency=INR","Period=FQ","BEST_FPERIOD_OVERRIDE=FQ","FILING_STATUS=MR","EQY_CONSOLIDATED=N","SCALING_FORMAT=MLN","Sort=A","Dates=H","DateFormat=P","Fill=—","Direction=H","UseDPDF=Y")</f>
        <v>0</v>
      </c>
      <c r="AC34" s="13">
        <f>_xll.BDH("INDIGO IN Equity","IS_NET_ABNORMAL_ITEMS","FQ2 2024","FQ2 2024","Currency=INR","Period=FQ","BEST_FPERIOD_OVERRIDE=FQ","FILING_STATUS=MR","EQY_CONSOLIDATED=N","SCALING_FORMAT=MLN","Sort=A","Dates=H","DateFormat=P","Fill=—","Direction=H","UseDPDF=Y")</f>
        <v>0</v>
      </c>
      <c r="AD34" s="13">
        <f>_xll.BDH("INDIGO IN Equity","IS_NET_ABNORMAL_ITEMS","FQ3 2024","FQ3 2024","Currency=INR","Period=FQ","BEST_FPERIOD_OVERRIDE=FQ","FILING_STATUS=MR","EQY_CONSOLIDATED=N","SCALING_FORMAT=MLN","Sort=A","Dates=H","DateFormat=P","Fill=—","Direction=H","UseDPDF=Y")</f>
        <v>0</v>
      </c>
      <c r="AE34" s="13">
        <f>_xll.BDH("INDIGO IN Equity","IS_NET_ABNORMAL_ITEMS","FQ4 2024","FQ4 2024","Currency=INR","Period=FQ","BEST_FPERIOD_OVERRIDE=FQ","FILING_STATUS=MR","EQY_CONSOLIDATED=N","SCALING_FORMAT=MLN","Sort=A","Dates=H","DateFormat=P","Fill=—","Direction=H","UseDPDF=Y")</f>
        <v>0</v>
      </c>
      <c r="AF34" s="13">
        <f>_xll.BDH("INDIGO IN Equity","IS_NET_ABNORMAL_ITEMS","FQ1 2025","FQ1 2025","Currency=INR","Period=FQ","BEST_FPERIOD_OVERRIDE=FQ","FILING_STATUS=MR","EQY_CONSOLIDATED=N","SCALING_FORMAT=MLN","Sort=A","Dates=H","DateFormat=P","Fill=—","Direction=H","UseDPDF=Y")</f>
        <v>0</v>
      </c>
      <c r="AG34" s="13">
        <f>_xll.BDH("INDIGO IN Equity","IS_NET_ABNORMAL_ITEMS","FQ2 2025","FQ2 2025","Currency=INR","Period=FQ","BEST_FPERIOD_OVERRIDE=FQ","FILING_STATUS=MR","EQY_CONSOLIDATED=N","SCALING_FORMAT=MLN","Sort=A","Dates=H","DateFormat=P","Fill=—","Direction=H","UseDPDF=Y")</f>
        <v>0</v>
      </c>
      <c r="AH34" s="13">
        <f>_xll.BDH("INDIGO IN Equity","IS_NET_ABNORMAL_ITEMS","FQ3 2025","FQ3 2025","Currency=INR","Period=FQ","BEST_FPERIOD_OVERRIDE=FQ","FILING_STATUS=MR","EQY_CONSOLIDATED=N","SCALING_FORMAT=MLN","Sort=A","Dates=H","DateFormat=P","Fill=—","Direction=H","UseDPDF=Y")</f>
        <v>0</v>
      </c>
      <c r="AI34" s="13">
        <f>_xll.BDH("INDIGO IN Equity","IS_NET_ABNORMAL_ITEMS","FQ4 2025","FQ4 2025","Currency=INR","Period=FQ","BEST_FPERIOD_OVERRIDE=FQ","FILING_STATUS=MR","EQY_CONSOLIDATED=N","SCALING_FORMAT=MLN","Sort=A","Dates=H","DateFormat=P","Fill=—","Direction=H","UseDPDF=Y")</f>
        <v>0</v>
      </c>
      <c r="AJ34" s="13">
        <f>_xll.BDH("INDIGO IN Equity","IS_NET_ABNORMAL_ITEMS","FQ1 2026","FQ1 2026","Currency=INR","Period=FQ","BEST_FPERIOD_OVERRIDE=FQ","FILING_STATUS=MR","EQY_CONSOLIDATED=N","SCALING_FORMAT=MLN","Sort=A","Dates=H","DateFormat=P","Fill=—","Direction=H","UseDPDF=Y")</f>
        <v>0</v>
      </c>
      <c r="AK34" s="13">
        <f>_xll.BDH("INDIGO IN Equity","IS_NET_ABNORMAL_ITEMS","FQ2 2026","FQ2 2026","Currency=INR","Period=FQ","BEST_FPERIOD_OVERRIDE=FQ","FILING_STATUS=MR","EQY_CONSOLIDATED=N","SCALING_FORMAT=MLN","Sort=A","Dates=H","DateFormat=P","Fill=—","Direction=H","UseDPDF=Y")</f>
        <v>0</v>
      </c>
      <c r="AL34" s="13">
        <f>_xll.BDH("INDIGO IN Equity","IS_NET_ABNORMAL_ITEMS","FQ3 2026","FQ3 2026","Currency=INR","Period=FQ","BEST_FPERIOD_OVERRIDE=FQ","FILING_STATUS=MR","EQY_CONSOLIDATED=N","SCALING_FORMAT=MLN","Sort=A","Dates=H","DateFormat=P","Fill=—","Direction=H","UseDPDF=Y")</f>
        <v>0</v>
      </c>
      <c r="AM34" s="13">
        <f>_xll.BDH("INDIGO IN Equity","IS_NET_ABNORMAL_ITEMS","FQ4 2026","FQ4 2026","Currency=INR","Period=FQ","BEST_FPERIOD_OVERRIDE=FQ","FILING_STATUS=MR","EQY_CONSOLIDATED=N","SCALING_FORMAT=MLN","Sort=A","Dates=H","DateFormat=P","Fill=—","Direction=H","UseDPDF=Y")</f>
        <v>1747.9</v>
      </c>
      <c r="AN34" s="13">
        <f>_xll.BDH("INDIGO IN Equity","IS_NET_ABNORMAL_ITEMS","FQ1 2027","FQ1 2027","Currency=INR","Period=FQ","BEST_FPERIOD_OVERRIDE=FQ","FILING_STATUS=MR","EQY_CONSOLIDATED=N","SCALING_FORMAT=MLN","Sort=A","Dates=H","DateFormat=P","Fill=—","Direction=H","UseDPDF=Y")</f>
        <v>0</v>
      </c>
      <c r="AO34" s="13"/>
      <c r="AP34" s="13"/>
    </row>
    <row r="35" spans="1:42" x14ac:dyDescent="0.25">
      <c r="A35" s="12" t="s">
        <v>155</v>
      </c>
      <c r="B35" s="12" t="s">
        <v>135</v>
      </c>
      <c r="C35" s="13">
        <f>_xll.BDH("INDIGO IN Equity","XO_GL_NET_OF_TAX","FQ4 2017","FQ4 2017","Currency=INR","Period=FQ","BEST_FPERIOD_OVERRIDE=FQ","FILING_STATUS=MR","EQY_CONSOLIDATED=N","SCALING_FORMAT=MLN","Sort=A","Dates=H","DateFormat=P","Fill=—","Direction=H","UseDPDF=Y")</f>
        <v>0</v>
      </c>
      <c r="D35" s="13">
        <f>_xll.BDH("INDIGO IN Equity","XO_GL_NET_OF_TAX","FQ1 2018","FQ1 2018","Currency=INR","Period=FQ","BEST_FPERIOD_OVERRIDE=FQ","FILING_STATUS=MR","EQY_CONSOLIDATED=N","SCALING_FORMAT=MLN","Sort=A","Dates=H","DateFormat=P","Fill=—","Direction=H","UseDPDF=Y")</f>
        <v>0</v>
      </c>
      <c r="E35" s="13">
        <f>_xll.BDH("INDIGO IN Equity","XO_GL_NET_OF_TAX","FQ2 2018","FQ2 2018","Currency=INR","Period=FQ","BEST_FPERIOD_OVERRIDE=FQ","FILING_STATUS=MR","EQY_CONSOLIDATED=N","SCALING_FORMAT=MLN","Sort=A","Dates=H","DateFormat=P","Fill=—","Direction=H","UseDPDF=Y")</f>
        <v>0</v>
      </c>
      <c r="F35" s="13">
        <f>_xll.BDH("INDIGO IN Equity","XO_GL_NET_OF_TAX","FQ3 2018","FQ3 2018","Currency=INR","Period=FQ","BEST_FPERIOD_OVERRIDE=FQ","FILING_STATUS=MR","EQY_CONSOLIDATED=N","SCALING_FORMAT=MLN","Sort=A","Dates=H","DateFormat=P","Fill=—","Direction=H","UseDPDF=Y")</f>
        <v>0</v>
      </c>
      <c r="G35" s="13">
        <f>_xll.BDH("INDIGO IN Equity","XO_GL_NET_OF_TAX","FQ4 2018","FQ4 2018","Currency=INR","Period=FQ","BEST_FPERIOD_OVERRIDE=FQ","FILING_STATUS=MR","EQY_CONSOLIDATED=N","SCALING_FORMAT=MLN","Sort=A","Dates=H","DateFormat=P","Fill=—","Direction=H","UseDPDF=Y")</f>
        <v>0</v>
      </c>
      <c r="H35" s="13">
        <f>_xll.BDH("INDIGO IN Equity","XO_GL_NET_OF_TAX","FQ1 2019","FQ1 2019","Currency=INR","Period=FQ","BEST_FPERIOD_OVERRIDE=FQ","FILING_STATUS=MR","EQY_CONSOLIDATED=N","SCALING_FORMAT=MLN","Sort=A","Dates=H","DateFormat=P","Fill=—","Direction=H","UseDPDF=Y")</f>
        <v>0</v>
      </c>
      <c r="I35" s="13">
        <f>_xll.BDH("INDIGO IN Equity","XO_GL_NET_OF_TAX","FQ2 2019","FQ2 2019","Currency=INR","Period=FQ","BEST_FPERIOD_OVERRIDE=FQ","FILING_STATUS=MR","EQY_CONSOLIDATED=N","SCALING_FORMAT=MLN","Sort=A","Dates=H","DateFormat=P","Fill=—","Direction=H","UseDPDF=Y")</f>
        <v>0</v>
      </c>
      <c r="J35" s="13">
        <f>_xll.BDH("INDIGO IN Equity","XO_GL_NET_OF_TAX","FQ3 2019","FQ3 2019","Currency=INR","Period=FQ","BEST_FPERIOD_OVERRIDE=FQ","FILING_STATUS=MR","EQY_CONSOLIDATED=N","SCALING_FORMAT=MLN","Sort=A","Dates=H","DateFormat=P","Fill=—","Direction=H","UseDPDF=Y")</f>
        <v>0</v>
      </c>
      <c r="K35" s="13">
        <f>_xll.BDH("INDIGO IN Equity","XO_GL_NET_OF_TAX","FQ4 2019","FQ4 2019","Currency=INR","Period=FQ","BEST_FPERIOD_OVERRIDE=FQ","FILING_STATUS=MR","EQY_CONSOLIDATED=N","SCALING_FORMAT=MLN","Sort=A","Dates=H","DateFormat=P","Fill=—","Direction=H","UseDPDF=Y")</f>
        <v>0</v>
      </c>
      <c r="L35" s="13">
        <f>_xll.BDH("INDIGO IN Equity","XO_GL_NET_OF_TAX","FQ1 2020","FQ1 2020","Currency=INR","Period=FQ","BEST_FPERIOD_OVERRIDE=FQ","FILING_STATUS=MR","EQY_CONSOLIDATED=N","SCALING_FORMAT=MLN","Sort=A","Dates=H","DateFormat=P","Fill=—","Direction=H","UseDPDF=Y")</f>
        <v>0</v>
      </c>
      <c r="M35" s="13">
        <f>_xll.BDH("INDIGO IN Equity","XO_GL_NET_OF_TAX","FQ2 2020","FQ2 2020","Currency=INR","Period=FQ","BEST_FPERIOD_OVERRIDE=FQ","FILING_STATUS=MR","EQY_CONSOLIDATED=N","SCALING_FORMAT=MLN","Sort=A","Dates=H","DateFormat=P","Fill=—","Direction=H","UseDPDF=Y")</f>
        <v>0</v>
      </c>
      <c r="N35" s="13">
        <f>_xll.BDH("INDIGO IN Equity","XO_GL_NET_OF_TAX","FQ3 2020","FQ3 2020","Currency=INR","Period=FQ","BEST_FPERIOD_OVERRIDE=FQ","FILING_STATUS=MR","EQY_CONSOLIDATED=N","SCALING_FORMAT=MLN","Sort=A","Dates=H","DateFormat=P","Fill=—","Direction=H","UseDPDF=Y")</f>
        <v>0</v>
      </c>
      <c r="O35" s="13">
        <f>_xll.BDH("INDIGO IN Equity","XO_GL_NET_OF_TAX","FQ4 2020","FQ4 2020","Currency=INR","Period=FQ","BEST_FPERIOD_OVERRIDE=FQ","FILING_STATUS=MR","EQY_CONSOLIDATED=N","SCALING_FORMAT=MLN","Sort=A","Dates=H","DateFormat=P","Fill=—","Direction=H","UseDPDF=Y")</f>
        <v>0</v>
      </c>
      <c r="P35" s="13">
        <f>_xll.BDH("INDIGO IN Equity","XO_GL_NET_OF_TAX","FQ1 2021","FQ1 2021","Currency=INR","Period=FQ","BEST_FPERIOD_OVERRIDE=FQ","FILING_STATUS=MR","EQY_CONSOLIDATED=N","SCALING_FORMAT=MLN","Sort=A","Dates=H","DateFormat=P","Fill=—","Direction=H","UseDPDF=Y")</f>
        <v>0</v>
      </c>
      <c r="Q35" s="13">
        <f>_xll.BDH("INDIGO IN Equity","XO_GL_NET_OF_TAX","FQ2 2021","FQ2 2021","Currency=INR","Period=FQ","BEST_FPERIOD_OVERRIDE=FQ","FILING_STATUS=MR","EQY_CONSOLIDATED=N","SCALING_FORMAT=MLN","Sort=A","Dates=H","DateFormat=P","Fill=—","Direction=H","UseDPDF=Y")</f>
        <v>0</v>
      </c>
      <c r="R35" s="13">
        <f>_xll.BDH("INDIGO IN Equity","XO_GL_NET_OF_TAX","FQ3 2021","FQ3 2021","Currency=INR","Period=FQ","BEST_FPERIOD_OVERRIDE=FQ","FILING_STATUS=MR","EQY_CONSOLIDATED=N","SCALING_FORMAT=MLN","Sort=A","Dates=H","DateFormat=P","Fill=—","Direction=H","UseDPDF=Y")</f>
        <v>0</v>
      </c>
      <c r="S35" s="13">
        <f>_xll.BDH("INDIGO IN Equity","XO_GL_NET_OF_TAX","FQ4 2021","FQ4 2021","Currency=INR","Period=FQ","BEST_FPERIOD_OVERRIDE=FQ","FILING_STATUS=MR","EQY_CONSOLIDATED=N","SCALING_FORMAT=MLN","Sort=A","Dates=H","DateFormat=P","Fill=—","Direction=H","UseDPDF=Y")</f>
        <v>0</v>
      </c>
      <c r="T35" s="13">
        <f>_xll.BDH("INDIGO IN Equity","XO_GL_NET_OF_TAX","FQ1 2022","FQ1 2022","Currency=INR","Period=FQ","BEST_FPERIOD_OVERRIDE=FQ","FILING_STATUS=MR","EQY_CONSOLIDATED=N","SCALING_FORMAT=MLN","Sort=A","Dates=H","DateFormat=P","Fill=—","Direction=H","UseDPDF=Y")</f>
        <v>0</v>
      </c>
      <c r="U35" s="13">
        <f>_xll.BDH("INDIGO IN Equity","XO_GL_NET_OF_TAX","FQ2 2022","FQ2 2022","Currency=INR","Period=FQ","BEST_FPERIOD_OVERRIDE=FQ","FILING_STATUS=MR","EQY_CONSOLIDATED=N","SCALING_FORMAT=MLN","Sort=A","Dates=H","DateFormat=P","Fill=—","Direction=H","UseDPDF=Y")</f>
        <v>0</v>
      </c>
      <c r="V35" s="13">
        <f>_xll.BDH("INDIGO IN Equity","XO_GL_NET_OF_TAX","FQ3 2022","FQ3 2022","Currency=INR","Period=FQ","BEST_FPERIOD_OVERRIDE=FQ","FILING_STATUS=MR","EQY_CONSOLIDATED=N","SCALING_FORMAT=MLN","Sort=A","Dates=H","DateFormat=P","Fill=—","Direction=H","UseDPDF=Y")</f>
        <v>0</v>
      </c>
      <c r="W35" s="13">
        <f>_xll.BDH("INDIGO IN Equity","XO_GL_NET_OF_TAX","FQ4 2022","FQ4 2022","Currency=INR","Period=FQ","BEST_FPERIOD_OVERRIDE=FQ","FILING_STATUS=MR","EQY_CONSOLIDATED=N","SCALING_FORMAT=MLN","Sort=A","Dates=H","DateFormat=P","Fill=—","Direction=H","UseDPDF=Y")</f>
        <v>0</v>
      </c>
      <c r="X35" s="13">
        <f>_xll.BDH("INDIGO IN Equity","XO_GL_NET_OF_TAX","FQ1 2023","FQ1 2023","Currency=INR","Period=FQ","BEST_FPERIOD_OVERRIDE=FQ","FILING_STATUS=MR","EQY_CONSOLIDATED=N","SCALING_FORMAT=MLN","Sort=A","Dates=H","DateFormat=P","Fill=—","Direction=H","UseDPDF=Y")</f>
        <v>0</v>
      </c>
      <c r="Y35" s="13">
        <f>_xll.BDH("INDIGO IN Equity","XO_GL_NET_OF_TAX","FQ2 2023","FQ2 2023","Currency=INR","Period=FQ","BEST_FPERIOD_OVERRIDE=FQ","FILING_STATUS=MR","EQY_CONSOLIDATED=N","SCALING_FORMAT=MLN","Sort=A","Dates=H","DateFormat=P","Fill=—","Direction=H","UseDPDF=Y")</f>
        <v>0</v>
      </c>
      <c r="Z35" s="13">
        <f>_xll.BDH("INDIGO IN Equity","XO_GL_NET_OF_TAX","FQ3 2023","FQ3 2023","Currency=INR","Period=FQ","BEST_FPERIOD_OVERRIDE=FQ","FILING_STATUS=MR","EQY_CONSOLIDATED=N","SCALING_FORMAT=MLN","Sort=A","Dates=H","DateFormat=P","Fill=—","Direction=H","UseDPDF=Y")</f>
        <v>0</v>
      </c>
      <c r="AA35" s="13">
        <f>_xll.BDH("INDIGO IN Equity","XO_GL_NET_OF_TAX","FQ4 2023","FQ4 2023","Currency=INR","Period=FQ","BEST_FPERIOD_OVERRIDE=FQ","FILING_STATUS=MR","EQY_CONSOLIDATED=N","SCALING_FORMAT=MLN","Sort=A","Dates=H","DateFormat=P","Fill=—","Direction=H","UseDPDF=Y")</f>
        <v>0</v>
      </c>
      <c r="AB35" s="13">
        <f>_xll.BDH("INDIGO IN Equity","XO_GL_NET_OF_TAX","FQ1 2024","FQ1 2024","Currency=INR","Period=FQ","BEST_FPERIOD_OVERRIDE=FQ","FILING_STATUS=MR","EQY_CONSOLIDATED=N","SCALING_FORMAT=MLN","Sort=A","Dates=H","DateFormat=P","Fill=—","Direction=H","UseDPDF=Y")</f>
        <v>0</v>
      </c>
      <c r="AC35" s="13">
        <f>_xll.BDH("INDIGO IN Equity","XO_GL_NET_OF_TAX","FQ2 2024","FQ2 2024","Currency=INR","Period=FQ","BEST_FPERIOD_OVERRIDE=FQ","FILING_STATUS=MR","EQY_CONSOLIDATED=N","SCALING_FORMAT=MLN","Sort=A","Dates=H","DateFormat=P","Fill=—","Direction=H","UseDPDF=Y")</f>
        <v>0</v>
      </c>
      <c r="AD35" s="13">
        <f>_xll.BDH("INDIGO IN Equity","XO_GL_NET_OF_TAX","FQ3 2024","FQ3 2024","Currency=INR","Period=FQ","BEST_FPERIOD_OVERRIDE=FQ","FILING_STATUS=MR","EQY_CONSOLIDATED=N","SCALING_FORMAT=MLN","Sort=A","Dates=H","DateFormat=P","Fill=—","Direction=H","UseDPDF=Y")</f>
        <v>0</v>
      </c>
      <c r="AE35" s="13">
        <f>_xll.BDH("INDIGO IN Equity","XO_GL_NET_OF_TAX","FQ4 2024","FQ4 2024","Currency=INR","Period=FQ","BEST_FPERIOD_OVERRIDE=FQ","FILING_STATUS=MR","EQY_CONSOLIDATED=N","SCALING_FORMAT=MLN","Sort=A","Dates=H","DateFormat=P","Fill=—","Direction=H","UseDPDF=Y")</f>
        <v>0</v>
      </c>
      <c r="AF35" s="13">
        <f>_xll.BDH("INDIGO IN Equity","XO_GL_NET_OF_TAX","FQ1 2025","FQ1 2025","Currency=INR","Period=FQ","BEST_FPERIOD_OVERRIDE=FQ","FILING_STATUS=MR","EQY_CONSOLIDATED=N","SCALING_FORMAT=MLN","Sort=A","Dates=H","DateFormat=P","Fill=—","Direction=H","UseDPDF=Y")</f>
        <v>0</v>
      </c>
      <c r="AG35" s="13">
        <f>_xll.BDH("INDIGO IN Equity","XO_GL_NET_OF_TAX","FQ2 2025","FQ2 2025","Currency=INR","Period=FQ","BEST_FPERIOD_OVERRIDE=FQ","FILING_STATUS=MR","EQY_CONSOLIDATED=N","SCALING_FORMAT=MLN","Sort=A","Dates=H","DateFormat=P","Fill=—","Direction=H","UseDPDF=Y")</f>
        <v>0</v>
      </c>
      <c r="AH35" s="13">
        <f>_xll.BDH("INDIGO IN Equity","XO_GL_NET_OF_TAX","FQ3 2025","FQ3 2025","Currency=INR","Period=FQ","BEST_FPERIOD_OVERRIDE=FQ","FILING_STATUS=MR","EQY_CONSOLIDATED=N","SCALING_FORMAT=MLN","Sort=A","Dates=H","DateFormat=P","Fill=—","Direction=H","UseDPDF=Y")</f>
        <v>0</v>
      </c>
      <c r="AI35" s="13">
        <f>_xll.BDH("INDIGO IN Equity","XO_GL_NET_OF_TAX","FQ4 2025","FQ4 2025","Currency=INR","Period=FQ","BEST_FPERIOD_OVERRIDE=FQ","FILING_STATUS=MR","EQY_CONSOLIDATED=N","SCALING_FORMAT=MLN","Sort=A","Dates=H","DateFormat=P","Fill=—","Direction=H","UseDPDF=Y")</f>
        <v>0</v>
      </c>
      <c r="AJ35" s="13">
        <f>_xll.BDH("INDIGO IN Equity","XO_GL_NET_OF_TAX","FQ1 2026","FQ1 2026","Currency=INR","Period=FQ","BEST_FPERIOD_OVERRIDE=FQ","FILING_STATUS=MR","EQY_CONSOLIDATED=N","SCALING_FORMAT=MLN","Sort=A","Dates=H","DateFormat=P","Fill=—","Direction=H","UseDPDF=Y")</f>
        <v>0</v>
      </c>
      <c r="AK35" s="13">
        <f>_xll.BDH("INDIGO IN Equity","XO_GL_NET_OF_TAX","FQ2 2026","FQ2 2026","Currency=INR","Period=FQ","BEST_FPERIOD_OVERRIDE=FQ","FILING_STATUS=MR","EQY_CONSOLIDATED=N","SCALING_FORMAT=MLN","Sort=A","Dates=H","DateFormat=P","Fill=—","Direction=H","UseDPDF=Y")</f>
        <v>0</v>
      </c>
      <c r="AL35" s="13">
        <f>_xll.BDH("INDIGO IN Equity","XO_GL_NET_OF_TAX","FQ3 2026","FQ3 2026","Currency=INR","Period=FQ","BEST_FPERIOD_OVERRIDE=FQ","FILING_STATUS=MR","EQY_CONSOLIDATED=N","SCALING_FORMAT=MLN","Sort=A","Dates=H","DateFormat=P","Fill=—","Direction=H","UseDPDF=Y")</f>
        <v>0</v>
      </c>
      <c r="AM35" s="13">
        <f>_xll.BDH("INDIGO IN Equity","XO_GL_NET_OF_TAX","FQ4 2026","FQ4 2026","Currency=INR","Period=FQ","BEST_FPERIOD_OVERRIDE=FQ","FILING_STATUS=MR","EQY_CONSOLIDATED=N","SCALING_FORMAT=MLN","Sort=A","Dates=H","DateFormat=P","Fill=—","Direction=H","UseDPDF=Y")</f>
        <v>0</v>
      </c>
      <c r="AN35" s="13">
        <f>_xll.BDH("INDIGO IN Equity","XO_GL_NET_OF_TAX","FQ1 2027","FQ1 2027","Currency=INR","Period=FQ","BEST_FPERIOD_OVERRIDE=FQ","FILING_STATUS=MR","EQY_CONSOLIDATED=N","SCALING_FORMAT=MLN","Sort=A","Dates=H","DateFormat=P","Fill=—","Direction=H","UseDPDF=Y")</f>
        <v>0</v>
      </c>
      <c r="AO35" s="13"/>
      <c r="AP35" s="13"/>
    </row>
    <row r="36" spans="1:42" x14ac:dyDescent="0.25">
      <c r="A36" s="10"/>
      <c r="B36" s="14"/>
      <c r="C36" s="14"/>
      <c r="D36" s="14"/>
      <c r="E36" s="14"/>
      <c r="F36" s="14"/>
      <c r="G36" s="14"/>
      <c r="H36" s="14"/>
      <c r="I36" s="14"/>
      <c r="J36" s="14"/>
      <c r="K36" s="14"/>
      <c r="L36" s="14"/>
      <c r="M36" s="14"/>
      <c r="N36" s="14"/>
      <c r="O36" s="14"/>
      <c r="P36" s="14"/>
      <c r="Q36" s="14"/>
      <c r="R36" s="14"/>
      <c r="S36" s="14"/>
      <c r="T36" s="14"/>
      <c r="U36" s="14"/>
      <c r="V36" s="14"/>
      <c r="W36" s="14"/>
      <c r="X36" s="14"/>
      <c r="Y36" s="14"/>
      <c r="Z36" s="14"/>
      <c r="AA36" s="14"/>
      <c r="AB36" s="14"/>
      <c r="AC36" s="14"/>
      <c r="AD36" s="14"/>
      <c r="AE36" s="14"/>
      <c r="AF36" s="14"/>
      <c r="AG36" s="14"/>
      <c r="AH36" s="14"/>
      <c r="AI36" s="14"/>
      <c r="AJ36" s="14"/>
      <c r="AK36" s="14"/>
      <c r="AL36" s="14"/>
      <c r="AM36" s="14"/>
      <c r="AN36" s="14"/>
      <c r="AO36" s="14"/>
      <c r="AP36" s="14"/>
    </row>
    <row r="37" spans="1:42" x14ac:dyDescent="0.25">
      <c r="A37" s="12" t="s">
        <v>156</v>
      </c>
      <c r="B37" s="12" t="s">
        <v>157</v>
      </c>
      <c r="C37" s="13">
        <f>_xll.BDH("INDIGO IN Equity","IS_AVG_NUM_SH_FOR_EPS","FQ4 2017","FQ4 2017","Currency=INR","Period=FQ","BEST_FPERIOD_OVERRIDE=FQ","FILING_STATUS=MR","EQY_CONSOLIDATED=N","Sort=A","Dates=H","DateFormat=P","Fill=—","Direction=H","UseDPDF=Y")</f>
        <v>361.46800000000002</v>
      </c>
      <c r="D37" s="13">
        <f>_xll.BDH("INDIGO IN Equity","IS_AVG_NUM_SH_FOR_EPS","FQ1 2018","FQ1 2018","Currency=INR","Period=FQ","BEST_FPERIOD_OVERRIDE=FQ","FILING_STATUS=MR","EQY_CONSOLIDATED=N","Sort=A","Dates=H","DateFormat=P","Fill=—","Direction=H","UseDPDF=Y")</f>
        <v>361.47329999999999</v>
      </c>
      <c r="E37" s="13">
        <f>_xll.BDH("INDIGO IN Equity","IS_AVG_NUM_SH_FOR_EPS","FQ2 2018","FQ2 2018","Currency=INR","Period=FQ","BEST_FPERIOD_OVERRIDE=FQ","FILING_STATUS=MR","EQY_CONSOLIDATED=N","Sort=A","Dates=H","DateFormat=P","Fill=—","Direction=H","UseDPDF=Y")</f>
        <v>363.10469999999998</v>
      </c>
      <c r="F37" s="13">
        <f>_xll.BDH("INDIGO IN Equity","IS_AVG_NUM_SH_FOR_EPS","FQ3 2018","FQ3 2018","Currency=INR","Period=FQ","BEST_FPERIOD_OVERRIDE=FQ","FILING_STATUS=MR","EQY_CONSOLIDATED=N","Sort=A","Dates=H","DateFormat=P","Fill=—","Direction=H","UseDPDF=Y")</f>
        <v>384.28140000000002</v>
      </c>
      <c r="G37" s="13">
        <f>_xll.BDH("INDIGO IN Equity","IS_AVG_NUM_SH_FOR_EPS","FQ4 2018","FQ4 2018","Currency=INR","Period=FQ","BEST_FPERIOD_OVERRIDE=FQ","FILING_STATUS=MR","EQY_CONSOLIDATED=N","Sort=A","Dates=H","DateFormat=P","Fill=—","Direction=H","UseDPDF=Y")</f>
        <v>384.40699999999998</v>
      </c>
      <c r="H37" s="13">
        <f>_xll.BDH("INDIGO IN Equity","IS_AVG_NUM_SH_FOR_EPS","FQ1 2019","FQ1 2019","Currency=INR","Period=FQ","BEST_FPERIOD_OVERRIDE=FQ","FILING_STATUS=MR","EQY_CONSOLIDATED=N","Sort=A","Dates=H","DateFormat=P","Fill=—","Direction=H","UseDPDF=Y")</f>
        <v>385.97219999999999</v>
      </c>
      <c r="I37" s="13">
        <f>_xll.BDH("INDIGO IN Equity","IS_AVG_NUM_SH_FOR_EPS","FQ2 2019","FQ2 2019","Currency=INR","Period=FQ","BEST_FPERIOD_OVERRIDE=FQ","FILING_STATUS=MR","EQY_CONSOLIDATED=N","Sort=A","Dates=H","DateFormat=P","Fill=—","Direction=H","UseDPDF=Y")</f>
        <v>384.40699999999998</v>
      </c>
      <c r="J37" s="13">
        <f>_xll.BDH("INDIGO IN Equity","IS_AVG_NUM_SH_FOR_EPS","FQ3 2019","FQ3 2019","Currency=INR","Period=FQ","BEST_FPERIOD_OVERRIDE=FQ","FILING_STATUS=MR","EQY_CONSOLIDATED=N","Sort=A","Dates=H","DateFormat=P","Fill=—","Direction=H","UseDPDF=Y")</f>
        <v>384.08049999999997</v>
      </c>
      <c r="K37" s="13">
        <f>_xll.BDH("INDIGO IN Equity","IS_AVG_NUM_SH_FOR_EPS","FQ4 2019","FQ4 2019","Currency=INR","Period=FQ","BEST_FPERIOD_OVERRIDE=FQ","FILING_STATUS=MR","EQY_CONSOLIDATED=N","Sort=A","Dates=H","DateFormat=P","Fill=—","Direction=H","UseDPDF=Y")</f>
        <v>384.34620000000001</v>
      </c>
      <c r="L37" s="13">
        <f>_xll.BDH("INDIGO IN Equity","IS_AVG_NUM_SH_FOR_EPS","FQ1 2020","FQ1 2020","Currency=INR","Period=FQ","BEST_FPERIOD_OVERRIDE=FQ","FILING_STATUS=MR","EQY_CONSOLIDATED=N","Sort=A","Dates=H","DateFormat=P","Fill=—","Direction=H","UseDPDF=Y")</f>
        <v>384.51889999999997</v>
      </c>
      <c r="M37" s="13">
        <f>_xll.BDH("INDIGO IN Equity","IS_AVG_NUM_SH_FOR_EPS","FQ2 2020","FQ2 2020","Currency=INR","Period=FQ","BEST_FPERIOD_OVERRIDE=FQ","FILING_STATUS=MR","EQY_CONSOLIDATED=N","Sort=A","Dates=H","DateFormat=P","Fill=—","Direction=H","UseDPDF=Y")</f>
        <v>384.65699999999998</v>
      </c>
      <c r="N37" s="13">
        <f>_xll.BDH("INDIGO IN Equity","IS_AVG_NUM_SH_FOR_EPS","FQ3 2020","FQ3 2020","Currency=INR","Period=FQ","BEST_FPERIOD_OVERRIDE=FQ","FILING_STATUS=MR","EQY_CONSOLIDATED=N","Sort=A","Dates=H","DateFormat=P","Fill=—","Direction=H","UseDPDF=Y")</f>
        <v>384.66669999999999</v>
      </c>
      <c r="O37" s="13">
        <f>_xll.BDH("INDIGO IN Equity","IS_AVG_NUM_SH_FOR_EPS","FQ4 2020","FQ4 2020","Currency=INR","Period=FQ","BEST_FPERIOD_OVERRIDE=FQ","FILING_STATUS=MR","EQY_CONSOLIDATED=N","Sort=A","Dates=H","DateFormat=P","Fill=—","Direction=H","UseDPDF=Y")</f>
        <v>384.78680000000003</v>
      </c>
      <c r="P37" s="13">
        <f>_xll.BDH("INDIGO IN Equity","IS_AVG_NUM_SH_FOR_EPS","FQ1 2021","FQ1 2021","Currency=INR","Period=FQ","BEST_FPERIOD_OVERRIDE=FQ","FILING_STATUS=MR","EQY_CONSOLIDATED=N","Sort=A","Dates=H","DateFormat=P","Fill=—","Direction=H","UseDPDF=Y")</f>
        <v>384.79599999999999</v>
      </c>
      <c r="Q37" s="13">
        <f>_xll.BDH("INDIGO IN Equity","IS_AVG_NUM_SH_FOR_EPS","FQ2 2021","FQ2 2021","Currency=INR","Period=FQ","BEST_FPERIOD_OVERRIDE=FQ","FILING_STATUS=MR","EQY_CONSOLIDATED=N","Sort=A","Dates=H","DateFormat=P","Fill=—","Direction=H","UseDPDF=Y")</f>
        <v>384.79599999999999</v>
      </c>
      <c r="R37" s="13">
        <f>_xll.BDH("INDIGO IN Equity","IS_AVG_NUM_SH_FOR_EPS","FQ3 2021","FQ3 2021","Currency=INR","Period=FQ","BEST_FPERIOD_OVERRIDE=FQ","FILING_STATUS=MR","EQY_CONSOLIDATED=N","Sort=A","Dates=H","DateFormat=P","Fill=—","Direction=H","UseDPDF=Y")</f>
        <v>384.65809999999999</v>
      </c>
      <c r="S37" s="13">
        <f>_xll.BDH("INDIGO IN Equity","IS_AVG_NUM_SH_FOR_EPS","FQ4 2021","FQ4 2021","Currency=INR","Period=FQ","BEST_FPERIOD_OVERRIDE=FQ","FILING_STATUS=MR","EQY_CONSOLIDATED=N","Sort=A","Dates=H","DateFormat=P","Fill=—","Direction=H","UseDPDF=Y")</f>
        <v>384.81040000000002</v>
      </c>
      <c r="T37" s="13">
        <f>_xll.BDH("INDIGO IN Equity","IS_AVG_NUM_SH_FOR_EPS","FQ1 2022","FQ1 2022","Currency=INR","Period=FQ","BEST_FPERIOD_OVERRIDE=FQ","FILING_STATUS=MR","EQY_CONSOLIDATED=N","Sort=A","Dates=H","DateFormat=P","Fill=—","Direction=H","UseDPDF=Y")</f>
        <v>384.91</v>
      </c>
      <c r="U37" s="13">
        <f>_xll.BDH("INDIGO IN Equity","IS_AVG_NUM_SH_FOR_EPS","FQ2 2022","FQ2 2022","Currency=INR","Period=FQ","BEST_FPERIOD_OVERRIDE=FQ","FILING_STATUS=MR","EQY_CONSOLIDATED=N","Sort=A","Dates=H","DateFormat=P","Fill=—","Direction=H","UseDPDF=Y")</f>
        <v>385.14699999999999</v>
      </c>
      <c r="V37" s="13">
        <f>_xll.BDH("INDIGO IN Equity","IS_AVG_NUM_SH_FOR_EPS","FQ3 2022","FQ3 2022","Currency=INR","Period=FQ","BEST_FPERIOD_OVERRIDE=FQ","FILING_STATUS=MR","EQY_CONSOLIDATED=N","Sort=A","Dates=H","DateFormat=P","Fill=—","Direction=H","UseDPDF=Y")</f>
        <v>385.19099999999997</v>
      </c>
      <c r="W37" s="13">
        <f>_xll.BDH("INDIGO IN Equity","IS_AVG_NUM_SH_FOR_EPS","FQ4 2022","FQ4 2022","Currency=INR","Period=FQ","BEST_FPERIOD_OVERRIDE=FQ","FILING_STATUS=MR","EQY_CONSOLIDATED=N","Sort=A","Dates=H","DateFormat=P","Fill=—","Direction=H","UseDPDF=Y")</f>
        <v>385.16300000000001</v>
      </c>
      <c r="X37" s="13">
        <f>_xll.BDH("INDIGO IN Equity","IS_AVG_NUM_SH_FOR_EPS","FQ1 2023","FQ1 2023","Currency=INR","Period=FQ","BEST_FPERIOD_OVERRIDE=FQ","FILING_STATUS=MR","EQY_CONSOLIDATED=N","Sort=A","Dates=H","DateFormat=P","Fill=—","Direction=H","UseDPDF=Y")</f>
        <v>385.255</v>
      </c>
      <c r="Y37" s="13">
        <f>_xll.BDH("INDIGO IN Equity","IS_AVG_NUM_SH_FOR_EPS","FQ2 2023","FQ2 2023","Currency=INR","Period=FQ","BEST_FPERIOD_OVERRIDE=FQ","FILING_STATUS=MR","EQY_CONSOLIDATED=N","Sort=A","Dates=H","DateFormat=P","Fill=—","Direction=H","UseDPDF=Y")</f>
        <v>385.435</v>
      </c>
      <c r="Z37" s="13">
        <f>_xll.BDH("INDIGO IN Equity","IS_AVG_NUM_SH_FOR_EPS","FQ3 2023","FQ3 2023","Currency=INR","Period=FQ","BEST_FPERIOD_OVERRIDE=FQ","FILING_STATUS=MR","EQY_CONSOLIDATED=N","Sort=A","Dates=H","DateFormat=P","Fill=—","Direction=H","UseDPDF=Y")</f>
        <v>385.47500000000002</v>
      </c>
      <c r="AA37" s="13">
        <f>_xll.BDH("INDIGO IN Equity","IS_AVG_NUM_SH_FOR_EPS","FQ4 2023","FQ4 2023","Currency=INR","Period=FQ","BEST_FPERIOD_OVERRIDE=FQ","FILING_STATUS=MR","EQY_CONSOLIDATED=N","Sort=A","Dates=H","DateFormat=P","Fill=—","Direction=H","UseDPDF=Y")</f>
        <v>385.54700000000003</v>
      </c>
      <c r="AB37" s="13">
        <f>_xll.BDH("INDIGO IN Equity","IS_AVG_NUM_SH_FOR_EPS","FQ1 2024","FQ1 2024","Currency=INR","Period=FQ","BEST_FPERIOD_OVERRIDE=FQ","FILING_STATUS=MR","EQY_CONSOLIDATED=N","Sort=A","Dates=H","DateFormat=P","Fill=—","Direction=H","UseDPDF=Y")</f>
        <v>385.54700000000003</v>
      </c>
      <c r="AC37" s="13">
        <f>_xll.BDH("INDIGO IN Equity","IS_AVG_NUM_SH_FOR_EPS","FQ2 2024","FQ2 2024","Currency=INR","Period=FQ","BEST_FPERIOD_OVERRIDE=FQ","FILING_STATUS=MR","EQY_CONSOLIDATED=N","Sort=A","Dates=H","DateFormat=P","Fill=—","Direction=H","UseDPDF=Y")</f>
        <v>385.74950000000001</v>
      </c>
      <c r="AD37" s="13">
        <f>_xll.BDH("INDIGO IN Equity","IS_AVG_NUM_SH_FOR_EPS","FQ3 2024","FQ3 2024","Currency=INR","Period=FQ","BEST_FPERIOD_OVERRIDE=FQ","FILING_STATUS=MR","EQY_CONSOLIDATED=N","Sort=A","Dates=H","DateFormat=P","Fill=—","Direction=H","UseDPDF=Y")</f>
        <v>385.94499999999999</v>
      </c>
      <c r="AE37" s="13">
        <f>_xll.BDH("INDIGO IN Equity","IS_AVG_NUM_SH_FOR_EPS","FQ4 2024","FQ4 2024","Currency=INR","Period=FQ","BEST_FPERIOD_OVERRIDE=FQ","FILING_STATUS=MR","EQY_CONSOLIDATED=N","Sort=A","Dates=H","DateFormat=P","Fill=—","Direction=H","UseDPDF=Y")</f>
        <v>385.97899999999998</v>
      </c>
      <c r="AF37" s="13">
        <f>_xll.BDH("INDIGO IN Equity","IS_AVG_NUM_SH_FOR_EPS","FQ1 2025","FQ1 2025","Currency=INR","Period=FQ","BEST_FPERIOD_OVERRIDE=FQ","FILING_STATUS=MR","EQY_CONSOLIDATED=N","Sort=A","Dates=H","DateFormat=P","Fill=—","Direction=H","UseDPDF=Y")</f>
        <v>386</v>
      </c>
      <c r="AG37" s="13">
        <f>_xll.BDH("INDIGO IN Equity","IS_AVG_NUM_SH_FOR_EPS","FQ2 2025","FQ2 2025","Currency=INR","Period=FQ","BEST_FPERIOD_OVERRIDE=FQ","FILING_STATUS=MR","EQY_CONSOLIDATED=N","Sort=A","Dates=H","DateFormat=P","Fill=—","Direction=H","UseDPDF=Y")</f>
        <v>386.25</v>
      </c>
      <c r="AH37" s="13">
        <f>_xll.BDH("INDIGO IN Equity","IS_AVG_NUM_SH_FOR_EPS","FQ3 2025","FQ3 2025","Currency=INR","Period=FQ","BEST_FPERIOD_OVERRIDE=FQ","FILING_STATUS=MR","EQY_CONSOLIDATED=N","Sort=A","Dates=H","DateFormat=P","Fill=—","Direction=H","UseDPDF=Y")</f>
        <v>386.4</v>
      </c>
      <c r="AI37" s="13">
        <f>_xll.BDH("INDIGO IN Equity","IS_AVG_NUM_SH_FOR_EPS","FQ4 2025","FQ4 2025","Currency=INR","Period=FQ","BEST_FPERIOD_OVERRIDE=FQ","FILING_STATUS=MR","EQY_CONSOLIDATED=N","Sort=A","Dates=H","DateFormat=P","Fill=—","Direction=H","UseDPDF=Y")</f>
        <v>386.4</v>
      </c>
      <c r="AJ37" s="13">
        <f>_xll.BDH("INDIGO IN Equity","IS_AVG_NUM_SH_FOR_EPS","FQ1 2026","FQ1 2026","Currency=INR","Period=FQ","BEST_FPERIOD_OVERRIDE=FQ","FILING_STATUS=MR","EQY_CONSOLIDATED=N","Sort=A","Dates=H","DateFormat=P","Fill=—","Direction=H","UseDPDF=Y")</f>
        <v>386.5</v>
      </c>
      <c r="AK37" s="13">
        <f>_xll.BDH("INDIGO IN Equity","IS_AVG_NUM_SH_FOR_EPS","FQ2 2026","FQ2 2026","Currency=INR","Period=FQ","BEST_FPERIOD_OVERRIDE=FQ","FILING_STATUS=MR","EQY_CONSOLIDATED=N","Sort=A","Dates=H","DateFormat=P","Fill=—","Direction=H","UseDPDF=Y")</f>
        <v>386.52960000000002</v>
      </c>
      <c r="AL37" s="13">
        <f>_xll.BDH("INDIGO IN Equity","IS_AVG_NUM_SH_FOR_EPS","FQ3 2026","FQ3 2026","Currency=INR","Period=FQ","BEST_FPERIOD_OVERRIDE=FQ","FILING_STATUS=MR","EQY_CONSOLIDATED=N","Sort=A","Dates=H","DateFormat=P","Fill=—","Direction=H","UseDPDF=Y")</f>
        <v>386.4984</v>
      </c>
      <c r="AM37" s="13">
        <f>_xll.BDH("INDIGO IN Equity","IS_AVG_NUM_SH_FOR_EPS","FQ4 2026","FQ4 2026","Currency=INR","Period=FQ","BEST_FPERIOD_OVERRIDE=FQ","FILING_STATUS=MR","EQY_CONSOLIDATED=N","Sort=A","Dates=H","DateFormat=P","Fill=—","Direction=H","UseDPDF=Y")</f>
        <v>386.6</v>
      </c>
      <c r="AN37" s="13">
        <f>_xll.BDH("INDIGO IN Equity","IS_AVG_NUM_SH_FOR_EPS","FQ1 2027","FQ1 2027","Currency=INR","Period=FQ","BEST_FPERIOD_OVERRIDE=FQ","FILING_STATUS=MR","EQY_CONSOLIDATED=N","Sort=A","Dates=H","DateFormat=P","Fill=—","Direction=H","UseDPDF=Y")</f>
        <v>386.7</v>
      </c>
      <c r="AO37" s="13"/>
      <c r="AP37" s="13"/>
    </row>
    <row r="38" spans="1:42" x14ac:dyDescent="0.25">
      <c r="A38" s="10" t="s">
        <v>158</v>
      </c>
      <c r="B38" s="10" t="s">
        <v>159</v>
      </c>
      <c r="C38" s="15">
        <f>_xll.BDH("INDIGO IN Equity","IS_EPS","FQ4 2017","FQ4 2017","Currency=INR","Period=FQ","BEST_FPERIOD_OVERRIDE=FQ","FILING_STATUS=MR","EQY_CONSOLIDATED=N","FA_ADJUSTED=GAAP","Sort=A","Dates=H","DateFormat=P","Fill=—","Direction=H","UseDPDF=Y")</f>
        <v>12.18</v>
      </c>
      <c r="D38" s="15">
        <f>_xll.BDH("INDIGO IN Equity","IS_EPS","FQ1 2018","FQ1 2018","Currency=INR","Period=FQ","BEST_FPERIOD_OVERRIDE=FQ","FILING_STATUS=MR","EQY_CONSOLIDATED=N","FA_ADJUSTED=GAAP","Sort=A","Dates=H","DateFormat=P","Fill=—","Direction=H","UseDPDF=Y")</f>
        <v>22.44</v>
      </c>
      <c r="E38" s="15">
        <f>_xll.BDH("INDIGO IN Equity","IS_EPS","FQ2 2018","FQ2 2018","Currency=INR","Period=FQ","BEST_FPERIOD_OVERRIDE=FQ","FILING_STATUS=MR","EQY_CONSOLIDATED=N","FA_ADJUSTED=GAAP","Sort=A","Dates=H","DateFormat=P","Fill=—","Direction=H","UseDPDF=Y")</f>
        <v>15.19</v>
      </c>
      <c r="F38" s="15">
        <f>_xll.BDH("INDIGO IN Equity","IS_EPS","FQ3 2018","FQ3 2018","Currency=INR","Period=FQ","BEST_FPERIOD_OVERRIDE=FQ","FILING_STATUS=MR","EQY_CONSOLIDATED=N","FA_ADJUSTED=GAAP","Sort=A","Dates=H","DateFormat=P","Fill=—","Direction=H","UseDPDF=Y")</f>
        <v>19.829999999999998</v>
      </c>
      <c r="G38" s="15">
        <f>_xll.BDH("INDIGO IN Equity","IS_EPS","FQ4 2018","FQ4 2018","Currency=INR","Period=FQ","BEST_FPERIOD_OVERRIDE=FQ","FILING_STATUS=MR","EQY_CONSOLIDATED=N","FA_ADJUSTED=GAAP","Sort=A","Dates=H","DateFormat=P","Fill=—","Direction=H","UseDPDF=Y")</f>
        <v>3.06</v>
      </c>
      <c r="H38" s="15">
        <f>_xll.BDH("INDIGO IN Equity","IS_EPS","FQ1 2019","FQ1 2019","Currency=INR","Period=FQ","BEST_FPERIOD_OVERRIDE=FQ","FILING_STATUS=MR","EQY_CONSOLIDATED=N","FA_ADJUSTED=GAAP","Sort=A","Dates=H","DateFormat=P","Fill=—","Direction=H","UseDPDF=Y")</f>
        <v>0.72</v>
      </c>
      <c r="I38" s="15">
        <f>_xll.BDH("INDIGO IN Equity","IS_EPS","FQ2 2019","FQ2 2019","Currency=INR","Period=FQ","BEST_FPERIOD_OVERRIDE=FQ","FILING_STATUS=MR","EQY_CONSOLIDATED=N","FA_ADJUSTED=GAAP","Sort=A","Dates=H","DateFormat=P","Fill=—","Direction=H","UseDPDF=Y")</f>
        <v>-16.96</v>
      </c>
      <c r="J38" s="15">
        <f>_xll.BDH("INDIGO IN Equity","IS_EPS","FQ3 2019","FQ3 2019","Currency=INR","Period=FQ","BEST_FPERIOD_OVERRIDE=FQ","FILING_STATUS=MR","EQY_CONSOLIDATED=N","FA_ADJUSTED=GAAP","Sort=A","Dates=H","DateFormat=P","Fill=—","Direction=H","UseDPDF=Y")</f>
        <v>4.97</v>
      </c>
      <c r="K38" s="15">
        <f>_xll.BDH("INDIGO IN Equity","IS_EPS","FQ4 2019","FQ4 2019","Currency=INR","Period=FQ","BEST_FPERIOD_OVERRIDE=FQ","FILING_STATUS=MR","EQY_CONSOLIDATED=N","FA_ADJUSTED=GAAP","Sort=A","Dates=H","DateFormat=P","Fill=—","Direction=H","UseDPDF=Y")</f>
        <v>15.34</v>
      </c>
      <c r="L38" s="15">
        <f>_xll.BDH("INDIGO IN Equity","IS_EPS","FQ1 2020","FQ1 2020","Currency=INR","Period=FQ","BEST_FPERIOD_OVERRIDE=FQ","FILING_STATUS=MR","EQY_CONSOLIDATED=N","FA_ADJUSTED=GAAP","Sort=A","Dates=H","DateFormat=P","Fill=—","Direction=H","UseDPDF=Y")</f>
        <v>31.22</v>
      </c>
      <c r="M38" s="15">
        <f>_xll.BDH("INDIGO IN Equity","IS_EPS","FQ2 2020","FQ2 2020","Currency=INR","Period=FQ","BEST_FPERIOD_OVERRIDE=FQ","FILING_STATUS=MR","EQY_CONSOLIDATED=N","FA_ADJUSTED=GAAP","Sort=A","Dates=H","DateFormat=P","Fill=—","Direction=H","UseDPDF=Y")</f>
        <v>-27.7</v>
      </c>
      <c r="N38" s="15">
        <f>_xll.BDH("INDIGO IN Equity","IS_EPS","FQ3 2020","FQ3 2020","Currency=INR","Period=FQ","BEST_FPERIOD_OVERRIDE=FQ","FILING_STATUS=MR","EQY_CONSOLIDATED=N","FA_ADJUSTED=GAAP","Sort=A","Dates=H","DateFormat=P","Fill=—","Direction=H","UseDPDF=Y")</f>
        <v>12.75</v>
      </c>
      <c r="O38" s="15">
        <f>_xll.BDH("INDIGO IN Equity","IS_EPS","FQ4 2020","FQ4 2020","Currency=INR","Period=FQ","BEST_FPERIOD_OVERRIDE=FQ","FILING_STATUS=MR","EQY_CONSOLIDATED=N","FA_ADJUSTED=GAAP","Sort=A","Dates=H","DateFormat=P","Fill=—","Direction=H","UseDPDF=Y")</f>
        <v>-22.7</v>
      </c>
      <c r="P38" s="15">
        <f>_xll.BDH("INDIGO IN Equity","IS_EPS","FQ1 2021","FQ1 2021","Currency=INR","Period=FQ","BEST_FPERIOD_OVERRIDE=FQ","FILING_STATUS=MR","EQY_CONSOLIDATED=N","FA_ADJUSTED=GAAP","Sort=A","Dates=H","DateFormat=P","Fill=—","Direction=H","UseDPDF=Y")</f>
        <v>-74.05</v>
      </c>
      <c r="Q38" s="15">
        <f>_xll.BDH("INDIGO IN Equity","IS_EPS","FQ2 2021","FQ2 2021","Currency=INR","Period=FQ","BEST_FPERIOD_OVERRIDE=FQ","FILING_STATUS=MR","EQY_CONSOLIDATED=N","FA_ADJUSTED=GAAP","Sort=A","Dates=H","DateFormat=P","Fill=—","Direction=H","UseDPDF=Y")</f>
        <v>-31.05</v>
      </c>
      <c r="R38" s="15">
        <f>_xll.BDH("INDIGO IN Equity","IS_EPS","FQ3 2021","FQ3 2021","Currency=INR","Period=FQ","BEST_FPERIOD_OVERRIDE=FQ","FILING_STATUS=MR","EQY_CONSOLIDATED=N","FA_ADJUSTED=GAAP","Sort=A","Dates=H","DateFormat=P","Fill=—","Direction=H","UseDPDF=Y")</f>
        <v>-16.28</v>
      </c>
      <c r="S38" s="15">
        <f>_xll.BDH("INDIGO IN Equity","IS_EPS","FQ4 2021","FQ4 2021","Currency=INR","Period=FQ","BEST_FPERIOD_OVERRIDE=FQ","FILING_STATUS=MR","EQY_CONSOLIDATED=N","FA_ADJUSTED=GAAP","Sort=A","Dates=H","DateFormat=P","Fill=—","Direction=H","UseDPDF=Y")</f>
        <v>-30.12</v>
      </c>
      <c r="T38" s="15">
        <f>_xll.BDH("INDIGO IN Equity","IS_EPS","FQ1 2022","FQ1 2022","Currency=INR","Period=FQ","BEST_FPERIOD_OVERRIDE=FQ","FILING_STATUS=MR","EQY_CONSOLIDATED=N","FA_ADJUSTED=GAAP","Sort=A","Dates=H","DateFormat=P","Fill=—","Direction=H","UseDPDF=Y")</f>
        <v>-82.6</v>
      </c>
      <c r="U38" s="15">
        <f>_xll.BDH("INDIGO IN Equity","IS_EPS","FQ2 2022","FQ2 2022","Currency=INR","Period=FQ","BEST_FPERIOD_OVERRIDE=FQ","FILING_STATUS=MR","EQY_CONSOLIDATED=N","FA_ADJUSTED=GAAP","Sort=A","Dates=H","DateFormat=P","Fill=—","Direction=H","UseDPDF=Y")</f>
        <v>-37.409999999999997</v>
      </c>
      <c r="V38" s="15">
        <f>_xll.BDH("INDIGO IN Equity","IS_EPS","FQ3 2022","FQ3 2022","Currency=INR","Period=FQ","BEST_FPERIOD_OVERRIDE=FQ","FILING_STATUS=MR","EQY_CONSOLIDATED=N","FA_ADJUSTED=GAAP","Sort=A","Dates=H","DateFormat=P","Fill=—","Direction=H","UseDPDF=Y")</f>
        <v>3.33</v>
      </c>
      <c r="W38" s="15">
        <f>_xll.BDH("INDIGO IN Equity","IS_EPS","FQ4 2022","FQ4 2022","Currency=INR","Period=FQ","BEST_FPERIOD_OVERRIDE=FQ","FILING_STATUS=MR","EQY_CONSOLIDATED=N","FA_ADJUSTED=GAAP","Sort=A","Dates=H","DateFormat=P","Fill=—","Direction=H","UseDPDF=Y")</f>
        <v>-43.61</v>
      </c>
      <c r="X38" s="15">
        <f>_xll.BDH("INDIGO IN Equity","IS_EPS","FQ1 2023","FQ1 2023","Currency=INR","Period=FQ","BEST_FPERIOD_OVERRIDE=FQ","FILING_STATUS=MR","EQY_CONSOLIDATED=N","FA_ADJUSTED=GAAP","Sort=A","Dates=H","DateFormat=P","Fill=—","Direction=H","UseDPDF=Y")</f>
        <v>-27.67</v>
      </c>
      <c r="Y38" s="15">
        <f>_xll.BDH("INDIGO IN Equity","IS_EPS","FQ2 2023","FQ2 2023","Currency=INR","Period=FQ","BEST_FPERIOD_OVERRIDE=FQ","FILING_STATUS=MR","EQY_CONSOLIDATED=N","FA_ADJUSTED=GAAP","Sort=A","Dates=H","DateFormat=P","Fill=—","Direction=H","UseDPDF=Y")</f>
        <v>-41.14</v>
      </c>
      <c r="Z38" s="15">
        <f>_xll.BDH("INDIGO IN Equity","IS_EPS","FQ3 2023","FQ3 2023","Currency=INR","Period=FQ","BEST_FPERIOD_OVERRIDE=FQ","FILING_STATUS=MR","EQY_CONSOLIDATED=N","FA_ADJUSTED=GAAP","Sort=A","Dates=H","DateFormat=P","Fill=—","Direction=H","UseDPDF=Y")</f>
        <v>36.79</v>
      </c>
      <c r="AA38" s="15">
        <f>_xll.BDH("INDIGO IN Equity","IS_EPS","FQ4 2023","FQ4 2023","Currency=INR","Period=FQ","BEST_FPERIOD_OVERRIDE=FQ","FILING_STATUS=MR","EQY_CONSOLIDATED=N","FA_ADJUSTED=GAAP","Sort=A","Dates=H","DateFormat=P","Fill=—","Direction=H","UseDPDF=Y")</f>
        <v>23.76</v>
      </c>
      <c r="AB38" s="15">
        <f>_xll.BDH("INDIGO IN Equity","IS_EPS","FQ1 2024","FQ1 2024","Currency=INR","Period=FQ","BEST_FPERIOD_OVERRIDE=FQ","FILING_STATUS=MR","EQY_CONSOLIDATED=N","FA_ADJUSTED=GAAP","Sort=A","Dates=H","DateFormat=P","Fill=—","Direction=H","UseDPDF=Y")</f>
        <v>80.069999999999993</v>
      </c>
      <c r="AC38" s="15">
        <f>_xll.BDH("INDIGO IN Equity","IS_EPS","FQ2 2024","FQ2 2024","Currency=INR","Period=FQ","BEST_FPERIOD_OVERRIDE=FQ","FILING_STATUS=MR","EQY_CONSOLIDATED=N","FA_ADJUSTED=GAAP","Sort=A","Dates=H","DateFormat=P","Fill=—","Direction=H","UseDPDF=Y")</f>
        <v>4.87</v>
      </c>
      <c r="AD38" s="15">
        <f>_xll.BDH("INDIGO IN Equity","IS_EPS","FQ3 2024","FQ3 2024","Currency=INR","Period=FQ","BEST_FPERIOD_OVERRIDE=FQ","FILING_STATUS=MR","EQY_CONSOLIDATED=N","FA_ADJUSTED=GAAP","Sort=A","Dates=H","DateFormat=P","Fill=—","Direction=H","UseDPDF=Y")</f>
        <v>77.7</v>
      </c>
      <c r="AE38" s="15">
        <f>_xll.BDH("INDIGO IN Equity","IS_EPS","FQ4 2024","FQ4 2024","Currency=INR","Period=FQ","BEST_FPERIOD_OVERRIDE=FQ","FILING_STATUS=MR","EQY_CONSOLIDATED=N","FA_ADJUSTED=GAAP","Sort=A","Dates=H","DateFormat=P","Fill=—","Direction=H","UseDPDF=Y")</f>
        <v>49.07</v>
      </c>
      <c r="AF38" s="15">
        <f>_xll.BDH("INDIGO IN Equity","IS_EPS","FQ1 2025","FQ1 2025","Currency=INR","Period=FQ","BEST_FPERIOD_OVERRIDE=FQ","FILING_STATUS=MR","EQY_CONSOLIDATED=N","FA_ADJUSTED=GAAP","Sort=A","Dates=H","DateFormat=P","Fill=—","Direction=H","UseDPDF=Y")</f>
        <v>70.64</v>
      </c>
      <c r="AG38" s="15">
        <f>_xll.BDH("INDIGO IN Equity","IS_EPS","FQ2 2025","FQ2 2025","Currency=INR","Period=FQ","BEST_FPERIOD_OVERRIDE=FQ","FILING_STATUS=MR","EQY_CONSOLIDATED=N","FA_ADJUSTED=GAAP","Sort=A","Dates=H","DateFormat=P","Fill=—","Direction=H","UseDPDF=Y")</f>
        <v>-25.6</v>
      </c>
      <c r="AH38" s="15">
        <f>_xll.BDH("INDIGO IN Equity","IS_EPS","FQ3 2025","FQ3 2025","Currency=INR","Period=FQ","BEST_FPERIOD_OVERRIDE=FQ","FILING_STATUS=MR","EQY_CONSOLIDATED=N","FA_ADJUSTED=GAAP","Sort=A","Dates=H","DateFormat=P","Fill=—","Direction=H","UseDPDF=Y")</f>
        <v>63.21</v>
      </c>
      <c r="AI38" s="15">
        <f>_xll.BDH("INDIGO IN Equity","IS_EPS","FQ4 2025","FQ4 2025","Currency=INR","Period=FQ","BEST_FPERIOD_OVERRIDE=FQ","FILING_STATUS=MR","EQY_CONSOLIDATED=N","FA_ADJUSTED=GAAP","Sort=A","Dates=H","DateFormat=P","Fill=—","Direction=H","UseDPDF=Y")</f>
        <v>79.540000000000006</v>
      </c>
      <c r="AJ38" s="15">
        <f>_xll.BDH("INDIGO IN Equity","IS_EPS","FQ1 2026","FQ1 2026","Currency=INR","Period=FQ","BEST_FPERIOD_OVERRIDE=FQ","FILING_STATUS=MR","EQY_CONSOLIDATED=N","FA_ADJUSTED=GAAP","Sort=A","Dates=H","DateFormat=P","Fill=—","Direction=H","UseDPDF=Y")</f>
        <v>55.92</v>
      </c>
      <c r="AK38" s="15">
        <f>_xll.BDH("INDIGO IN Equity","IS_EPS","FQ2 2026","FQ2 2026","Currency=INR","Period=FQ","BEST_FPERIOD_OVERRIDE=FQ","FILING_STATUS=MR","EQY_CONSOLIDATED=N","FA_ADJUSTED=GAAP","Sort=A","Dates=H","DateFormat=P","Fill=—","Direction=H","UseDPDF=Y")</f>
        <v>-67.63</v>
      </c>
      <c r="AL38" s="15">
        <f>_xll.BDH("INDIGO IN Equity","IS_EPS","FQ3 2026","FQ3 2026","Currency=INR","Period=FQ","BEST_FPERIOD_OVERRIDE=FQ","FILING_STATUS=MR","EQY_CONSOLIDATED=N","FA_ADJUSTED=GAAP","Sort=A","Dates=H","DateFormat=P","Fill=—","Direction=H","UseDPDF=Y")</f>
        <v>15.85</v>
      </c>
      <c r="AM38" s="15">
        <f>_xll.BDH("INDIGO IN Equity","IS_EPS","FQ4 2026","FQ4 2026","Currency=INR","Period=FQ","BEST_FPERIOD_OVERRIDE=FQ","FILING_STATUS=MR","EQY_CONSOLIDATED=N","FA_ADJUSTED=GAAP","Sort=A","Dates=H","DateFormat=P","Fill=—","Direction=H","UseDPDF=Y")</f>
        <v>-68.86</v>
      </c>
      <c r="AN38" s="15">
        <f>_xll.BDH("INDIGO IN Equity","IS_EPS","FQ1 2027","FQ1 2027","Currency=INR","Period=FQ","BEST_FPERIOD_OVERRIDE=FQ","FILING_STATUS=MR","EQY_CONSOLIDATED=N","FA_ADJUSTED=GAAP","Sort=A","Dates=H","DateFormat=P","Fill=—","Direction=H","UseDPDF=Y")</f>
        <v>-9.8699999999999992</v>
      </c>
      <c r="AO38" s="15">
        <v>-41.29</v>
      </c>
      <c r="AP38" s="15">
        <v>61.94</v>
      </c>
    </row>
    <row r="39" spans="1:42" x14ac:dyDescent="0.25">
      <c r="A39" s="10" t="s">
        <v>160</v>
      </c>
      <c r="B39" s="10" t="s">
        <v>161</v>
      </c>
      <c r="C39" s="15">
        <f>_xll.BDH("INDIGO IN Equity","IS_EARN_BEF_XO_ITEMS_PER_SH","FQ4 2017","FQ4 2017","Currency=INR","Period=FQ","BEST_FPERIOD_OVERRIDE=FQ","FILING_STATUS=MR","EQY_CONSOLIDATED=N","Sort=A","Dates=H","DateFormat=P","Fill=—","Direction=H","UseDPDF=Y")</f>
        <v>12.18</v>
      </c>
      <c r="D39" s="15">
        <f>_xll.BDH("INDIGO IN Equity","IS_EARN_BEF_XO_ITEMS_PER_SH","FQ1 2018","FQ1 2018","Currency=INR","Period=FQ","BEST_FPERIOD_OVERRIDE=FQ","FILING_STATUS=MR","EQY_CONSOLIDATED=N","Sort=A","Dates=H","DateFormat=P","Fill=—","Direction=H","UseDPDF=Y")</f>
        <v>22.44</v>
      </c>
      <c r="E39" s="15">
        <f>_xll.BDH("INDIGO IN Equity","IS_EARN_BEF_XO_ITEMS_PER_SH","FQ2 2018","FQ2 2018","Currency=INR","Period=FQ","BEST_FPERIOD_OVERRIDE=FQ","FILING_STATUS=MR","EQY_CONSOLIDATED=N","Sort=A","Dates=H","DateFormat=P","Fill=—","Direction=H","UseDPDF=Y")</f>
        <v>15.19</v>
      </c>
      <c r="F39" s="15">
        <f>_xll.BDH("INDIGO IN Equity","IS_EARN_BEF_XO_ITEMS_PER_SH","FQ3 2018","FQ3 2018","Currency=INR","Period=FQ","BEST_FPERIOD_OVERRIDE=FQ","FILING_STATUS=MR","EQY_CONSOLIDATED=N","Sort=A","Dates=H","DateFormat=P","Fill=—","Direction=H","UseDPDF=Y")</f>
        <v>19.829999999999998</v>
      </c>
      <c r="G39" s="15">
        <f>_xll.BDH("INDIGO IN Equity","IS_EARN_BEF_XO_ITEMS_PER_SH","FQ4 2018","FQ4 2018","Currency=INR","Period=FQ","BEST_FPERIOD_OVERRIDE=FQ","FILING_STATUS=MR","EQY_CONSOLIDATED=N","Sort=A","Dates=H","DateFormat=P","Fill=—","Direction=H","UseDPDF=Y")</f>
        <v>3.06</v>
      </c>
      <c r="H39" s="15">
        <f>_xll.BDH("INDIGO IN Equity","IS_EARN_BEF_XO_ITEMS_PER_SH","FQ1 2019","FQ1 2019","Currency=INR","Period=FQ","BEST_FPERIOD_OVERRIDE=FQ","FILING_STATUS=MR","EQY_CONSOLIDATED=N","Sort=A","Dates=H","DateFormat=P","Fill=—","Direction=H","UseDPDF=Y")</f>
        <v>0.72</v>
      </c>
      <c r="I39" s="15">
        <f>_xll.BDH("INDIGO IN Equity","IS_EARN_BEF_XO_ITEMS_PER_SH","FQ2 2019","FQ2 2019","Currency=INR","Period=FQ","BEST_FPERIOD_OVERRIDE=FQ","FILING_STATUS=MR","EQY_CONSOLIDATED=N","Sort=A","Dates=H","DateFormat=P","Fill=—","Direction=H","UseDPDF=Y")</f>
        <v>-16.96</v>
      </c>
      <c r="J39" s="15">
        <f>_xll.BDH("INDIGO IN Equity","IS_EARN_BEF_XO_ITEMS_PER_SH","FQ3 2019","FQ3 2019","Currency=INR","Period=FQ","BEST_FPERIOD_OVERRIDE=FQ","FILING_STATUS=MR","EQY_CONSOLIDATED=N","Sort=A","Dates=H","DateFormat=P","Fill=—","Direction=H","UseDPDF=Y")</f>
        <v>4.97</v>
      </c>
      <c r="K39" s="15">
        <f>_xll.BDH("INDIGO IN Equity","IS_EARN_BEF_XO_ITEMS_PER_SH","FQ4 2019","FQ4 2019","Currency=INR","Period=FQ","BEST_FPERIOD_OVERRIDE=FQ","FILING_STATUS=MR","EQY_CONSOLIDATED=N","Sort=A","Dates=H","DateFormat=P","Fill=—","Direction=H","UseDPDF=Y")</f>
        <v>15.34</v>
      </c>
      <c r="L39" s="15">
        <f>_xll.BDH("INDIGO IN Equity","IS_EARN_BEF_XO_ITEMS_PER_SH","FQ1 2020","FQ1 2020","Currency=INR","Period=FQ","BEST_FPERIOD_OVERRIDE=FQ","FILING_STATUS=MR","EQY_CONSOLIDATED=N","Sort=A","Dates=H","DateFormat=P","Fill=—","Direction=H","UseDPDF=Y")</f>
        <v>31.22</v>
      </c>
      <c r="M39" s="15">
        <f>_xll.BDH("INDIGO IN Equity","IS_EARN_BEF_XO_ITEMS_PER_SH","FQ2 2020","FQ2 2020","Currency=INR","Period=FQ","BEST_FPERIOD_OVERRIDE=FQ","FILING_STATUS=MR","EQY_CONSOLIDATED=N","Sort=A","Dates=H","DateFormat=P","Fill=—","Direction=H","UseDPDF=Y")</f>
        <v>-27.7</v>
      </c>
      <c r="N39" s="15">
        <f>_xll.BDH("INDIGO IN Equity","IS_EARN_BEF_XO_ITEMS_PER_SH","FQ3 2020","FQ3 2020","Currency=INR","Period=FQ","BEST_FPERIOD_OVERRIDE=FQ","FILING_STATUS=MR","EQY_CONSOLIDATED=N","Sort=A","Dates=H","DateFormat=P","Fill=—","Direction=H","UseDPDF=Y")</f>
        <v>12.75</v>
      </c>
      <c r="O39" s="15">
        <f>_xll.BDH("INDIGO IN Equity","IS_EARN_BEF_XO_ITEMS_PER_SH","FQ4 2020","FQ4 2020","Currency=INR","Period=FQ","BEST_FPERIOD_OVERRIDE=FQ","FILING_STATUS=MR","EQY_CONSOLIDATED=N","Sort=A","Dates=H","DateFormat=P","Fill=—","Direction=H","UseDPDF=Y")</f>
        <v>-22.7</v>
      </c>
      <c r="P39" s="15">
        <f>_xll.BDH("INDIGO IN Equity","IS_EARN_BEF_XO_ITEMS_PER_SH","FQ1 2021","FQ1 2021","Currency=INR","Period=FQ","BEST_FPERIOD_OVERRIDE=FQ","FILING_STATUS=MR","EQY_CONSOLIDATED=N","Sort=A","Dates=H","DateFormat=P","Fill=—","Direction=H","UseDPDF=Y")</f>
        <v>-74.05</v>
      </c>
      <c r="Q39" s="15">
        <f>_xll.BDH("INDIGO IN Equity","IS_EARN_BEF_XO_ITEMS_PER_SH","FQ2 2021","FQ2 2021","Currency=INR","Period=FQ","BEST_FPERIOD_OVERRIDE=FQ","FILING_STATUS=MR","EQY_CONSOLIDATED=N","Sort=A","Dates=H","DateFormat=P","Fill=—","Direction=H","UseDPDF=Y")</f>
        <v>-31.05</v>
      </c>
      <c r="R39" s="15">
        <f>_xll.BDH("INDIGO IN Equity","IS_EARN_BEF_XO_ITEMS_PER_SH","FQ3 2021","FQ3 2021","Currency=INR","Period=FQ","BEST_FPERIOD_OVERRIDE=FQ","FILING_STATUS=MR","EQY_CONSOLIDATED=N","Sort=A","Dates=H","DateFormat=P","Fill=—","Direction=H","UseDPDF=Y")</f>
        <v>-16.28</v>
      </c>
      <c r="S39" s="15">
        <f>_xll.BDH("INDIGO IN Equity","IS_EARN_BEF_XO_ITEMS_PER_SH","FQ4 2021","FQ4 2021","Currency=INR","Period=FQ","BEST_FPERIOD_OVERRIDE=FQ","FILING_STATUS=MR","EQY_CONSOLIDATED=N","Sort=A","Dates=H","DateFormat=P","Fill=—","Direction=H","UseDPDF=Y")</f>
        <v>-30.12</v>
      </c>
      <c r="T39" s="15">
        <f>_xll.BDH("INDIGO IN Equity","IS_EARN_BEF_XO_ITEMS_PER_SH","FQ1 2022","FQ1 2022","Currency=INR","Period=FQ","BEST_FPERIOD_OVERRIDE=FQ","FILING_STATUS=MR","EQY_CONSOLIDATED=N","Sort=A","Dates=H","DateFormat=P","Fill=—","Direction=H","UseDPDF=Y")</f>
        <v>-82.6</v>
      </c>
      <c r="U39" s="15">
        <f>_xll.BDH("INDIGO IN Equity","IS_EARN_BEF_XO_ITEMS_PER_SH","FQ2 2022","FQ2 2022","Currency=INR","Period=FQ","BEST_FPERIOD_OVERRIDE=FQ","FILING_STATUS=MR","EQY_CONSOLIDATED=N","Sort=A","Dates=H","DateFormat=P","Fill=—","Direction=H","UseDPDF=Y")</f>
        <v>-37.409999999999997</v>
      </c>
      <c r="V39" s="15">
        <f>_xll.BDH("INDIGO IN Equity","IS_EARN_BEF_XO_ITEMS_PER_SH","FQ3 2022","FQ3 2022","Currency=INR","Period=FQ","BEST_FPERIOD_OVERRIDE=FQ","FILING_STATUS=MR","EQY_CONSOLIDATED=N","Sort=A","Dates=H","DateFormat=P","Fill=—","Direction=H","UseDPDF=Y")</f>
        <v>3.33</v>
      </c>
      <c r="W39" s="15">
        <f>_xll.BDH("INDIGO IN Equity","IS_EARN_BEF_XO_ITEMS_PER_SH","FQ4 2022","FQ4 2022","Currency=INR","Period=FQ","BEST_FPERIOD_OVERRIDE=FQ","FILING_STATUS=MR","EQY_CONSOLIDATED=N","Sort=A","Dates=H","DateFormat=P","Fill=—","Direction=H","UseDPDF=Y")</f>
        <v>-43.61</v>
      </c>
      <c r="X39" s="15">
        <f>_xll.BDH("INDIGO IN Equity","IS_EARN_BEF_XO_ITEMS_PER_SH","FQ1 2023","FQ1 2023","Currency=INR","Period=FQ","BEST_FPERIOD_OVERRIDE=FQ","FILING_STATUS=MR","EQY_CONSOLIDATED=N","Sort=A","Dates=H","DateFormat=P","Fill=—","Direction=H","UseDPDF=Y")</f>
        <v>-27.67</v>
      </c>
      <c r="Y39" s="15">
        <f>_xll.BDH("INDIGO IN Equity","IS_EARN_BEF_XO_ITEMS_PER_SH","FQ2 2023","FQ2 2023","Currency=INR","Period=FQ","BEST_FPERIOD_OVERRIDE=FQ","FILING_STATUS=MR","EQY_CONSOLIDATED=N","Sort=A","Dates=H","DateFormat=P","Fill=—","Direction=H","UseDPDF=Y")</f>
        <v>-41.14</v>
      </c>
      <c r="Z39" s="15">
        <f>_xll.BDH("INDIGO IN Equity","IS_EARN_BEF_XO_ITEMS_PER_SH","FQ3 2023","FQ3 2023","Currency=INR","Period=FQ","BEST_FPERIOD_OVERRIDE=FQ","FILING_STATUS=MR","EQY_CONSOLIDATED=N","Sort=A","Dates=H","DateFormat=P","Fill=—","Direction=H","UseDPDF=Y")</f>
        <v>36.79</v>
      </c>
      <c r="AA39" s="15">
        <f>_xll.BDH("INDIGO IN Equity","IS_EARN_BEF_XO_ITEMS_PER_SH","FQ4 2023","FQ4 2023","Currency=INR","Period=FQ","BEST_FPERIOD_OVERRIDE=FQ","FILING_STATUS=MR","EQY_CONSOLIDATED=N","Sort=A","Dates=H","DateFormat=P","Fill=—","Direction=H","UseDPDF=Y")</f>
        <v>23.76</v>
      </c>
      <c r="AB39" s="15">
        <f>_xll.BDH("INDIGO IN Equity","IS_EARN_BEF_XO_ITEMS_PER_SH","FQ1 2024","FQ1 2024","Currency=INR","Period=FQ","BEST_FPERIOD_OVERRIDE=FQ","FILING_STATUS=MR","EQY_CONSOLIDATED=N","Sort=A","Dates=H","DateFormat=P","Fill=—","Direction=H","UseDPDF=Y")</f>
        <v>80.069999999999993</v>
      </c>
      <c r="AC39" s="15">
        <f>_xll.BDH("INDIGO IN Equity","IS_EARN_BEF_XO_ITEMS_PER_SH","FQ2 2024","FQ2 2024","Currency=INR","Period=FQ","BEST_FPERIOD_OVERRIDE=FQ","FILING_STATUS=MR","EQY_CONSOLIDATED=N","Sort=A","Dates=H","DateFormat=P","Fill=—","Direction=H","UseDPDF=Y")</f>
        <v>4.87</v>
      </c>
      <c r="AD39" s="15">
        <f>_xll.BDH("INDIGO IN Equity","IS_EARN_BEF_XO_ITEMS_PER_SH","FQ3 2024","FQ3 2024","Currency=INR","Period=FQ","BEST_FPERIOD_OVERRIDE=FQ","FILING_STATUS=MR","EQY_CONSOLIDATED=N","Sort=A","Dates=H","DateFormat=P","Fill=—","Direction=H","UseDPDF=Y")</f>
        <v>77.7</v>
      </c>
      <c r="AE39" s="15">
        <f>_xll.BDH("INDIGO IN Equity","IS_EARN_BEF_XO_ITEMS_PER_SH","FQ4 2024","FQ4 2024","Currency=INR","Period=FQ","BEST_FPERIOD_OVERRIDE=FQ","FILING_STATUS=MR","EQY_CONSOLIDATED=N","Sort=A","Dates=H","DateFormat=P","Fill=—","Direction=H","UseDPDF=Y")</f>
        <v>49.07</v>
      </c>
      <c r="AF39" s="15">
        <f>_xll.BDH("INDIGO IN Equity","IS_EARN_BEF_XO_ITEMS_PER_SH","FQ1 2025","FQ1 2025","Currency=INR","Period=FQ","BEST_FPERIOD_OVERRIDE=FQ","FILING_STATUS=MR","EQY_CONSOLIDATED=N","Sort=A","Dates=H","DateFormat=P","Fill=—","Direction=H","UseDPDF=Y")</f>
        <v>70.64</v>
      </c>
      <c r="AG39" s="15">
        <f>_xll.BDH("INDIGO IN Equity","IS_EARN_BEF_XO_ITEMS_PER_SH","FQ2 2025","FQ2 2025","Currency=INR","Period=FQ","BEST_FPERIOD_OVERRIDE=FQ","FILING_STATUS=MR","EQY_CONSOLIDATED=N","Sort=A","Dates=H","DateFormat=P","Fill=—","Direction=H","UseDPDF=Y")</f>
        <v>-25.6</v>
      </c>
      <c r="AH39" s="15">
        <f>_xll.BDH("INDIGO IN Equity","IS_EARN_BEF_XO_ITEMS_PER_SH","FQ3 2025","FQ3 2025","Currency=INR","Period=FQ","BEST_FPERIOD_OVERRIDE=FQ","FILING_STATUS=MR","EQY_CONSOLIDATED=N","Sort=A","Dates=H","DateFormat=P","Fill=—","Direction=H","UseDPDF=Y")</f>
        <v>63.21</v>
      </c>
      <c r="AI39" s="15">
        <f>_xll.BDH("INDIGO IN Equity","IS_EARN_BEF_XO_ITEMS_PER_SH","FQ4 2025","FQ4 2025","Currency=INR","Period=FQ","BEST_FPERIOD_OVERRIDE=FQ","FILING_STATUS=MR","EQY_CONSOLIDATED=N","Sort=A","Dates=H","DateFormat=P","Fill=—","Direction=H","UseDPDF=Y")</f>
        <v>79.540000000000006</v>
      </c>
      <c r="AJ39" s="15">
        <f>_xll.BDH("INDIGO IN Equity","IS_EARN_BEF_XO_ITEMS_PER_SH","FQ1 2026","FQ1 2026","Currency=INR","Period=FQ","BEST_FPERIOD_OVERRIDE=FQ","FILING_STATUS=MR","EQY_CONSOLIDATED=N","Sort=A","Dates=H","DateFormat=P","Fill=—","Direction=H","UseDPDF=Y")</f>
        <v>55.92</v>
      </c>
      <c r="AK39" s="15">
        <f>_xll.BDH("INDIGO IN Equity","IS_EARN_BEF_XO_ITEMS_PER_SH","FQ2 2026","FQ2 2026","Currency=INR","Period=FQ","BEST_FPERIOD_OVERRIDE=FQ","FILING_STATUS=MR","EQY_CONSOLIDATED=N","Sort=A","Dates=H","DateFormat=P","Fill=—","Direction=H","UseDPDF=Y")</f>
        <v>-67.63</v>
      </c>
      <c r="AL39" s="15">
        <f>_xll.BDH("INDIGO IN Equity","IS_EARN_BEF_XO_ITEMS_PER_SH","FQ3 2026","FQ3 2026","Currency=INR","Period=FQ","BEST_FPERIOD_OVERRIDE=FQ","FILING_STATUS=MR","EQY_CONSOLIDATED=N","Sort=A","Dates=H","DateFormat=P","Fill=—","Direction=H","UseDPDF=Y")</f>
        <v>15.85</v>
      </c>
      <c r="AM39" s="15">
        <f>_xll.BDH("INDIGO IN Equity","IS_EARN_BEF_XO_ITEMS_PER_SH","FQ4 2026","FQ4 2026","Currency=INR","Period=FQ","BEST_FPERIOD_OVERRIDE=FQ","FILING_STATUS=MR","EQY_CONSOLIDATED=N","Sort=A","Dates=H","DateFormat=P","Fill=—","Direction=H","UseDPDF=Y")</f>
        <v>-68.86</v>
      </c>
      <c r="AN39" s="15">
        <f>_xll.BDH("INDIGO IN Equity","IS_EARN_BEF_XO_ITEMS_PER_SH","FQ1 2027","FQ1 2027","Currency=INR","Period=FQ","BEST_FPERIOD_OVERRIDE=FQ","FILING_STATUS=MR","EQY_CONSOLIDATED=N","Sort=A","Dates=H","DateFormat=P","Fill=—","Direction=H","UseDPDF=Y")</f>
        <v>-9.8699999999999992</v>
      </c>
      <c r="AO39" s="15">
        <v>-41.29</v>
      </c>
      <c r="AP39" s="15">
        <v>61.94</v>
      </c>
    </row>
    <row r="40" spans="1:42" x14ac:dyDescent="0.25">
      <c r="A40" s="10" t="s">
        <v>162</v>
      </c>
      <c r="B40" s="10" t="s">
        <v>163</v>
      </c>
      <c r="C40" s="15">
        <f>_xll.BDH("INDIGO IN Equity","IS_BASIC_EPS_CONT_OPS","FQ4 2017","FQ4 2017","Currency=INR","Period=FQ","BEST_FPERIOD_OVERRIDE=FQ","FILING_STATUS=MR","EQY_CONSOLIDATED=N","Sort=A","Dates=H","DateFormat=P","Fill=—","Direction=H","UseDPDF=Y")</f>
        <v>12.18</v>
      </c>
      <c r="D40" s="15">
        <f>_xll.BDH("INDIGO IN Equity","IS_BASIC_EPS_CONT_OPS","FQ1 2018","FQ1 2018","Currency=INR","Period=FQ","BEST_FPERIOD_OVERRIDE=FQ","FILING_STATUS=MR","EQY_CONSOLIDATED=N","Sort=A","Dates=H","DateFormat=P","Fill=—","Direction=H","UseDPDF=Y")</f>
        <v>22.44</v>
      </c>
      <c r="E40" s="15">
        <f>_xll.BDH("INDIGO IN Equity","IS_BASIC_EPS_CONT_OPS","FQ2 2018","FQ2 2018","Currency=INR","Period=FQ","BEST_FPERIOD_OVERRIDE=FQ","FILING_STATUS=MR","EQY_CONSOLIDATED=N","Sort=A","Dates=H","DateFormat=P","Fill=—","Direction=H","UseDPDF=Y")</f>
        <v>15.19</v>
      </c>
      <c r="F40" s="15">
        <f>_xll.BDH("INDIGO IN Equity","IS_BASIC_EPS_CONT_OPS","FQ3 2018","FQ3 2018","Currency=INR","Period=FQ","BEST_FPERIOD_OVERRIDE=FQ","FILING_STATUS=MR","EQY_CONSOLIDATED=N","Sort=A","Dates=H","DateFormat=P","Fill=—","Direction=H","UseDPDF=Y")</f>
        <v>19.829999999999998</v>
      </c>
      <c r="G40" s="15">
        <f>_xll.BDH("INDIGO IN Equity","IS_BASIC_EPS_CONT_OPS","FQ4 2018","FQ4 2018","Currency=INR","Period=FQ","BEST_FPERIOD_OVERRIDE=FQ","FILING_STATUS=MR","EQY_CONSOLIDATED=N","Sort=A","Dates=H","DateFormat=P","Fill=—","Direction=H","UseDPDF=Y")</f>
        <v>3.06</v>
      </c>
      <c r="H40" s="15">
        <f>_xll.BDH("INDIGO IN Equity","IS_BASIC_EPS_CONT_OPS","FQ1 2019","FQ1 2019","Currency=INR","Period=FQ","BEST_FPERIOD_OVERRIDE=FQ","FILING_STATUS=MR","EQY_CONSOLIDATED=N","Sort=A","Dates=H","DateFormat=P","Fill=—","Direction=H","UseDPDF=Y")</f>
        <v>0.72</v>
      </c>
      <c r="I40" s="15">
        <f>_xll.BDH("INDIGO IN Equity","IS_BASIC_EPS_CONT_OPS","FQ2 2019","FQ2 2019","Currency=INR","Period=FQ","BEST_FPERIOD_OVERRIDE=FQ","FILING_STATUS=MR","EQY_CONSOLIDATED=N","Sort=A","Dates=H","DateFormat=P","Fill=—","Direction=H","UseDPDF=Y")</f>
        <v>-16.96</v>
      </c>
      <c r="J40" s="15">
        <f>_xll.BDH("INDIGO IN Equity","IS_BASIC_EPS_CONT_OPS","FQ3 2019","FQ3 2019","Currency=INR","Period=FQ","BEST_FPERIOD_OVERRIDE=FQ","FILING_STATUS=MR","EQY_CONSOLIDATED=N","Sort=A","Dates=H","DateFormat=P","Fill=—","Direction=H","UseDPDF=Y")</f>
        <v>4.97</v>
      </c>
      <c r="K40" s="15">
        <f>_xll.BDH("INDIGO IN Equity","IS_BASIC_EPS_CONT_OPS","FQ4 2019","FQ4 2019","Currency=INR","Period=FQ","BEST_FPERIOD_OVERRIDE=FQ","FILING_STATUS=MR","EQY_CONSOLIDATED=N","Sort=A","Dates=H","DateFormat=P","Fill=—","Direction=H","UseDPDF=Y")</f>
        <v>15.34</v>
      </c>
      <c r="L40" s="15">
        <f>_xll.BDH("INDIGO IN Equity","IS_BASIC_EPS_CONT_OPS","FQ1 2020","FQ1 2020","Currency=INR","Period=FQ","BEST_FPERIOD_OVERRIDE=FQ","FILING_STATUS=MR","EQY_CONSOLIDATED=N","Sort=A","Dates=H","DateFormat=P","Fill=—","Direction=H","UseDPDF=Y")</f>
        <v>31.22</v>
      </c>
      <c r="M40" s="15">
        <f>_xll.BDH("INDIGO IN Equity","IS_BASIC_EPS_CONT_OPS","FQ2 2020","FQ2 2020","Currency=INR","Period=FQ","BEST_FPERIOD_OVERRIDE=FQ","FILING_STATUS=MR","EQY_CONSOLIDATED=N","Sort=A","Dates=H","DateFormat=P","Fill=—","Direction=H","UseDPDF=Y")</f>
        <v>-27.7</v>
      </c>
      <c r="N40" s="15">
        <f>_xll.BDH("INDIGO IN Equity","IS_BASIC_EPS_CONT_OPS","FQ3 2020","FQ3 2020","Currency=INR","Period=FQ","BEST_FPERIOD_OVERRIDE=FQ","FILING_STATUS=MR","EQY_CONSOLIDATED=N","Sort=A","Dates=H","DateFormat=P","Fill=—","Direction=H","UseDPDF=Y")</f>
        <v>12.75</v>
      </c>
      <c r="O40" s="15">
        <f>_xll.BDH("INDIGO IN Equity","IS_BASIC_EPS_CONT_OPS","FQ4 2020","FQ4 2020","Currency=INR","Period=FQ","BEST_FPERIOD_OVERRIDE=FQ","FILING_STATUS=MR","EQY_CONSOLIDATED=N","Sort=A","Dates=H","DateFormat=P","Fill=—","Direction=H","UseDPDF=Y")</f>
        <v>-22.7</v>
      </c>
      <c r="P40" s="15">
        <f>_xll.BDH("INDIGO IN Equity","IS_BASIC_EPS_CONT_OPS","FQ1 2021","FQ1 2021","Currency=INR","Period=FQ","BEST_FPERIOD_OVERRIDE=FQ","FILING_STATUS=MR","EQY_CONSOLIDATED=N","Sort=A","Dates=H","DateFormat=P","Fill=—","Direction=H","UseDPDF=Y")</f>
        <v>-74.05</v>
      </c>
      <c r="Q40" s="15">
        <f>_xll.BDH("INDIGO IN Equity","IS_BASIC_EPS_CONT_OPS","FQ2 2021","FQ2 2021","Currency=INR","Period=FQ","BEST_FPERIOD_OVERRIDE=FQ","FILING_STATUS=MR","EQY_CONSOLIDATED=N","Sort=A","Dates=H","DateFormat=P","Fill=—","Direction=H","UseDPDF=Y")</f>
        <v>-31.05</v>
      </c>
      <c r="R40" s="15">
        <f>_xll.BDH("INDIGO IN Equity","IS_BASIC_EPS_CONT_OPS","FQ3 2021","FQ3 2021","Currency=INR","Period=FQ","BEST_FPERIOD_OVERRIDE=FQ","FILING_STATUS=MR","EQY_CONSOLIDATED=N","Sort=A","Dates=H","DateFormat=P","Fill=—","Direction=H","UseDPDF=Y")</f>
        <v>-16.28</v>
      </c>
      <c r="S40" s="15">
        <f>_xll.BDH("INDIGO IN Equity","IS_BASIC_EPS_CONT_OPS","FQ4 2021","FQ4 2021","Currency=INR","Period=FQ","BEST_FPERIOD_OVERRIDE=FQ","FILING_STATUS=MR","EQY_CONSOLIDATED=N","Sort=A","Dates=H","DateFormat=P","Fill=—","Direction=H","UseDPDF=Y")</f>
        <v>-30.12</v>
      </c>
      <c r="T40" s="15">
        <f>_xll.BDH("INDIGO IN Equity","IS_BASIC_EPS_CONT_OPS","FQ1 2022","FQ1 2022","Currency=INR","Period=FQ","BEST_FPERIOD_OVERRIDE=FQ","FILING_STATUS=MR","EQY_CONSOLIDATED=N","Sort=A","Dates=H","DateFormat=P","Fill=—","Direction=H","UseDPDF=Y")</f>
        <v>-82.6</v>
      </c>
      <c r="U40" s="15">
        <f>_xll.BDH("INDIGO IN Equity","IS_BASIC_EPS_CONT_OPS","FQ2 2022","FQ2 2022","Currency=INR","Period=FQ","BEST_FPERIOD_OVERRIDE=FQ","FILING_STATUS=MR","EQY_CONSOLIDATED=N","Sort=A","Dates=H","DateFormat=P","Fill=—","Direction=H","UseDPDF=Y")</f>
        <v>-37.409999999999997</v>
      </c>
      <c r="V40" s="15">
        <f>_xll.BDH("INDIGO IN Equity","IS_BASIC_EPS_CONT_OPS","FQ3 2022","FQ3 2022","Currency=INR","Period=FQ","BEST_FPERIOD_OVERRIDE=FQ","FILING_STATUS=MR","EQY_CONSOLIDATED=N","Sort=A","Dates=H","DateFormat=P","Fill=—","Direction=H","UseDPDF=Y")</f>
        <v>3.33</v>
      </c>
      <c r="W40" s="15">
        <f>_xll.BDH("INDIGO IN Equity","IS_BASIC_EPS_CONT_OPS","FQ4 2022","FQ4 2022","Currency=INR","Period=FQ","BEST_FPERIOD_OVERRIDE=FQ","FILING_STATUS=MR","EQY_CONSOLIDATED=N","Sort=A","Dates=H","DateFormat=P","Fill=—","Direction=H","UseDPDF=Y")</f>
        <v>-43.61</v>
      </c>
      <c r="X40" s="15">
        <f>_xll.BDH("INDIGO IN Equity","IS_BASIC_EPS_CONT_OPS","FQ1 2023","FQ1 2023","Currency=INR","Period=FQ","BEST_FPERIOD_OVERRIDE=FQ","FILING_STATUS=MR","EQY_CONSOLIDATED=N","Sort=A","Dates=H","DateFormat=P","Fill=—","Direction=H","UseDPDF=Y")</f>
        <v>-27.67</v>
      </c>
      <c r="Y40" s="15">
        <f>_xll.BDH("INDIGO IN Equity","IS_BASIC_EPS_CONT_OPS","FQ2 2023","FQ2 2023","Currency=INR","Period=FQ","BEST_FPERIOD_OVERRIDE=FQ","FILING_STATUS=MR","EQY_CONSOLIDATED=N","Sort=A","Dates=H","DateFormat=P","Fill=—","Direction=H","UseDPDF=Y")</f>
        <v>-41.14</v>
      </c>
      <c r="Z40" s="15">
        <f>_xll.BDH("INDIGO IN Equity","IS_BASIC_EPS_CONT_OPS","FQ3 2023","FQ3 2023","Currency=INR","Period=FQ","BEST_FPERIOD_OVERRIDE=FQ","FILING_STATUS=MR","EQY_CONSOLIDATED=N","Sort=A","Dates=H","DateFormat=P","Fill=—","Direction=H","UseDPDF=Y")</f>
        <v>36.79</v>
      </c>
      <c r="AA40" s="15">
        <f>_xll.BDH("INDIGO IN Equity","IS_BASIC_EPS_CONT_OPS","FQ4 2023","FQ4 2023","Currency=INR","Period=FQ","BEST_FPERIOD_OVERRIDE=FQ","FILING_STATUS=MR","EQY_CONSOLIDATED=N","Sort=A","Dates=H","DateFormat=P","Fill=—","Direction=H","UseDPDF=Y")</f>
        <v>23.76</v>
      </c>
      <c r="AB40" s="15">
        <f>_xll.BDH("INDIGO IN Equity","IS_BASIC_EPS_CONT_OPS","FQ1 2024","FQ1 2024","Currency=INR","Period=FQ","BEST_FPERIOD_OVERRIDE=FQ","FILING_STATUS=MR","EQY_CONSOLIDATED=N","Sort=A","Dates=H","DateFormat=P","Fill=—","Direction=H","UseDPDF=Y")</f>
        <v>80.069999999999993</v>
      </c>
      <c r="AC40" s="15">
        <f>_xll.BDH("INDIGO IN Equity","IS_BASIC_EPS_CONT_OPS","FQ2 2024","FQ2 2024","Currency=INR","Period=FQ","BEST_FPERIOD_OVERRIDE=FQ","FILING_STATUS=MR","EQY_CONSOLIDATED=N","Sort=A","Dates=H","DateFormat=P","Fill=—","Direction=H","UseDPDF=Y")</f>
        <v>4.87</v>
      </c>
      <c r="AD40" s="15">
        <f>_xll.BDH("INDIGO IN Equity","IS_BASIC_EPS_CONT_OPS","FQ3 2024","FQ3 2024","Currency=INR","Period=FQ","BEST_FPERIOD_OVERRIDE=FQ","FILING_STATUS=MR","EQY_CONSOLIDATED=N","Sort=A","Dates=H","DateFormat=P","Fill=—","Direction=H","UseDPDF=Y")</f>
        <v>77.7</v>
      </c>
      <c r="AE40" s="15">
        <f>_xll.BDH("INDIGO IN Equity","IS_BASIC_EPS_CONT_OPS","FQ4 2024","FQ4 2024","Currency=INR","Period=FQ","BEST_FPERIOD_OVERRIDE=FQ","FILING_STATUS=MR","EQY_CONSOLIDATED=N","Sort=A","Dates=H","DateFormat=P","Fill=—","Direction=H","UseDPDF=Y")</f>
        <v>49.07</v>
      </c>
      <c r="AF40" s="15">
        <f>_xll.BDH("INDIGO IN Equity","IS_BASIC_EPS_CONT_OPS","FQ1 2025","FQ1 2025","Currency=INR","Period=FQ","BEST_FPERIOD_OVERRIDE=FQ","FILING_STATUS=MR","EQY_CONSOLIDATED=N","Sort=A","Dates=H","DateFormat=P","Fill=—","Direction=H","UseDPDF=Y")</f>
        <v>70.64</v>
      </c>
      <c r="AG40" s="15">
        <f>_xll.BDH("INDIGO IN Equity","IS_BASIC_EPS_CONT_OPS","FQ2 2025","FQ2 2025","Currency=INR","Period=FQ","BEST_FPERIOD_OVERRIDE=FQ","FILING_STATUS=MR","EQY_CONSOLIDATED=N","Sort=A","Dates=H","DateFormat=P","Fill=—","Direction=H","UseDPDF=Y")</f>
        <v>-25.6</v>
      </c>
      <c r="AH40" s="15">
        <f>_xll.BDH("INDIGO IN Equity","IS_BASIC_EPS_CONT_OPS","FQ3 2025","FQ3 2025","Currency=INR","Period=FQ","BEST_FPERIOD_OVERRIDE=FQ","FILING_STATUS=MR","EQY_CONSOLIDATED=N","Sort=A","Dates=H","DateFormat=P","Fill=—","Direction=H","UseDPDF=Y")</f>
        <v>63.21</v>
      </c>
      <c r="AI40" s="15">
        <f>_xll.BDH("INDIGO IN Equity","IS_BASIC_EPS_CONT_OPS","FQ4 2025","FQ4 2025","Currency=INR","Period=FQ","BEST_FPERIOD_OVERRIDE=FQ","FILING_STATUS=MR","EQY_CONSOLIDATED=N","Sort=A","Dates=H","DateFormat=P","Fill=—","Direction=H","UseDPDF=Y")</f>
        <v>79.540000000000006</v>
      </c>
      <c r="AJ40" s="15">
        <f>_xll.BDH("INDIGO IN Equity","IS_BASIC_EPS_CONT_OPS","FQ1 2026","FQ1 2026","Currency=INR","Period=FQ","BEST_FPERIOD_OVERRIDE=FQ","FILING_STATUS=MR","EQY_CONSOLIDATED=N","Sort=A","Dates=H","DateFormat=P","Fill=—","Direction=H","UseDPDF=Y")</f>
        <v>55.92</v>
      </c>
      <c r="AK40" s="15">
        <f>_xll.BDH("INDIGO IN Equity","IS_BASIC_EPS_CONT_OPS","FQ2 2026","FQ2 2026","Currency=INR","Period=FQ","BEST_FPERIOD_OVERRIDE=FQ","FILING_STATUS=MR","EQY_CONSOLIDATED=N","Sort=A","Dates=H","DateFormat=P","Fill=—","Direction=H","UseDPDF=Y")</f>
        <v>-67.63</v>
      </c>
      <c r="AL40" s="15">
        <f>_xll.BDH("INDIGO IN Equity","IS_BASIC_EPS_CONT_OPS","FQ3 2026","FQ3 2026","Currency=INR","Period=FQ","BEST_FPERIOD_OVERRIDE=FQ","FILING_STATUS=MR","EQY_CONSOLIDATED=N","Sort=A","Dates=H","DateFormat=P","Fill=—","Direction=H","UseDPDF=Y")</f>
        <v>15.85</v>
      </c>
      <c r="AM40" s="15">
        <f>_xll.BDH("INDIGO IN Equity","IS_BASIC_EPS_CONT_OPS","FQ4 2026","FQ4 2026","Currency=INR","Period=FQ","BEST_FPERIOD_OVERRIDE=FQ","FILING_STATUS=MR","EQY_CONSOLIDATED=N","Sort=A","Dates=H","DateFormat=P","Fill=—","Direction=H","UseDPDF=Y")</f>
        <v>-64.338099999999997</v>
      </c>
      <c r="AN40" s="15">
        <f>_xll.BDH("INDIGO IN Equity","IS_BASIC_EPS_CONT_OPS","FQ1 2027","FQ1 2027","Currency=INR","Period=FQ","BEST_FPERIOD_OVERRIDE=FQ","FILING_STATUS=MR","EQY_CONSOLIDATED=N","Sort=A","Dates=H","DateFormat=P","Fill=—","Direction=H","UseDPDF=Y")</f>
        <v>-9.8699999999999992</v>
      </c>
      <c r="AO40" s="15">
        <v>-33.47</v>
      </c>
      <c r="AP40" s="15">
        <v>61.16</v>
      </c>
    </row>
    <row r="41" spans="1:42" x14ac:dyDescent="0.25">
      <c r="A41" s="10"/>
      <c r="B41" s="14"/>
      <c r="C41" s="14"/>
      <c r="D41" s="14"/>
      <c r="E41" s="14"/>
      <c r="F41" s="14"/>
      <c r="G41" s="14"/>
      <c r="H41" s="14"/>
      <c r="I41" s="14"/>
      <c r="J41" s="14"/>
      <c r="K41" s="14"/>
      <c r="L41" s="14"/>
      <c r="M41" s="14"/>
      <c r="N41" s="14"/>
      <c r="O41" s="14"/>
      <c r="P41" s="14"/>
      <c r="Q41" s="14"/>
      <c r="R41" s="14"/>
      <c r="S41" s="14"/>
      <c r="T41" s="14"/>
      <c r="U41" s="14"/>
      <c r="V41" s="14"/>
      <c r="W41" s="14"/>
      <c r="X41" s="14"/>
      <c r="Y41" s="14"/>
      <c r="Z41" s="14"/>
      <c r="AA41" s="14"/>
      <c r="AB41" s="14"/>
      <c r="AC41" s="14"/>
      <c r="AD41" s="14"/>
      <c r="AE41" s="14"/>
      <c r="AF41" s="14"/>
      <c r="AG41" s="14"/>
      <c r="AH41" s="14"/>
      <c r="AI41" s="14"/>
      <c r="AJ41" s="14"/>
      <c r="AK41" s="14"/>
      <c r="AL41" s="14"/>
      <c r="AM41" s="14"/>
      <c r="AN41" s="14"/>
      <c r="AO41" s="14"/>
      <c r="AP41" s="14"/>
    </row>
    <row r="42" spans="1:42" x14ac:dyDescent="0.25">
      <c r="A42" s="12" t="s">
        <v>164</v>
      </c>
      <c r="B42" s="12" t="s">
        <v>165</v>
      </c>
      <c r="C42" s="13">
        <f>_xll.BDH("INDIGO IN Equity","IS_SH_FOR_DILUTED_EPS","FQ4 2017","FQ4 2017","Currency=INR","Period=FQ","BEST_FPERIOD_OVERRIDE=FQ","FILING_STATUS=MR","EQY_CONSOLIDATED=N","Sort=A","Dates=H","DateFormat=P","Fill=—","Direction=H","UseDPDF=Y")</f>
        <v>361.79790000000003</v>
      </c>
      <c r="D42" s="13">
        <f>_xll.BDH("INDIGO IN Equity","IS_SH_FOR_DILUTED_EPS","FQ1 2018","FQ1 2018","Currency=INR","Period=FQ","BEST_FPERIOD_OVERRIDE=FQ","FILING_STATUS=MR","EQY_CONSOLIDATED=N","Sort=A","Dates=H","DateFormat=P","Fill=—","Direction=H","UseDPDF=Y")</f>
        <v>362.28050000000002</v>
      </c>
      <c r="E42" s="13">
        <f>_xll.BDH("INDIGO IN Equity","IS_SH_FOR_DILUTED_EPS","FQ2 2018","FQ2 2018","Currency=INR","Period=FQ","BEST_FPERIOD_OVERRIDE=FQ","FILING_STATUS=MR","EQY_CONSOLIDATED=N","Sort=A","Dates=H","DateFormat=P","Fill=—","Direction=H","UseDPDF=Y")</f>
        <v>364.0634</v>
      </c>
      <c r="F42" s="13">
        <f>_xll.BDH("INDIGO IN Equity","IS_SH_FOR_DILUTED_EPS","FQ3 2018","FQ3 2018","Currency=INR","Period=FQ","BEST_FPERIOD_OVERRIDE=FQ","FILING_STATUS=MR","EQY_CONSOLIDATED=N","Sort=A","Dates=H","DateFormat=P","Fill=—","Direction=H","UseDPDF=Y")</f>
        <v>384.86360000000002</v>
      </c>
      <c r="G42" s="13">
        <f>_xll.BDH("INDIGO IN Equity","IS_SH_FOR_DILUTED_EPS","FQ4 2018","FQ4 2018","Currency=INR","Period=FQ","BEST_FPERIOD_OVERRIDE=FQ","FILING_STATUS=MR","EQY_CONSOLIDATED=N","Sort=A","Dates=H","DateFormat=P","Fill=—","Direction=H","UseDPDF=Y")</f>
        <v>385.7115</v>
      </c>
      <c r="H42" s="13">
        <f>_xll.BDH("INDIGO IN Equity","IS_SH_FOR_DILUTED_EPS","FQ1 2019","FQ1 2019","Currency=INR","Period=FQ","BEST_FPERIOD_OVERRIDE=FQ","FILING_STATUS=MR","EQY_CONSOLIDATED=N","Sort=A","Dates=H","DateFormat=P","Fill=—","Direction=H","UseDPDF=Y")</f>
        <v>385.97219999999999</v>
      </c>
      <c r="I42" s="13">
        <f>_xll.BDH("INDIGO IN Equity","IS_SH_FOR_DILUTED_EPS","FQ2 2019","FQ2 2019","Currency=INR","Period=FQ","BEST_FPERIOD_OVERRIDE=FQ","FILING_STATUS=MR","EQY_CONSOLIDATED=N","Sort=A","Dates=H","DateFormat=P","Fill=—","Direction=H","UseDPDF=Y")</f>
        <v>384.40699999999998</v>
      </c>
      <c r="J42" s="13">
        <f>_xll.BDH("INDIGO IN Equity","IS_SH_FOR_DILUTED_EPS","FQ3 2019","FQ3 2019","Currency=INR","Period=FQ","BEST_FPERIOD_OVERRIDE=FQ","FILING_STATUS=MR","EQY_CONSOLIDATED=N","Sort=A","Dates=H","DateFormat=P","Fill=—","Direction=H","UseDPDF=Y")</f>
        <v>384.85480000000001</v>
      </c>
      <c r="K42" s="13">
        <f>_xll.BDH("INDIGO IN Equity","IS_SH_FOR_DILUTED_EPS","FQ4 2019","FQ4 2019","Currency=INR","Period=FQ","BEST_FPERIOD_OVERRIDE=FQ","FILING_STATUS=MR","EQY_CONSOLIDATED=N","Sort=A","Dates=H","DateFormat=P","Fill=—","Direction=H","UseDPDF=Y")</f>
        <v>384.84789999999998</v>
      </c>
      <c r="L42" s="13">
        <f>_xll.BDH("INDIGO IN Equity","IS_SH_FOR_DILUTED_EPS","FQ1 2020","FQ1 2020","Currency=INR","Period=FQ","BEST_FPERIOD_OVERRIDE=FQ","FILING_STATUS=MR","EQY_CONSOLIDATED=N","Sort=A","Dates=H","DateFormat=P","Fill=—","Direction=H","UseDPDF=Y")</f>
        <v>385.01220000000001</v>
      </c>
      <c r="M42" s="13">
        <f>_xll.BDH("INDIGO IN Equity","IS_SH_FOR_DILUTED_EPS","FQ2 2020","FQ2 2020","Currency=INR","Period=FQ","BEST_FPERIOD_OVERRIDE=FQ","FILING_STATUS=MR","EQY_CONSOLIDATED=N","Sort=A","Dates=H","DateFormat=P","Fill=—","Direction=H","UseDPDF=Y")</f>
        <v>384.65699999999998</v>
      </c>
      <c r="N42" s="13">
        <f>_xll.BDH("INDIGO IN Equity","IS_SH_FOR_DILUTED_EPS","FQ3 2020","FQ3 2020","Currency=INR","Period=FQ","BEST_FPERIOD_OVERRIDE=FQ","FILING_STATUS=MR","EQY_CONSOLIDATED=N","Sort=A","Dates=H","DateFormat=P","Fill=—","Direction=H","UseDPDF=Y")</f>
        <v>384.96859999999998</v>
      </c>
      <c r="O42" s="13">
        <f>_xll.BDH("INDIGO IN Equity","IS_SH_FOR_DILUTED_EPS","FQ4 2020","FQ4 2020","Currency=INR","Period=FQ","BEST_FPERIOD_OVERRIDE=FQ","FILING_STATUS=MR","EQY_CONSOLIDATED=N","Sort=A","Dates=H","DateFormat=P","Fill=—","Direction=H","UseDPDF=Y")</f>
        <v>384.78680000000003</v>
      </c>
      <c r="P42" s="13">
        <f>_xll.BDH("INDIGO IN Equity","IS_SH_FOR_DILUTED_EPS","FQ1 2021","FQ1 2021","Currency=INR","Period=FQ","BEST_FPERIOD_OVERRIDE=FQ","FILING_STATUS=MR","EQY_CONSOLIDATED=N","Sort=A","Dates=H","DateFormat=P","Fill=—","Direction=H","UseDPDF=Y")</f>
        <v>384.79599999999999</v>
      </c>
      <c r="Q42" s="13">
        <f>_xll.BDH("INDIGO IN Equity","IS_SH_FOR_DILUTED_EPS","FQ2 2021","FQ2 2021","Currency=INR","Period=FQ","BEST_FPERIOD_OVERRIDE=FQ","FILING_STATUS=MR","EQY_CONSOLIDATED=N","Sort=A","Dates=H","DateFormat=P","Fill=—","Direction=H","UseDPDF=Y")</f>
        <v>384.79599999999999</v>
      </c>
      <c r="R42" s="13">
        <f>_xll.BDH("INDIGO IN Equity","IS_SH_FOR_DILUTED_EPS","FQ3 2021","FQ3 2021","Currency=INR","Period=FQ","BEST_FPERIOD_OVERRIDE=FQ","FILING_STATUS=MR","EQY_CONSOLIDATED=N","Sort=A","Dates=H","DateFormat=P","Fill=—","Direction=H","UseDPDF=Y")</f>
        <v>384.65809999999999</v>
      </c>
      <c r="S42" s="13">
        <f>_xll.BDH("INDIGO IN Equity","IS_SH_FOR_DILUTED_EPS","FQ4 2021","FQ4 2021","Currency=INR","Period=FQ","BEST_FPERIOD_OVERRIDE=FQ","FILING_STATUS=MR","EQY_CONSOLIDATED=N","Sort=A","Dates=H","DateFormat=P","Fill=—","Direction=H","UseDPDF=Y")</f>
        <v>384.81040000000002</v>
      </c>
      <c r="T42" s="13">
        <f>_xll.BDH("INDIGO IN Equity","IS_SH_FOR_DILUTED_EPS","FQ1 2022","FQ1 2022","Currency=INR","Period=FQ","BEST_FPERIOD_OVERRIDE=FQ","FILING_STATUS=MR","EQY_CONSOLIDATED=N","Sort=A","Dates=H","DateFormat=P","Fill=—","Direction=H","UseDPDF=Y")</f>
        <v>384.91</v>
      </c>
      <c r="U42" s="13">
        <f>_xll.BDH("INDIGO IN Equity","IS_SH_FOR_DILUTED_EPS","FQ2 2022","FQ2 2022","Currency=INR","Period=FQ","BEST_FPERIOD_OVERRIDE=FQ","FILING_STATUS=MR","EQY_CONSOLIDATED=N","Sort=A","Dates=H","DateFormat=P","Fill=—","Direction=H","UseDPDF=Y")</f>
        <v>385.14699999999999</v>
      </c>
      <c r="V42" s="13">
        <f>_xll.BDH("INDIGO IN Equity","IS_SH_FOR_DILUTED_EPS","FQ3 2022","FQ3 2022","Currency=INR","Period=FQ","BEST_FPERIOD_OVERRIDE=FQ","FILING_STATUS=MR","EQY_CONSOLIDATED=N","Sort=A","Dates=H","DateFormat=P","Fill=—","Direction=H","UseDPDF=Y")</f>
        <v>385.19099999999997</v>
      </c>
      <c r="W42" s="13">
        <f>_xll.BDH("INDIGO IN Equity","IS_SH_FOR_DILUTED_EPS","FQ4 2022","FQ4 2022","Currency=INR","Period=FQ","BEST_FPERIOD_OVERRIDE=FQ","FILING_STATUS=MR","EQY_CONSOLIDATED=N","Sort=A","Dates=H","DateFormat=P","Fill=—","Direction=H","UseDPDF=Y")</f>
        <v>385.16300000000001</v>
      </c>
      <c r="X42" s="13">
        <f>_xll.BDH("INDIGO IN Equity","IS_SH_FOR_DILUTED_EPS","FQ1 2023","FQ1 2023","Currency=INR","Period=FQ","BEST_FPERIOD_OVERRIDE=FQ","FILING_STATUS=MR","EQY_CONSOLIDATED=N","Sort=A","Dates=H","DateFormat=P","Fill=—","Direction=H","UseDPDF=Y")</f>
        <v>385.255</v>
      </c>
      <c r="Y42" s="13">
        <f>_xll.BDH("INDIGO IN Equity","IS_SH_FOR_DILUTED_EPS","FQ2 2023","FQ2 2023","Currency=INR","Period=FQ","BEST_FPERIOD_OVERRIDE=FQ","FILING_STATUS=MR","EQY_CONSOLIDATED=N","Sort=A","Dates=H","DateFormat=P","Fill=—","Direction=H","UseDPDF=Y")</f>
        <v>385.435</v>
      </c>
      <c r="Z42" s="13">
        <f>_xll.BDH("INDIGO IN Equity","IS_SH_FOR_DILUTED_EPS","FQ3 2023","FQ3 2023","Currency=INR","Period=FQ","BEST_FPERIOD_OVERRIDE=FQ","FILING_STATUS=MR","EQY_CONSOLIDATED=N","Sort=A","Dates=H","DateFormat=P","Fill=—","Direction=H","UseDPDF=Y")</f>
        <v>385.47500000000002</v>
      </c>
      <c r="AA42" s="13">
        <f>_xll.BDH("INDIGO IN Equity","IS_SH_FOR_DILUTED_EPS","FQ4 2023","FQ4 2023","Currency=INR","Period=FQ","BEST_FPERIOD_OVERRIDE=FQ","FILING_STATUS=MR","EQY_CONSOLIDATED=N","Sort=A","Dates=H","DateFormat=P","Fill=—","Direction=H","UseDPDF=Y")</f>
        <v>385.54700000000003</v>
      </c>
      <c r="AB42" s="13">
        <f>_xll.BDH("INDIGO IN Equity","IS_SH_FOR_DILUTED_EPS","FQ1 2024","FQ1 2024","Currency=INR","Period=FQ","BEST_FPERIOD_OVERRIDE=FQ","FILING_STATUS=MR","EQY_CONSOLIDATED=N","Sort=A","Dates=H","DateFormat=P","Fill=—","Direction=H","UseDPDF=Y")</f>
        <v>385.54700000000003</v>
      </c>
      <c r="AC42" s="13">
        <f>_xll.BDH("INDIGO IN Equity","IS_SH_FOR_DILUTED_EPS","FQ2 2024","FQ2 2024","Currency=INR","Period=FQ","BEST_FPERIOD_OVERRIDE=FQ","FILING_STATUS=MR","EQY_CONSOLIDATED=N","Sort=A","Dates=H","DateFormat=P","Fill=—","Direction=H","UseDPDF=Y")</f>
        <v>386.54320000000001</v>
      </c>
      <c r="AD42" s="13">
        <f>_xll.BDH("INDIGO IN Equity","IS_SH_FOR_DILUTED_EPS","FQ3 2024","FQ3 2024","Currency=INR","Period=FQ","BEST_FPERIOD_OVERRIDE=FQ","FILING_STATUS=MR","EQY_CONSOLIDATED=N","Sort=A","Dates=H","DateFormat=P","Fill=—","Direction=H","UseDPDF=Y")</f>
        <v>386.45370000000003</v>
      </c>
      <c r="AE42" s="13">
        <f>_xll.BDH("INDIGO IN Equity","IS_SH_FOR_DILUTED_EPS","FQ4 2024","FQ4 2024","Currency=INR","Period=FQ","BEST_FPERIOD_OVERRIDE=FQ","FILING_STATUS=MR","EQY_CONSOLIDATED=N","Sort=A","Dates=H","DateFormat=P","Fill=—","Direction=H","UseDPDF=Y")</f>
        <v>385.97899999999998</v>
      </c>
      <c r="AF42" s="13">
        <f>_xll.BDH("INDIGO IN Equity","IS_SH_FOR_DILUTED_EPS","FQ1 2025","FQ1 2025","Currency=INR","Period=FQ","BEST_FPERIOD_OVERRIDE=FQ","FILING_STATUS=MR","EQY_CONSOLIDATED=N","Sort=A","Dates=H","DateFormat=P","Fill=—","Direction=H","UseDPDF=Y")</f>
        <v>386.71109999999999</v>
      </c>
      <c r="AG42" s="13">
        <f>_xll.BDH("INDIGO IN Equity","IS_SH_FOR_DILUTED_EPS","FQ2 2025","FQ2 2025","Currency=INR","Period=FQ","BEST_FPERIOD_OVERRIDE=FQ","FILING_STATUS=MR","EQY_CONSOLIDATED=N","Sort=A","Dates=H","DateFormat=P","Fill=—","Direction=H","UseDPDF=Y")</f>
        <v>386.25</v>
      </c>
      <c r="AH42" s="13">
        <f>_xll.BDH("INDIGO IN Equity","IS_SH_FOR_DILUTED_EPS","FQ3 2025","FQ3 2025","Currency=INR","Period=FQ","BEST_FPERIOD_OVERRIDE=FQ","FILING_STATUS=MR","EQY_CONSOLIDATED=N","Sort=A","Dates=H","DateFormat=P","Fill=—","Direction=H","UseDPDF=Y")</f>
        <v>386.4</v>
      </c>
      <c r="AI42" s="13">
        <f>_xll.BDH("INDIGO IN Equity","IS_SH_FOR_DILUTED_EPS","FQ4 2025","FQ4 2025","Currency=INR","Period=FQ","BEST_FPERIOD_OVERRIDE=FQ","FILING_STATUS=MR","EQY_CONSOLIDATED=N","Sort=A","Dates=H","DateFormat=P","Fill=—","Direction=H","UseDPDF=Y")</f>
        <v>386.4</v>
      </c>
      <c r="AJ42" s="13">
        <f>_xll.BDH("INDIGO IN Equity","IS_SH_FOR_DILUTED_EPS","FQ1 2026","FQ1 2026","Currency=INR","Period=FQ","BEST_FPERIOD_OVERRIDE=FQ","FILING_STATUS=MR","EQY_CONSOLIDATED=N","Sort=A","Dates=H","DateFormat=P","Fill=—","Direction=H","UseDPDF=Y")</f>
        <v>386.5</v>
      </c>
      <c r="AK42" s="13">
        <f>_xll.BDH("INDIGO IN Equity","IS_SH_FOR_DILUTED_EPS","FQ2 2026","FQ2 2026","Currency=INR","Period=FQ","BEST_FPERIOD_OVERRIDE=FQ","FILING_STATUS=MR","EQY_CONSOLIDATED=N","Sort=A","Dates=H","DateFormat=P","Fill=—","Direction=H","UseDPDF=Y")</f>
        <v>386.52960000000002</v>
      </c>
      <c r="AL42" s="13">
        <f>_xll.BDH("INDIGO IN Equity","IS_SH_FOR_DILUTED_EPS","FQ3 2026","FQ3 2026","Currency=INR","Period=FQ","BEST_FPERIOD_OVERRIDE=FQ","FILING_STATUS=MR","EQY_CONSOLIDATED=N","Sort=A","Dates=H","DateFormat=P","Fill=—","Direction=H","UseDPDF=Y")</f>
        <v>387.23140000000001</v>
      </c>
      <c r="AM42" s="13">
        <f>_xll.BDH("INDIGO IN Equity","IS_SH_FOR_DILUTED_EPS","FQ4 2026","FQ4 2026","Currency=INR","Period=FQ","BEST_FPERIOD_OVERRIDE=FQ","FILING_STATUS=MR","EQY_CONSOLIDATED=N","Sort=A","Dates=H","DateFormat=P","Fill=—","Direction=H","UseDPDF=Y")</f>
        <v>386.6</v>
      </c>
      <c r="AN42" s="13">
        <f>_xll.BDH("INDIGO IN Equity","IS_SH_FOR_DILUTED_EPS","FQ1 2027","FQ1 2027","Currency=INR","Period=FQ","BEST_FPERIOD_OVERRIDE=FQ","FILING_STATUS=MR","EQY_CONSOLIDATED=N","Sort=A","Dates=H","DateFormat=P","Fill=—","Direction=H","UseDPDF=Y")</f>
        <v>386.7</v>
      </c>
      <c r="AO42" s="13"/>
      <c r="AP42" s="13"/>
    </row>
    <row r="43" spans="1:42" x14ac:dyDescent="0.25">
      <c r="A43" s="10" t="s">
        <v>166</v>
      </c>
      <c r="B43" s="10" t="s">
        <v>167</v>
      </c>
      <c r="C43" s="15">
        <f>_xll.BDH("INDIGO IN Equity","IS_DILUTED_EPS","FQ4 2017","FQ4 2017","Currency=INR","Period=FQ","BEST_FPERIOD_OVERRIDE=FQ","FILING_STATUS=MR","EQY_CONSOLIDATED=N","FA_ADJUSTED=GAAP","Sort=A","Dates=H","DateFormat=P","Fill=—","Direction=H","UseDPDF=Y")</f>
        <v>12.17</v>
      </c>
      <c r="D43" s="15">
        <f>_xll.BDH("INDIGO IN Equity","IS_DILUTED_EPS","FQ1 2018","FQ1 2018","Currency=INR","Period=FQ","BEST_FPERIOD_OVERRIDE=FQ","FILING_STATUS=MR","EQY_CONSOLIDATED=N","FA_ADJUSTED=GAAP","Sort=A","Dates=H","DateFormat=P","Fill=—","Direction=H","UseDPDF=Y")</f>
        <v>22.39</v>
      </c>
      <c r="E43" s="15">
        <f>_xll.BDH("INDIGO IN Equity","IS_DILUTED_EPS","FQ2 2018","FQ2 2018","Currency=INR","Period=FQ","BEST_FPERIOD_OVERRIDE=FQ","FILING_STATUS=MR","EQY_CONSOLIDATED=N","FA_ADJUSTED=GAAP","Sort=A","Dates=H","DateFormat=P","Fill=—","Direction=H","UseDPDF=Y")</f>
        <v>15.15</v>
      </c>
      <c r="F43" s="15">
        <f>_xll.BDH("INDIGO IN Equity","IS_DILUTED_EPS","FQ3 2018","FQ3 2018","Currency=INR","Period=FQ","BEST_FPERIOD_OVERRIDE=FQ","FILING_STATUS=MR","EQY_CONSOLIDATED=N","FA_ADJUSTED=GAAP","Sort=A","Dates=H","DateFormat=P","Fill=—","Direction=H","UseDPDF=Y")</f>
        <v>19.8</v>
      </c>
      <c r="G43" s="15">
        <f>_xll.BDH("INDIGO IN Equity","IS_DILUTED_EPS","FQ4 2018","FQ4 2018","Currency=INR","Period=FQ","BEST_FPERIOD_OVERRIDE=FQ","FILING_STATUS=MR","EQY_CONSOLIDATED=N","FA_ADJUSTED=GAAP","Sort=A","Dates=H","DateFormat=P","Fill=—","Direction=H","UseDPDF=Y")</f>
        <v>3.05</v>
      </c>
      <c r="H43" s="15">
        <f>_xll.BDH("INDIGO IN Equity","IS_DILUTED_EPS","FQ1 2019","FQ1 2019","Currency=INR","Period=FQ","BEST_FPERIOD_OVERRIDE=FQ","FILING_STATUS=MR","EQY_CONSOLIDATED=N","FA_ADJUSTED=GAAP","Sort=A","Dates=H","DateFormat=P","Fill=—","Direction=H","UseDPDF=Y")</f>
        <v>0.72</v>
      </c>
      <c r="I43" s="15">
        <f>_xll.BDH("INDIGO IN Equity","IS_DILUTED_EPS","FQ2 2019","FQ2 2019","Currency=INR","Period=FQ","BEST_FPERIOD_OVERRIDE=FQ","FILING_STATUS=MR","EQY_CONSOLIDATED=N","FA_ADJUSTED=GAAP","Sort=A","Dates=H","DateFormat=P","Fill=—","Direction=H","UseDPDF=Y")</f>
        <v>-16.96</v>
      </c>
      <c r="J43" s="15">
        <f>_xll.BDH("INDIGO IN Equity","IS_DILUTED_EPS","FQ3 2019","FQ3 2019","Currency=INR","Period=FQ","BEST_FPERIOD_OVERRIDE=FQ","FILING_STATUS=MR","EQY_CONSOLIDATED=N","FA_ADJUSTED=GAAP","Sort=A","Dates=H","DateFormat=P","Fill=—","Direction=H","UseDPDF=Y")</f>
        <v>4.96</v>
      </c>
      <c r="K43" s="15">
        <f>_xll.BDH("INDIGO IN Equity","IS_DILUTED_EPS","FQ4 2019","FQ4 2019","Currency=INR","Period=FQ","BEST_FPERIOD_OVERRIDE=FQ","FILING_STATUS=MR","EQY_CONSOLIDATED=N","FA_ADJUSTED=GAAP","Sort=A","Dates=H","DateFormat=P","Fill=—","Direction=H","UseDPDF=Y")</f>
        <v>15.32</v>
      </c>
      <c r="L43" s="15">
        <f>_xll.BDH("INDIGO IN Equity","IS_DILUTED_EPS","FQ1 2020","FQ1 2020","Currency=INR","Period=FQ","BEST_FPERIOD_OVERRIDE=FQ","FILING_STATUS=MR","EQY_CONSOLIDATED=N","FA_ADJUSTED=GAAP","Sort=A","Dates=H","DateFormat=P","Fill=—","Direction=H","UseDPDF=Y")</f>
        <v>31.18</v>
      </c>
      <c r="M43" s="15">
        <f>_xll.BDH("INDIGO IN Equity","IS_DILUTED_EPS","FQ2 2020","FQ2 2020","Currency=INR","Period=FQ","BEST_FPERIOD_OVERRIDE=FQ","FILING_STATUS=MR","EQY_CONSOLIDATED=N","FA_ADJUSTED=GAAP","Sort=A","Dates=H","DateFormat=P","Fill=—","Direction=H","UseDPDF=Y")</f>
        <v>-27.7</v>
      </c>
      <c r="N43" s="15">
        <f>_xll.BDH("INDIGO IN Equity","IS_DILUTED_EPS","FQ3 2020","FQ3 2020","Currency=INR","Period=FQ","BEST_FPERIOD_OVERRIDE=FQ","FILING_STATUS=MR","EQY_CONSOLIDATED=N","FA_ADJUSTED=GAAP","Sort=A","Dates=H","DateFormat=P","Fill=—","Direction=H","UseDPDF=Y")</f>
        <v>12.74</v>
      </c>
      <c r="O43" s="15">
        <f>_xll.BDH("INDIGO IN Equity","IS_DILUTED_EPS","FQ4 2020","FQ4 2020","Currency=INR","Period=FQ","BEST_FPERIOD_OVERRIDE=FQ","FILING_STATUS=MR","EQY_CONSOLIDATED=N","FA_ADJUSTED=GAAP","Sort=A","Dates=H","DateFormat=P","Fill=—","Direction=H","UseDPDF=Y")</f>
        <v>-22.7</v>
      </c>
      <c r="P43" s="15">
        <f>_xll.BDH("INDIGO IN Equity","IS_DILUTED_EPS","FQ1 2021","FQ1 2021","Currency=INR","Period=FQ","BEST_FPERIOD_OVERRIDE=FQ","FILING_STATUS=MR","EQY_CONSOLIDATED=N","FA_ADJUSTED=GAAP","Sort=A","Dates=H","DateFormat=P","Fill=—","Direction=H","UseDPDF=Y")</f>
        <v>-74.05</v>
      </c>
      <c r="Q43" s="15">
        <f>_xll.BDH("INDIGO IN Equity","IS_DILUTED_EPS","FQ2 2021","FQ2 2021","Currency=INR","Period=FQ","BEST_FPERIOD_OVERRIDE=FQ","FILING_STATUS=MR","EQY_CONSOLIDATED=N","FA_ADJUSTED=GAAP","Sort=A","Dates=H","DateFormat=P","Fill=—","Direction=H","UseDPDF=Y")</f>
        <v>-31.05</v>
      </c>
      <c r="R43" s="15">
        <f>_xll.BDH("INDIGO IN Equity","IS_DILUTED_EPS","FQ3 2021","FQ3 2021","Currency=INR","Period=FQ","BEST_FPERIOD_OVERRIDE=FQ","FILING_STATUS=MR","EQY_CONSOLIDATED=N","FA_ADJUSTED=GAAP","Sort=A","Dates=H","DateFormat=P","Fill=—","Direction=H","UseDPDF=Y")</f>
        <v>-16.28</v>
      </c>
      <c r="S43" s="15">
        <f>_xll.BDH("INDIGO IN Equity","IS_DILUTED_EPS","FQ4 2021","FQ4 2021","Currency=INR","Period=FQ","BEST_FPERIOD_OVERRIDE=FQ","FILING_STATUS=MR","EQY_CONSOLIDATED=N","FA_ADJUSTED=GAAP","Sort=A","Dates=H","DateFormat=P","Fill=—","Direction=H","UseDPDF=Y")</f>
        <v>-30.12</v>
      </c>
      <c r="T43" s="15">
        <f>_xll.BDH("INDIGO IN Equity","IS_DILUTED_EPS","FQ1 2022","FQ1 2022","Currency=INR","Period=FQ","BEST_FPERIOD_OVERRIDE=FQ","FILING_STATUS=MR","EQY_CONSOLIDATED=N","FA_ADJUSTED=GAAP","Sort=A","Dates=H","DateFormat=P","Fill=—","Direction=H","UseDPDF=Y")</f>
        <v>-82.6</v>
      </c>
      <c r="U43" s="15">
        <f>_xll.BDH("INDIGO IN Equity","IS_DILUTED_EPS","FQ2 2022","FQ2 2022","Currency=INR","Period=FQ","BEST_FPERIOD_OVERRIDE=FQ","FILING_STATUS=MR","EQY_CONSOLIDATED=N","FA_ADJUSTED=GAAP","Sort=A","Dates=H","DateFormat=P","Fill=—","Direction=H","UseDPDF=Y")</f>
        <v>-37.409999999999997</v>
      </c>
      <c r="V43" s="15">
        <f>_xll.BDH("INDIGO IN Equity","IS_DILUTED_EPS","FQ3 2022","FQ3 2022","Currency=INR","Period=FQ","BEST_FPERIOD_OVERRIDE=FQ","FILING_STATUS=MR","EQY_CONSOLIDATED=N","FA_ADJUSTED=GAAP","Sort=A","Dates=H","DateFormat=P","Fill=—","Direction=H","UseDPDF=Y")</f>
        <v>3.33</v>
      </c>
      <c r="W43" s="15">
        <f>_xll.BDH("INDIGO IN Equity","IS_DILUTED_EPS","FQ4 2022","FQ4 2022","Currency=INR","Period=FQ","BEST_FPERIOD_OVERRIDE=FQ","FILING_STATUS=MR","EQY_CONSOLIDATED=N","FA_ADJUSTED=GAAP","Sort=A","Dates=H","DateFormat=P","Fill=—","Direction=H","UseDPDF=Y")</f>
        <v>-43.61</v>
      </c>
      <c r="X43" s="15">
        <f>_xll.BDH("INDIGO IN Equity","IS_DILUTED_EPS","FQ1 2023","FQ1 2023","Currency=INR","Period=FQ","BEST_FPERIOD_OVERRIDE=FQ","FILING_STATUS=MR","EQY_CONSOLIDATED=N","FA_ADJUSTED=GAAP","Sort=A","Dates=H","DateFormat=P","Fill=—","Direction=H","UseDPDF=Y")</f>
        <v>-27.67</v>
      </c>
      <c r="Y43" s="15">
        <f>_xll.BDH("INDIGO IN Equity","IS_DILUTED_EPS","FQ2 2023","FQ2 2023","Currency=INR","Period=FQ","BEST_FPERIOD_OVERRIDE=FQ","FILING_STATUS=MR","EQY_CONSOLIDATED=N","FA_ADJUSTED=GAAP","Sort=A","Dates=H","DateFormat=P","Fill=—","Direction=H","UseDPDF=Y")</f>
        <v>-41.14</v>
      </c>
      <c r="Z43" s="15">
        <f>_xll.BDH("INDIGO IN Equity","IS_DILUTED_EPS","FQ3 2023","FQ3 2023","Currency=INR","Period=FQ","BEST_FPERIOD_OVERRIDE=FQ","FILING_STATUS=MR","EQY_CONSOLIDATED=N","FA_ADJUSTED=GAAP","Sort=A","Dates=H","DateFormat=P","Fill=—","Direction=H","UseDPDF=Y")</f>
        <v>36.74</v>
      </c>
      <c r="AA43" s="15">
        <f>_xll.BDH("INDIGO IN Equity","IS_DILUTED_EPS","FQ4 2023","FQ4 2023","Currency=INR","Period=FQ","BEST_FPERIOD_OVERRIDE=FQ","FILING_STATUS=MR","EQY_CONSOLIDATED=N","FA_ADJUSTED=GAAP","Sort=A","Dates=H","DateFormat=P","Fill=—","Direction=H","UseDPDF=Y")</f>
        <v>23.73</v>
      </c>
      <c r="AB43" s="15">
        <f>_xll.BDH("INDIGO IN Equity","IS_DILUTED_EPS","FQ1 2024","FQ1 2024","Currency=INR","Period=FQ","BEST_FPERIOD_OVERRIDE=FQ","FILING_STATUS=MR","EQY_CONSOLIDATED=N","FA_ADJUSTED=GAAP","Sort=A","Dates=H","DateFormat=P","Fill=—","Direction=H","UseDPDF=Y")</f>
        <v>79.94</v>
      </c>
      <c r="AC43" s="15">
        <f>_xll.BDH("INDIGO IN Equity","IS_DILUTED_EPS","FQ2 2024","FQ2 2024","Currency=INR","Period=FQ","BEST_FPERIOD_OVERRIDE=FQ","FILING_STATUS=MR","EQY_CONSOLIDATED=N","FA_ADJUSTED=GAAP","Sort=A","Dates=H","DateFormat=P","Fill=—","Direction=H","UseDPDF=Y")</f>
        <v>4.8600000000000003</v>
      </c>
      <c r="AD43" s="15">
        <f>_xll.BDH("INDIGO IN Equity","IS_DILUTED_EPS","FQ3 2024","FQ3 2024","Currency=INR","Period=FQ","BEST_FPERIOD_OVERRIDE=FQ","FILING_STATUS=MR","EQY_CONSOLIDATED=N","FA_ADJUSTED=GAAP","Sort=A","Dates=H","DateFormat=P","Fill=—","Direction=H","UseDPDF=Y")</f>
        <v>77.59</v>
      </c>
      <c r="AE43" s="15">
        <f>_xll.BDH("INDIGO IN Equity","IS_DILUTED_EPS","FQ4 2024","FQ4 2024","Currency=INR","Period=FQ","BEST_FPERIOD_OVERRIDE=FQ","FILING_STATUS=MR","EQY_CONSOLIDATED=N","FA_ADJUSTED=GAAP","Sort=A","Dates=H","DateFormat=P","Fill=—","Direction=H","UseDPDF=Y")</f>
        <v>49</v>
      </c>
      <c r="AF43" s="15">
        <f>_xll.BDH("INDIGO IN Equity","IS_DILUTED_EPS","FQ1 2025","FQ1 2025","Currency=INR","Period=FQ","BEST_FPERIOD_OVERRIDE=FQ","FILING_STATUS=MR","EQY_CONSOLIDATED=N","FA_ADJUSTED=GAAP","Sort=A","Dates=H","DateFormat=P","Fill=—","Direction=H","UseDPDF=Y")</f>
        <v>70.510000000000005</v>
      </c>
      <c r="AG43" s="15">
        <f>_xll.BDH("INDIGO IN Equity","IS_DILUTED_EPS","FQ2 2025","FQ2 2025","Currency=INR","Period=FQ","BEST_FPERIOD_OVERRIDE=FQ","FILING_STATUS=MR","EQY_CONSOLIDATED=N","FA_ADJUSTED=GAAP","Sort=A","Dates=H","DateFormat=P","Fill=—","Direction=H","UseDPDF=Y")</f>
        <v>-25.6</v>
      </c>
      <c r="AH43" s="15">
        <f>_xll.BDH("INDIGO IN Equity","IS_DILUTED_EPS","FQ3 2025","FQ3 2025","Currency=INR","Period=FQ","BEST_FPERIOD_OVERRIDE=FQ","FILING_STATUS=MR","EQY_CONSOLIDATED=N","FA_ADJUSTED=GAAP","Sort=A","Dates=H","DateFormat=P","Fill=—","Direction=H","UseDPDF=Y")</f>
        <v>63.12</v>
      </c>
      <c r="AI43" s="15">
        <f>_xll.BDH("INDIGO IN Equity","IS_DILUTED_EPS","FQ4 2025","FQ4 2025","Currency=INR","Period=FQ","BEST_FPERIOD_OVERRIDE=FQ","FILING_STATUS=MR","EQY_CONSOLIDATED=N","FA_ADJUSTED=GAAP","Sort=A","Dates=H","DateFormat=P","Fill=—","Direction=H","UseDPDF=Y")</f>
        <v>79.430000000000007</v>
      </c>
      <c r="AJ43" s="15">
        <f>_xll.BDH("INDIGO IN Equity","IS_DILUTED_EPS","FQ1 2026","FQ1 2026","Currency=INR","Period=FQ","BEST_FPERIOD_OVERRIDE=FQ","FILING_STATUS=MR","EQY_CONSOLIDATED=N","FA_ADJUSTED=GAAP","Sort=A","Dates=H","DateFormat=P","Fill=—","Direction=H","UseDPDF=Y")</f>
        <v>55.84</v>
      </c>
      <c r="AK43" s="15">
        <f>_xll.BDH("INDIGO IN Equity","IS_DILUTED_EPS","FQ2 2026","FQ2 2026","Currency=INR","Period=FQ","BEST_FPERIOD_OVERRIDE=FQ","FILING_STATUS=MR","EQY_CONSOLIDATED=N","FA_ADJUSTED=GAAP","Sort=A","Dates=H","DateFormat=P","Fill=—","Direction=H","UseDPDF=Y")</f>
        <v>-67.63</v>
      </c>
      <c r="AL43" s="15">
        <f>_xll.BDH("INDIGO IN Equity","IS_DILUTED_EPS","FQ3 2026","FQ3 2026","Currency=INR","Period=FQ","BEST_FPERIOD_OVERRIDE=FQ","FILING_STATUS=MR","EQY_CONSOLIDATED=N","FA_ADJUSTED=GAAP","Sort=A","Dates=H","DateFormat=P","Fill=—","Direction=H","UseDPDF=Y")</f>
        <v>15.82</v>
      </c>
      <c r="AM43" s="15">
        <f>_xll.BDH("INDIGO IN Equity","IS_DILUTED_EPS","FQ4 2026","FQ4 2026","Currency=INR","Period=FQ","BEST_FPERIOD_OVERRIDE=FQ","FILING_STATUS=MR","EQY_CONSOLIDATED=N","FA_ADJUSTED=GAAP","Sort=A","Dates=H","DateFormat=P","Fill=—","Direction=H","UseDPDF=Y")</f>
        <v>-68.86</v>
      </c>
      <c r="AN43" s="15">
        <f>_xll.BDH("INDIGO IN Equity","IS_DILUTED_EPS","FQ1 2027","FQ1 2027","Currency=INR","Period=FQ","BEST_FPERIOD_OVERRIDE=FQ","FILING_STATUS=MR","EQY_CONSOLIDATED=N","FA_ADJUSTED=GAAP","Sort=A","Dates=H","DateFormat=P","Fill=—","Direction=H","UseDPDF=Y")</f>
        <v>-9.8699999999999992</v>
      </c>
      <c r="AO43" s="15">
        <v>-41.29</v>
      </c>
      <c r="AP43" s="15">
        <v>61.94</v>
      </c>
    </row>
    <row r="44" spans="1:42" x14ac:dyDescent="0.25">
      <c r="A44" s="10" t="s">
        <v>168</v>
      </c>
      <c r="B44" s="10" t="s">
        <v>169</v>
      </c>
      <c r="C44" s="15">
        <f>_xll.BDH("INDIGO IN Equity","IS_DIL_EPS_BEF_XO","FQ4 2017","FQ4 2017","Currency=INR","Period=FQ","BEST_FPERIOD_OVERRIDE=FQ","FILING_STATUS=MR","EQY_CONSOLIDATED=N","Sort=A","Dates=H","DateFormat=P","Fill=—","Direction=H","UseDPDF=Y")</f>
        <v>12.17</v>
      </c>
      <c r="D44" s="15">
        <f>_xll.BDH("INDIGO IN Equity","IS_DIL_EPS_BEF_XO","FQ1 2018","FQ1 2018","Currency=INR","Period=FQ","BEST_FPERIOD_OVERRIDE=FQ","FILING_STATUS=MR","EQY_CONSOLIDATED=N","Sort=A","Dates=H","DateFormat=P","Fill=—","Direction=H","UseDPDF=Y")</f>
        <v>22.39</v>
      </c>
      <c r="E44" s="15">
        <f>_xll.BDH("INDIGO IN Equity","IS_DIL_EPS_BEF_XO","FQ2 2018","FQ2 2018","Currency=INR","Period=FQ","BEST_FPERIOD_OVERRIDE=FQ","FILING_STATUS=MR","EQY_CONSOLIDATED=N","Sort=A","Dates=H","DateFormat=P","Fill=—","Direction=H","UseDPDF=Y")</f>
        <v>15.15</v>
      </c>
      <c r="F44" s="15">
        <f>_xll.BDH("INDIGO IN Equity","IS_DIL_EPS_BEF_XO","FQ3 2018","FQ3 2018","Currency=INR","Period=FQ","BEST_FPERIOD_OVERRIDE=FQ","FILING_STATUS=MR","EQY_CONSOLIDATED=N","Sort=A","Dates=H","DateFormat=P","Fill=—","Direction=H","UseDPDF=Y")</f>
        <v>19.8</v>
      </c>
      <c r="G44" s="15">
        <f>_xll.BDH("INDIGO IN Equity","IS_DIL_EPS_BEF_XO","FQ4 2018","FQ4 2018","Currency=INR","Period=FQ","BEST_FPERIOD_OVERRIDE=FQ","FILING_STATUS=MR","EQY_CONSOLIDATED=N","Sort=A","Dates=H","DateFormat=P","Fill=—","Direction=H","UseDPDF=Y")</f>
        <v>3.05</v>
      </c>
      <c r="H44" s="15">
        <f>_xll.BDH("INDIGO IN Equity","IS_DIL_EPS_BEF_XO","FQ1 2019","FQ1 2019","Currency=INR","Period=FQ","BEST_FPERIOD_OVERRIDE=FQ","FILING_STATUS=MR","EQY_CONSOLIDATED=N","Sort=A","Dates=H","DateFormat=P","Fill=—","Direction=H","UseDPDF=Y")</f>
        <v>0.72</v>
      </c>
      <c r="I44" s="15">
        <f>_xll.BDH("INDIGO IN Equity","IS_DIL_EPS_BEF_XO","FQ2 2019","FQ2 2019","Currency=INR","Period=FQ","BEST_FPERIOD_OVERRIDE=FQ","FILING_STATUS=MR","EQY_CONSOLIDATED=N","Sort=A","Dates=H","DateFormat=P","Fill=—","Direction=H","UseDPDF=Y")</f>
        <v>-16.96</v>
      </c>
      <c r="J44" s="15">
        <f>_xll.BDH("INDIGO IN Equity","IS_DIL_EPS_BEF_XO","FQ3 2019","FQ3 2019","Currency=INR","Period=FQ","BEST_FPERIOD_OVERRIDE=FQ","FILING_STATUS=MR","EQY_CONSOLIDATED=N","Sort=A","Dates=H","DateFormat=P","Fill=—","Direction=H","UseDPDF=Y")</f>
        <v>4.96</v>
      </c>
      <c r="K44" s="15">
        <f>_xll.BDH("INDIGO IN Equity","IS_DIL_EPS_BEF_XO","FQ4 2019","FQ4 2019","Currency=INR","Period=FQ","BEST_FPERIOD_OVERRIDE=FQ","FILING_STATUS=MR","EQY_CONSOLIDATED=N","Sort=A","Dates=H","DateFormat=P","Fill=—","Direction=H","UseDPDF=Y")</f>
        <v>15.32</v>
      </c>
      <c r="L44" s="15">
        <f>_xll.BDH("INDIGO IN Equity","IS_DIL_EPS_BEF_XO","FQ1 2020","FQ1 2020","Currency=INR","Period=FQ","BEST_FPERIOD_OVERRIDE=FQ","FILING_STATUS=MR","EQY_CONSOLIDATED=N","Sort=A","Dates=H","DateFormat=P","Fill=—","Direction=H","UseDPDF=Y")</f>
        <v>31.18</v>
      </c>
      <c r="M44" s="15">
        <f>_xll.BDH("INDIGO IN Equity","IS_DIL_EPS_BEF_XO","FQ2 2020","FQ2 2020","Currency=INR","Period=FQ","BEST_FPERIOD_OVERRIDE=FQ","FILING_STATUS=MR","EQY_CONSOLIDATED=N","Sort=A","Dates=H","DateFormat=P","Fill=—","Direction=H","UseDPDF=Y")</f>
        <v>-27.7</v>
      </c>
      <c r="N44" s="15">
        <f>_xll.BDH("INDIGO IN Equity","IS_DIL_EPS_BEF_XO","FQ3 2020","FQ3 2020","Currency=INR","Period=FQ","BEST_FPERIOD_OVERRIDE=FQ","FILING_STATUS=MR","EQY_CONSOLIDATED=N","Sort=A","Dates=H","DateFormat=P","Fill=—","Direction=H","UseDPDF=Y")</f>
        <v>12.74</v>
      </c>
      <c r="O44" s="15">
        <f>_xll.BDH("INDIGO IN Equity","IS_DIL_EPS_BEF_XO","FQ4 2020","FQ4 2020","Currency=INR","Period=FQ","BEST_FPERIOD_OVERRIDE=FQ","FILING_STATUS=MR","EQY_CONSOLIDATED=N","Sort=A","Dates=H","DateFormat=P","Fill=—","Direction=H","UseDPDF=Y")</f>
        <v>-22.7</v>
      </c>
      <c r="P44" s="15">
        <f>_xll.BDH("INDIGO IN Equity","IS_DIL_EPS_BEF_XO","FQ1 2021","FQ1 2021","Currency=INR","Period=FQ","BEST_FPERIOD_OVERRIDE=FQ","FILING_STATUS=MR","EQY_CONSOLIDATED=N","Sort=A","Dates=H","DateFormat=P","Fill=—","Direction=H","UseDPDF=Y")</f>
        <v>-74.05</v>
      </c>
      <c r="Q44" s="15">
        <f>_xll.BDH("INDIGO IN Equity","IS_DIL_EPS_BEF_XO","FQ2 2021","FQ2 2021","Currency=INR","Period=FQ","BEST_FPERIOD_OVERRIDE=FQ","FILING_STATUS=MR","EQY_CONSOLIDATED=N","Sort=A","Dates=H","DateFormat=P","Fill=—","Direction=H","UseDPDF=Y")</f>
        <v>-31.05</v>
      </c>
      <c r="R44" s="15">
        <f>_xll.BDH("INDIGO IN Equity","IS_DIL_EPS_BEF_XO","FQ3 2021","FQ3 2021","Currency=INR","Period=FQ","BEST_FPERIOD_OVERRIDE=FQ","FILING_STATUS=MR","EQY_CONSOLIDATED=N","Sort=A","Dates=H","DateFormat=P","Fill=—","Direction=H","UseDPDF=Y")</f>
        <v>-16.28</v>
      </c>
      <c r="S44" s="15">
        <f>_xll.BDH("INDIGO IN Equity","IS_DIL_EPS_BEF_XO","FQ4 2021","FQ4 2021","Currency=INR","Period=FQ","BEST_FPERIOD_OVERRIDE=FQ","FILING_STATUS=MR","EQY_CONSOLIDATED=N","Sort=A","Dates=H","DateFormat=P","Fill=—","Direction=H","UseDPDF=Y")</f>
        <v>-30.12</v>
      </c>
      <c r="T44" s="15">
        <f>_xll.BDH("INDIGO IN Equity","IS_DIL_EPS_BEF_XO","FQ1 2022","FQ1 2022","Currency=INR","Period=FQ","BEST_FPERIOD_OVERRIDE=FQ","FILING_STATUS=MR","EQY_CONSOLIDATED=N","Sort=A","Dates=H","DateFormat=P","Fill=—","Direction=H","UseDPDF=Y")</f>
        <v>-82.6</v>
      </c>
      <c r="U44" s="15">
        <f>_xll.BDH("INDIGO IN Equity","IS_DIL_EPS_BEF_XO","FQ2 2022","FQ2 2022","Currency=INR","Period=FQ","BEST_FPERIOD_OVERRIDE=FQ","FILING_STATUS=MR","EQY_CONSOLIDATED=N","Sort=A","Dates=H","DateFormat=P","Fill=—","Direction=H","UseDPDF=Y")</f>
        <v>-37.409999999999997</v>
      </c>
      <c r="V44" s="15">
        <f>_xll.BDH("INDIGO IN Equity","IS_DIL_EPS_BEF_XO","FQ3 2022","FQ3 2022","Currency=INR","Period=FQ","BEST_FPERIOD_OVERRIDE=FQ","FILING_STATUS=MR","EQY_CONSOLIDATED=N","Sort=A","Dates=H","DateFormat=P","Fill=—","Direction=H","UseDPDF=Y")</f>
        <v>3.33</v>
      </c>
      <c r="W44" s="15">
        <f>_xll.BDH("INDIGO IN Equity","IS_DIL_EPS_BEF_XO","FQ4 2022","FQ4 2022","Currency=INR","Period=FQ","BEST_FPERIOD_OVERRIDE=FQ","FILING_STATUS=MR","EQY_CONSOLIDATED=N","Sort=A","Dates=H","DateFormat=P","Fill=—","Direction=H","UseDPDF=Y")</f>
        <v>-43.61</v>
      </c>
      <c r="X44" s="15">
        <f>_xll.BDH("INDIGO IN Equity","IS_DIL_EPS_BEF_XO","FQ1 2023","FQ1 2023","Currency=INR","Period=FQ","BEST_FPERIOD_OVERRIDE=FQ","FILING_STATUS=MR","EQY_CONSOLIDATED=N","Sort=A","Dates=H","DateFormat=P","Fill=—","Direction=H","UseDPDF=Y")</f>
        <v>-27.67</v>
      </c>
      <c r="Y44" s="15">
        <f>_xll.BDH("INDIGO IN Equity","IS_DIL_EPS_BEF_XO","FQ2 2023","FQ2 2023","Currency=INR","Period=FQ","BEST_FPERIOD_OVERRIDE=FQ","FILING_STATUS=MR","EQY_CONSOLIDATED=N","Sort=A","Dates=H","DateFormat=P","Fill=—","Direction=H","UseDPDF=Y")</f>
        <v>-41.14</v>
      </c>
      <c r="Z44" s="15">
        <f>_xll.BDH("INDIGO IN Equity","IS_DIL_EPS_BEF_XO","FQ3 2023","FQ3 2023","Currency=INR","Period=FQ","BEST_FPERIOD_OVERRIDE=FQ","FILING_STATUS=MR","EQY_CONSOLIDATED=N","Sort=A","Dates=H","DateFormat=P","Fill=—","Direction=H","UseDPDF=Y")</f>
        <v>36.74</v>
      </c>
      <c r="AA44" s="15">
        <f>_xll.BDH("INDIGO IN Equity","IS_DIL_EPS_BEF_XO","FQ4 2023","FQ4 2023","Currency=INR","Period=FQ","BEST_FPERIOD_OVERRIDE=FQ","FILING_STATUS=MR","EQY_CONSOLIDATED=N","Sort=A","Dates=H","DateFormat=P","Fill=—","Direction=H","UseDPDF=Y")</f>
        <v>23.73</v>
      </c>
      <c r="AB44" s="15">
        <f>_xll.BDH("INDIGO IN Equity","IS_DIL_EPS_BEF_XO","FQ1 2024","FQ1 2024","Currency=INR","Period=FQ","BEST_FPERIOD_OVERRIDE=FQ","FILING_STATUS=MR","EQY_CONSOLIDATED=N","Sort=A","Dates=H","DateFormat=P","Fill=—","Direction=H","UseDPDF=Y")</f>
        <v>79.94</v>
      </c>
      <c r="AC44" s="15">
        <f>_xll.BDH("INDIGO IN Equity","IS_DIL_EPS_BEF_XO","FQ2 2024","FQ2 2024","Currency=INR","Period=FQ","BEST_FPERIOD_OVERRIDE=FQ","FILING_STATUS=MR","EQY_CONSOLIDATED=N","Sort=A","Dates=H","DateFormat=P","Fill=—","Direction=H","UseDPDF=Y")</f>
        <v>4.8600000000000003</v>
      </c>
      <c r="AD44" s="15">
        <f>_xll.BDH("INDIGO IN Equity","IS_DIL_EPS_BEF_XO","FQ3 2024","FQ3 2024","Currency=INR","Period=FQ","BEST_FPERIOD_OVERRIDE=FQ","FILING_STATUS=MR","EQY_CONSOLIDATED=N","Sort=A","Dates=H","DateFormat=P","Fill=—","Direction=H","UseDPDF=Y")</f>
        <v>77.59</v>
      </c>
      <c r="AE44" s="15">
        <f>_xll.BDH("INDIGO IN Equity","IS_DIL_EPS_BEF_XO","FQ4 2024","FQ4 2024","Currency=INR","Period=FQ","BEST_FPERIOD_OVERRIDE=FQ","FILING_STATUS=MR","EQY_CONSOLIDATED=N","Sort=A","Dates=H","DateFormat=P","Fill=—","Direction=H","UseDPDF=Y")</f>
        <v>49</v>
      </c>
      <c r="AF44" s="15">
        <f>_xll.BDH("INDIGO IN Equity","IS_DIL_EPS_BEF_XO","FQ1 2025","FQ1 2025","Currency=INR","Period=FQ","BEST_FPERIOD_OVERRIDE=FQ","FILING_STATUS=MR","EQY_CONSOLIDATED=N","Sort=A","Dates=H","DateFormat=P","Fill=—","Direction=H","UseDPDF=Y")</f>
        <v>70.510000000000005</v>
      </c>
      <c r="AG44" s="15">
        <f>_xll.BDH("INDIGO IN Equity","IS_DIL_EPS_BEF_XO","FQ2 2025","FQ2 2025","Currency=INR","Period=FQ","BEST_FPERIOD_OVERRIDE=FQ","FILING_STATUS=MR","EQY_CONSOLIDATED=N","Sort=A","Dates=H","DateFormat=P","Fill=—","Direction=H","UseDPDF=Y")</f>
        <v>-25.6</v>
      </c>
      <c r="AH44" s="15">
        <f>_xll.BDH("INDIGO IN Equity","IS_DIL_EPS_BEF_XO","FQ3 2025","FQ3 2025","Currency=INR","Period=FQ","BEST_FPERIOD_OVERRIDE=FQ","FILING_STATUS=MR","EQY_CONSOLIDATED=N","Sort=A","Dates=H","DateFormat=P","Fill=—","Direction=H","UseDPDF=Y")</f>
        <v>63.12</v>
      </c>
      <c r="AI44" s="15">
        <f>_xll.BDH("INDIGO IN Equity","IS_DIL_EPS_BEF_XO","FQ4 2025","FQ4 2025","Currency=INR","Period=FQ","BEST_FPERIOD_OVERRIDE=FQ","FILING_STATUS=MR","EQY_CONSOLIDATED=N","Sort=A","Dates=H","DateFormat=P","Fill=—","Direction=H","UseDPDF=Y")</f>
        <v>79.430000000000007</v>
      </c>
      <c r="AJ44" s="15">
        <f>_xll.BDH("INDIGO IN Equity","IS_DIL_EPS_BEF_XO","FQ1 2026","FQ1 2026","Currency=INR","Period=FQ","BEST_FPERIOD_OVERRIDE=FQ","FILING_STATUS=MR","EQY_CONSOLIDATED=N","Sort=A","Dates=H","DateFormat=P","Fill=—","Direction=H","UseDPDF=Y")</f>
        <v>55.84</v>
      </c>
      <c r="AK44" s="15">
        <f>_xll.BDH("INDIGO IN Equity","IS_DIL_EPS_BEF_XO","FQ2 2026","FQ2 2026","Currency=INR","Period=FQ","BEST_FPERIOD_OVERRIDE=FQ","FILING_STATUS=MR","EQY_CONSOLIDATED=N","Sort=A","Dates=H","DateFormat=P","Fill=—","Direction=H","UseDPDF=Y")</f>
        <v>-67.63</v>
      </c>
      <c r="AL44" s="15">
        <f>_xll.BDH("INDIGO IN Equity","IS_DIL_EPS_BEF_XO","FQ3 2026","FQ3 2026","Currency=INR","Period=FQ","BEST_FPERIOD_OVERRIDE=FQ","FILING_STATUS=MR","EQY_CONSOLIDATED=N","Sort=A","Dates=H","DateFormat=P","Fill=—","Direction=H","UseDPDF=Y")</f>
        <v>15.82</v>
      </c>
      <c r="AM44" s="15">
        <f>_xll.BDH("INDIGO IN Equity","IS_DIL_EPS_BEF_XO","FQ4 2026","FQ4 2026","Currency=INR","Period=FQ","BEST_FPERIOD_OVERRIDE=FQ","FILING_STATUS=MR","EQY_CONSOLIDATED=N","Sort=A","Dates=H","DateFormat=P","Fill=—","Direction=H","UseDPDF=Y")</f>
        <v>-68.86</v>
      </c>
      <c r="AN44" s="15">
        <f>_xll.BDH("INDIGO IN Equity","IS_DIL_EPS_BEF_XO","FQ1 2027","FQ1 2027","Currency=INR","Period=FQ","BEST_FPERIOD_OVERRIDE=FQ","FILING_STATUS=MR","EQY_CONSOLIDATED=N","Sort=A","Dates=H","DateFormat=P","Fill=—","Direction=H","UseDPDF=Y")</f>
        <v>-9.8699999999999992</v>
      </c>
      <c r="AO44" s="15">
        <v>-41.29</v>
      </c>
      <c r="AP44" s="15">
        <v>61.94</v>
      </c>
    </row>
    <row r="45" spans="1:42" x14ac:dyDescent="0.25">
      <c r="A45" s="10" t="s">
        <v>170</v>
      </c>
      <c r="B45" s="10" t="s">
        <v>171</v>
      </c>
      <c r="C45" s="15">
        <f>_xll.BDH("INDIGO IN Equity","IS_DIL_EPS_CONT_OPS","FQ4 2017","FQ4 2017","Currency=INR","Period=FQ","BEST_FPERIOD_OVERRIDE=FQ","FILING_STATUS=MR","EQY_CONSOLIDATED=N","Sort=A","Dates=H","DateFormat=P","Fill=—","Direction=H","UseDPDF=Y")</f>
        <v>12.17</v>
      </c>
      <c r="D45" s="15">
        <f>_xll.BDH("INDIGO IN Equity","IS_DIL_EPS_CONT_OPS","FQ1 2018","FQ1 2018","Currency=INR","Period=FQ","BEST_FPERIOD_OVERRIDE=FQ","FILING_STATUS=MR","EQY_CONSOLIDATED=N","Sort=A","Dates=H","DateFormat=P","Fill=—","Direction=H","UseDPDF=Y")</f>
        <v>22.39</v>
      </c>
      <c r="E45" s="15">
        <f>_xll.BDH("INDIGO IN Equity","IS_DIL_EPS_CONT_OPS","FQ2 2018","FQ2 2018","Currency=INR","Period=FQ","BEST_FPERIOD_OVERRIDE=FQ","FILING_STATUS=MR","EQY_CONSOLIDATED=N","Sort=A","Dates=H","DateFormat=P","Fill=—","Direction=H","UseDPDF=Y")</f>
        <v>15.15</v>
      </c>
      <c r="F45" s="15">
        <f>_xll.BDH("INDIGO IN Equity","IS_DIL_EPS_CONT_OPS","FQ3 2018","FQ3 2018","Currency=INR","Period=FQ","BEST_FPERIOD_OVERRIDE=FQ","FILING_STATUS=MR","EQY_CONSOLIDATED=N","Sort=A","Dates=H","DateFormat=P","Fill=—","Direction=H","UseDPDF=Y")</f>
        <v>19.8</v>
      </c>
      <c r="G45" s="15">
        <f>_xll.BDH("INDIGO IN Equity","IS_DIL_EPS_CONT_OPS","FQ4 2018","FQ4 2018","Currency=INR","Period=FQ","BEST_FPERIOD_OVERRIDE=FQ","FILING_STATUS=MR","EQY_CONSOLIDATED=N","Sort=A","Dates=H","DateFormat=P","Fill=—","Direction=H","UseDPDF=Y")</f>
        <v>3.05</v>
      </c>
      <c r="H45" s="15">
        <f>_xll.BDH("INDIGO IN Equity","IS_DIL_EPS_CONT_OPS","FQ1 2019","FQ1 2019","Currency=INR","Period=FQ","BEST_FPERIOD_OVERRIDE=FQ","FILING_STATUS=MR","EQY_CONSOLIDATED=N","Sort=A","Dates=H","DateFormat=P","Fill=—","Direction=H","UseDPDF=Y")</f>
        <v>0.72</v>
      </c>
      <c r="I45" s="15">
        <f>_xll.BDH("INDIGO IN Equity","IS_DIL_EPS_CONT_OPS","FQ2 2019","FQ2 2019","Currency=INR","Period=FQ","BEST_FPERIOD_OVERRIDE=FQ","FILING_STATUS=MR","EQY_CONSOLIDATED=N","Sort=A","Dates=H","DateFormat=P","Fill=—","Direction=H","UseDPDF=Y")</f>
        <v>-16.96</v>
      </c>
      <c r="J45" s="15">
        <f>_xll.BDH("INDIGO IN Equity","IS_DIL_EPS_CONT_OPS","FQ3 2019","FQ3 2019","Currency=INR","Period=FQ","BEST_FPERIOD_OVERRIDE=FQ","FILING_STATUS=MR","EQY_CONSOLIDATED=N","Sort=A","Dates=H","DateFormat=P","Fill=—","Direction=H","UseDPDF=Y")</f>
        <v>4.96</v>
      </c>
      <c r="K45" s="15">
        <f>_xll.BDH("INDIGO IN Equity","IS_DIL_EPS_CONT_OPS","FQ4 2019","FQ4 2019","Currency=INR","Period=FQ","BEST_FPERIOD_OVERRIDE=FQ","FILING_STATUS=MR","EQY_CONSOLIDATED=N","Sort=A","Dates=H","DateFormat=P","Fill=—","Direction=H","UseDPDF=Y")</f>
        <v>15.32</v>
      </c>
      <c r="L45" s="15">
        <f>_xll.BDH("INDIGO IN Equity","IS_DIL_EPS_CONT_OPS","FQ1 2020","FQ1 2020","Currency=INR","Period=FQ","BEST_FPERIOD_OVERRIDE=FQ","FILING_STATUS=MR","EQY_CONSOLIDATED=N","Sort=A","Dates=H","DateFormat=P","Fill=—","Direction=H","UseDPDF=Y")</f>
        <v>31.18</v>
      </c>
      <c r="M45" s="15">
        <f>_xll.BDH("INDIGO IN Equity","IS_DIL_EPS_CONT_OPS","FQ2 2020","FQ2 2020","Currency=INR","Period=FQ","BEST_FPERIOD_OVERRIDE=FQ","FILING_STATUS=MR","EQY_CONSOLIDATED=N","Sort=A","Dates=H","DateFormat=P","Fill=—","Direction=H","UseDPDF=Y")</f>
        <v>-27.7</v>
      </c>
      <c r="N45" s="15">
        <f>_xll.BDH("INDIGO IN Equity","IS_DIL_EPS_CONT_OPS","FQ3 2020","FQ3 2020","Currency=INR","Period=FQ","BEST_FPERIOD_OVERRIDE=FQ","FILING_STATUS=MR","EQY_CONSOLIDATED=N","Sort=A","Dates=H","DateFormat=P","Fill=—","Direction=H","UseDPDF=Y")</f>
        <v>12.74</v>
      </c>
      <c r="O45" s="15">
        <f>_xll.BDH("INDIGO IN Equity","IS_DIL_EPS_CONT_OPS","FQ4 2020","FQ4 2020","Currency=INR","Period=FQ","BEST_FPERIOD_OVERRIDE=FQ","FILING_STATUS=MR","EQY_CONSOLIDATED=N","Sort=A","Dates=H","DateFormat=P","Fill=—","Direction=H","UseDPDF=Y")</f>
        <v>-22.7</v>
      </c>
      <c r="P45" s="15">
        <f>_xll.BDH("INDIGO IN Equity","IS_DIL_EPS_CONT_OPS","FQ1 2021","FQ1 2021","Currency=INR","Period=FQ","BEST_FPERIOD_OVERRIDE=FQ","FILING_STATUS=MR","EQY_CONSOLIDATED=N","Sort=A","Dates=H","DateFormat=P","Fill=—","Direction=H","UseDPDF=Y")</f>
        <v>-74.05</v>
      </c>
      <c r="Q45" s="15">
        <f>_xll.BDH("INDIGO IN Equity","IS_DIL_EPS_CONT_OPS","FQ2 2021","FQ2 2021","Currency=INR","Period=FQ","BEST_FPERIOD_OVERRIDE=FQ","FILING_STATUS=MR","EQY_CONSOLIDATED=N","Sort=A","Dates=H","DateFormat=P","Fill=—","Direction=H","UseDPDF=Y")</f>
        <v>-31.05</v>
      </c>
      <c r="R45" s="15">
        <f>_xll.BDH("INDIGO IN Equity","IS_DIL_EPS_CONT_OPS","FQ3 2021","FQ3 2021","Currency=INR","Period=FQ","BEST_FPERIOD_OVERRIDE=FQ","FILING_STATUS=MR","EQY_CONSOLIDATED=N","Sort=A","Dates=H","DateFormat=P","Fill=—","Direction=H","UseDPDF=Y")</f>
        <v>-16.28</v>
      </c>
      <c r="S45" s="15">
        <f>_xll.BDH("INDIGO IN Equity","IS_DIL_EPS_CONT_OPS","FQ4 2021","FQ4 2021","Currency=INR","Period=FQ","BEST_FPERIOD_OVERRIDE=FQ","FILING_STATUS=MR","EQY_CONSOLIDATED=N","Sort=A","Dates=H","DateFormat=P","Fill=—","Direction=H","UseDPDF=Y")</f>
        <v>-30.12</v>
      </c>
      <c r="T45" s="15">
        <f>_xll.BDH("INDIGO IN Equity","IS_DIL_EPS_CONT_OPS","FQ1 2022","FQ1 2022","Currency=INR","Period=FQ","BEST_FPERIOD_OVERRIDE=FQ","FILING_STATUS=MR","EQY_CONSOLIDATED=N","Sort=A","Dates=H","DateFormat=P","Fill=—","Direction=H","UseDPDF=Y")</f>
        <v>-82.6</v>
      </c>
      <c r="U45" s="15">
        <f>_xll.BDH("INDIGO IN Equity","IS_DIL_EPS_CONT_OPS","FQ2 2022","FQ2 2022","Currency=INR","Period=FQ","BEST_FPERIOD_OVERRIDE=FQ","FILING_STATUS=MR","EQY_CONSOLIDATED=N","Sort=A","Dates=H","DateFormat=P","Fill=—","Direction=H","UseDPDF=Y")</f>
        <v>-37.409999999999997</v>
      </c>
      <c r="V45" s="15">
        <f>_xll.BDH("INDIGO IN Equity","IS_DIL_EPS_CONT_OPS","FQ3 2022","FQ3 2022","Currency=INR","Period=FQ","BEST_FPERIOD_OVERRIDE=FQ","FILING_STATUS=MR","EQY_CONSOLIDATED=N","Sort=A","Dates=H","DateFormat=P","Fill=—","Direction=H","UseDPDF=Y")</f>
        <v>3.33</v>
      </c>
      <c r="W45" s="15">
        <f>_xll.BDH("INDIGO IN Equity","IS_DIL_EPS_CONT_OPS","FQ4 2022","FQ4 2022","Currency=INR","Period=FQ","BEST_FPERIOD_OVERRIDE=FQ","FILING_STATUS=MR","EQY_CONSOLIDATED=N","Sort=A","Dates=H","DateFormat=P","Fill=—","Direction=H","UseDPDF=Y")</f>
        <v>-43.61</v>
      </c>
      <c r="X45" s="15">
        <f>_xll.BDH("INDIGO IN Equity","IS_DIL_EPS_CONT_OPS","FQ1 2023","FQ1 2023","Currency=INR","Period=FQ","BEST_FPERIOD_OVERRIDE=FQ","FILING_STATUS=MR","EQY_CONSOLIDATED=N","Sort=A","Dates=H","DateFormat=P","Fill=—","Direction=H","UseDPDF=Y")</f>
        <v>-27.67</v>
      </c>
      <c r="Y45" s="15">
        <f>_xll.BDH("INDIGO IN Equity","IS_DIL_EPS_CONT_OPS","FQ2 2023","FQ2 2023","Currency=INR","Period=FQ","BEST_FPERIOD_OVERRIDE=FQ","FILING_STATUS=MR","EQY_CONSOLIDATED=N","Sort=A","Dates=H","DateFormat=P","Fill=—","Direction=H","UseDPDF=Y")</f>
        <v>-41.14</v>
      </c>
      <c r="Z45" s="15">
        <f>_xll.BDH("INDIGO IN Equity","IS_DIL_EPS_CONT_OPS","FQ3 2023","FQ3 2023","Currency=INR","Period=FQ","BEST_FPERIOD_OVERRIDE=FQ","FILING_STATUS=MR","EQY_CONSOLIDATED=N","Sort=A","Dates=H","DateFormat=P","Fill=—","Direction=H","UseDPDF=Y")</f>
        <v>36.74</v>
      </c>
      <c r="AA45" s="15">
        <f>_xll.BDH("INDIGO IN Equity","IS_DIL_EPS_CONT_OPS","FQ4 2023","FQ4 2023","Currency=INR","Period=FQ","BEST_FPERIOD_OVERRIDE=FQ","FILING_STATUS=MR","EQY_CONSOLIDATED=N","Sort=A","Dates=H","DateFormat=P","Fill=—","Direction=H","UseDPDF=Y")</f>
        <v>23.73</v>
      </c>
      <c r="AB45" s="15">
        <f>_xll.BDH("INDIGO IN Equity","IS_DIL_EPS_CONT_OPS","FQ1 2024","FQ1 2024","Currency=INR","Period=FQ","BEST_FPERIOD_OVERRIDE=FQ","FILING_STATUS=MR","EQY_CONSOLIDATED=N","Sort=A","Dates=H","DateFormat=P","Fill=—","Direction=H","UseDPDF=Y")</f>
        <v>79.94</v>
      </c>
      <c r="AC45" s="15">
        <f>_xll.BDH("INDIGO IN Equity","IS_DIL_EPS_CONT_OPS","FQ2 2024","FQ2 2024","Currency=INR","Period=FQ","BEST_FPERIOD_OVERRIDE=FQ","FILING_STATUS=MR","EQY_CONSOLIDATED=N","Sort=A","Dates=H","DateFormat=P","Fill=—","Direction=H","UseDPDF=Y")</f>
        <v>4.8600000000000003</v>
      </c>
      <c r="AD45" s="15">
        <f>_xll.BDH("INDIGO IN Equity","IS_DIL_EPS_CONT_OPS","FQ3 2024","FQ3 2024","Currency=INR","Period=FQ","BEST_FPERIOD_OVERRIDE=FQ","FILING_STATUS=MR","EQY_CONSOLIDATED=N","Sort=A","Dates=H","DateFormat=P","Fill=—","Direction=H","UseDPDF=Y")</f>
        <v>77.59</v>
      </c>
      <c r="AE45" s="15">
        <f>_xll.BDH("INDIGO IN Equity","IS_DIL_EPS_CONT_OPS","FQ4 2024","FQ4 2024","Currency=INR","Period=FQ","BEST_FPERIOD_OVERRIDE=FQ","FILING_STATUS=MR","EQY_CONSOLIDATED=N","Sort=A","Dates=H","DateFormat=P","Fill=—","Direction=H","UseDPDF=Y")</f>
        <v>49</v>
      </c>
      <c r="AF45" s="15">
        <f>_xll.BDH("INDIGO IN Equity","IS_DIL_EPS_CONT_OPS","FQ1 2025","FQ1 2025","Currency=INR","Period=FQ","BEST_FPERIOD_OVERRIDE=FQ","FILING_STATUS=MR","EQY_CONSOLIDATED=N","Sort=A","Dates=H","DateFormat=P","Fill=—","Direction=H","UseDPDF=Y")</f>
        <v>70.510000000000005</v>
      </c>
      <c r="AG45" s="15">
        <f>_xll.BDH("INDIGO IN Equity","IS_DIL_EPS_CONT_OPS","FQ2 2025","FQ2 2025","Currency=INR","Period=FQ","BEST_FPERIOD_OVERRIDE=FQ","FILING_STATUS=MR","EQY_CONSOLIDATED=N","Sort=A","Dates=H","DateFormat=P","Fill=—","Direction=H","UseDPDF=Y")</f>
        <v>-25.6</v>
      </c>
      <c r="AH45" s="15">
        <f>_xll.BDH("INDIGO IN Equity","IS_DIL_EPS_CONT_OPS","FQ3 2025","FQ3 2025","Currency=INR","Period=FQ","BEST_FPERIOD_OVERRIDE=FQ","FILING_STATUS=MR","EQY_CONSOLIDATED=N","Sort=A","Dates=H","DateFormat=P","Fill=—","Direction=H","UseDPDF=Y")</f>
        <v>63.12</v>
      </c>
      <c r="AI45" s="15">
        <f>_xll.BDH("INDIGO IN Equity","IS_DIL_EPS_CONT_OPS","FQ4 2025","FQ4 2025","Currency=INR","Period=FQ","BEST_FPERIOD_OVERRIDE=FQ","FILING_STATUS=MR","EQY_CONSOLIDATED=N","Sort=A","Dates=H","DateFormat=P","Fill=—","Direction=H","UseDPDF=Y")</f>
        <v>79.430000000000007</v>
      </c>
      <c r="AJ45" s="15">
        <f>_xll.BDH("INDIGO IN Equity","IS_DIL_EPS_CONT_OPS","FQ1 2026","FQ1 2026","Currency=INR","Period=FQ","BEST_FPERIOD_OVERRIDE=FQ","FILING_STATUS=MR","EQY_CONSOLIDATED=N","Sort=A","Dates=H","DateFormat=P","Fill=—","Direction=H","UseDPDF=Y")</f>
        <v>55.84</v>
      </c>
      <c r="AK45" s="15">
        <f>_xll.BDH("INDIGO IN Equity","IS_DIL_EPS_CONT_OPS","FQ2 2026","FQ2 2026","Currency=INR","Period=FQ","BEST_FPERIOD_OVERRIDE=FQ","FILING_STATUS=MR","EQY_CONSOLIDATED=N","Sort=A","Dates=H","DateFormat=P","Fill=—","Direction=H","UseDPDF=Y")</f>
        <v>-67.63</v>
      </c>
      <c r="AL45" s="15">
        <f>_xll.BDH("INDIGO IN Equity","IS_DIL_EPS_CONT_OPS","FQ3 2026","FQ3 2026","Currency=INR","Period=FQ","BEST_FPERIOD_OVERRIDE=FQ","FILING_STATUS=MR","EQY_CONSOLIDATED=N","Sort=A","Dates=H","DateFormat=P","Fill=—","Direction=H","UseDPDF=Y")</f>
        <v>15.82</v>
      </c>
      <c r="AM45" s="15">
        <f>_xll.BDH("INDIGO IN Equity","IS_DIL_EPS_CONT_OPS","FQ4 2026","FQ4 2026","Currency=INR","Period=FQ","BEST_FPERIOD_OVERRIDE=FQ","FILING_STATUS=MR","EQY_CONSOLIDATED=N","Sort=A","Dates=H","DateFormat=P","Fill=—","Direction=H","UseDPDF=Y")</f>
        <v>-64.338099999999997</v>
      </c>
      <c r="AN45" s="15">
        <f>_xll.BDH("INDIGO IN Equity","IS_DIL_EPS_CONT_OPS","FQ1 2027","FQ1 2027","Currency=INR","Period=FQ","BEST_FPERIOD_OVERRIDE=FQ","FILING_STATUS=MR","EQY_CONSOLIDATED=N","Sort=A","Dates=H","DateFormat=P","Fill=—","Direction=H","UseDPDF=Y")</f>
        <v>-9.8699999999999992</v>
      </c>
      <c r="AO45" s="15">
        <v>-33.47</v>
      </c>
      <c r="AP45" s="15">
        <v>61.16</v>
      </c>
    </row>
    <row r="46" spans="1:42" x14ac:dyDescent="0.25">
      <c r="A46" s="10"/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</row>
    <row r="47" spans="1:42" x14ac:dyDescent="0.25">
      <c r="A47" s="10" t="s">
        <v>172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</row>
    <row r="48" spans="1:42" x14ac:dyDescent="0.25">
      <c r="A48" s="12" t="s">
        <v>173</v>
      </c>
      <c r="B48" s="12" t="s">
        <v>174</v>
      </c>
      <c r="C48" s="16" t="s">
        <v>175</v>
      </c>
      <c r="D48" s="16" t="s">
        <v>175</v>
      </c>
      <c r="E48" s="16" t="s">
        <v>175</v>
      </c>
      <c r="F48" s="16" t="s">
        <v>175</v>
      </c>
      <c r="G48" s="16" t="s">
        <v>175</v>
      </c>
      <c r="H48" s="16" t="s">
        <v>175</v>
      </c>
      <c r="I48" s="16" t="s">
        <v>175</v>
      </c>
      <c r="J48" s="16" t="s">
        <v>175</v>
      </c>
      <c r="K48" s="16" t="s">
        <v>175</v>
      </c>
      <c r="L48" s="16" t="s">
        <v>175</v>
      </c>
      <c r="M48" s="16" t="s">
        <v>175</v>
      </c>
      <c r="N48" s="16" t="s">
        <v>175</v>
      </c>
      <c r="O48" s="16" t="s">
        <v>175</v>
      </c>
      <c r="P48" s="16" t="s">
        <v>175</v>
      </c>
      <c r="Q48" s="16" t="s">
        <v>175</v>
      </c>
      <c r="R48" s="16" t="s">
        <v>175</v>
      </c>
      <c r="S48" s="16" t="s">
        <v>175</v>
      </c>
      <c r="T48" s="16" t="s">
        <v>175</v>
      </c>
      <c r="U48" s="16" t="s">
        <v>175</v>
      </c>
      <c r="V48" s="16" t="s">
        <v>175</v>
      </c>
      <c r="W48" s="16" t="s">
        <v>175</v>
      </c>
      <c r="X48" s="16" t="s">
        <v>175</v>
      </c>
      <c r="Y48" s="16" t="s">
        <v>175</v>
      </c>
      <c r="Z48" s="16" t="s">
        <v>175</v>
      </c>
      <c r="AA48" s="16" t="s">
        <v>175</v>
      </c>
      <c r="AB48" s="16" t="s">
        <v>175</v>
      </c>
      <c r="AC48" s="16" t="s">
        <v>175</v>
      </c>
      <c r="AD48" s="16" t="s">
        <v>175</v>
      </c>
      <c r="AE48" s="16" t="s">
        <v>175</v>
      </c>
      <c r="AF48" s="16" t="s">
        <v>175</v>
      </c>
      <c r="AG48" s="16" t="s">
        <v>175</v>
      </c>
      <c r="AH48" s="16" t="s">
        <v>175</v>
      </c>
      <c r="AI48" s="16" t="s">
        <v>175</v>
      </c>
      <c r="AJ48" s="16" t="s">
        <v>175</v>
      </c>
      <c r="AK48" s="16" t="s">
        <v>175</v>
      </c>
      <c r="AL48" s="16" t="s">
        <v>175</v>
      </c>
      <c r="AM48" s="16" t="s">
        <v>175</v>
      </c>
      <c r="AN48" s="16" t="s">
        <v>175</v>
      </c>
      <c r="AO48" s="16"/>
      <c r="AP48" s="16"/>
    </row>
    <row r="49" spans="1:42" x14ac:dyDescent="0.25">
      <c r="A49" s="12" t="s">
        <v>176</v>
      </c>
      <c r="B49" s="12" t="s">
        <v>176</v>
      </c>
      <c r="C49" s="13">
        <f>_xll.BDH("INDIGO IN Equity","EBITDA","FQ4 2017","FQ4 2017","Currency=INR","Period=FQ","BEST_FPERIOD_OVERRIDE=FQ","FILING_STATUS=MR","EQY_CONSOLIDATED=N","SCALING_FORMAT=MLN","FA_ADJUSTED=GAAP","Sort=A","Dates=H","DateFormat=P","Fill=—","Direction=H","UseDPDF=Y")</f>
        <v>5080.03</v>
      </c>
      <c r="D49" s="13">
        <f>_xll.BDH("INDIGO IN Equity","EBITDA","FQ1 2018","FQ1 2018","Currency=INR","Period=FQ","BEST_FPERIOD_OVERRIDE=FQ","FILING_STATUS=MR","EQY_CONSOLIDATED=N","SCALING_FORMAT=MLN","FA_ADJUSTED=GAAP","Sort=A","Dates=H","DateFormat=P","Fill=—","Direction=H","UseDPDF=Y")</f>
        <v>10970.16</v>
      </c>
      <c r="E49" s="13">
        <f>_xll.BDH("INDIGO IN Equity","EBITDA","FQ2 2018","FQ2 2018","Currency=INR","Period=FQ","BEST_FPERIOD_OVERRIDE=FQ","FILING_STATUS=MR","EQY_CONSOLIDATED=N","SCALING_FORMAT=MLN","FA_ADJUSTED=GAAP","Sort=A","Dates=H","DateFormat=P","Fill=—","Direction=H","UseDPDF=Y")</f>
        <v>7381.49</v>
      </c>
      <c r="F49" s="13">
        <f>_xll.BDH("INDIGO IN Equity","EBITDA","FQ3 2018","FQ3 2018","Currency=INR","Period=FQ","BEST_FPERIOD_OVERRIDE=FQ","FILING_STATUS=MR","EQY_CONSOLIDATED=N","SCALING_FORMAT=MLN","FA_ADJUSTED=GAAP","Sort=A","Dates=H","DateFormat=P","Fill=—","Direction=H","UseDPDF=Y")</f>
        <v>9915.06</v>
      </c>
      <c r="G49" s="13">
        <f>_xll.BDH("INDIGO IN Equity","EBITDA","FQ4 2018","FQ4 2018","Currency=INR","Period=FQ","BEST_FPERIOD_OVERRIDE=FQ","FILING_STATUS=MR","EQY_CONSOLIDATED=N","SCALING_FORMAT=MLN","FA_ADJUSTED=GAAP","Sort=A","Dates=H","DateFormat=P","Fill=—","Direction=H","UseDPDF=Y")</f>
        <v>1298.42</v>
      </c>
      <c r="H49" s="13">
        <f>_xll.BDH("INDIGO IN Equity","EBITDA","FQ1 2019","FQ1 2019","Currency=INR","Period=FQ","BEST_FPERIOD_OVERRIDE=FQ","FILING_STATUS=MR","EQY_CONSOLIDATED=N","SCALING_FORMAT=MLN","FA_ADJUSTED=GAAP","Sort=A","Dates=H","DateFormat=P","Fill=—","Direction=H","UseDPDF=Y")</f>
        <v>-110.71</v>
      </c>
      <c r="I49" s="13">
        <f>_xll.BDH("INDIGO IN Equity","EBITDA","FQ2 2019","FQ2 2019","Currency=INR","Period=FQ","BEST_FPERIOD_OVERRIDE=FQ","FILING_STATUS=MR","EQY_CONSOLIDATED=N","SCALING_FORMAT=MLN","FA_ADJUSTED=GAAP","Sort=A","Dates=H","DateFormat=P","Fill=—","Direction=H","UseDPDF=Y")</f>
        <v>-6695.89</v>
      </c>
      <c r="J49" s="13">
        <f>_xll.BDH("INDIGO IN Equity","EBITDA","FQ3 2019","FQ3 2019","Currency=INR","Period=FQ","BEST_FPERIOD_OVERRIDE=FQ","FILING_STATUS=MR","EQY_CONSOLIDATED=N","SCALING_FORMAT=MLN","FA_ADJUSTED=GAAP","Sort=A","Dates=H","DateFormat=P","Fill=—","Direction=H","UseDPDF=Y")</f>
        <v>1157.6300000000001</v>
      </c>
      <c r="K49" s="13">
        <f>_xll.BDH("INDIGO IN Equity","EBITDA","FQ4 2019","FQ4 2019","Currency=INR","Period=FQ","BEST_FPERIOD_OVERRIDE=FQ","FILING_STATUS=MR","EQY_CONSOLIDATED=N","SCALING_FORMAT=MLN","FA_ADJUSTED=GAAP","Sort=A","Dates=H","DateFormat=P","Fill=—","Direction=H","UseDPDF=Y")</f>
        <v>5808.38</v>
      </c>
      <c r="L49" s="13">
        <f>_xll.BDH("INDIGO IN Equity","EBITDA","FQ1 2020","FQ1 2020","Currency=INR","Period=FQ","BEST_FPERIOD_OVERRIDE=FQ","FILING_STATUS=MR","EQY_CONSOLIDATED=N","SCALING_FORMAT=MLN","FA_ADJUSTED=GAAP","Sort=A","Dates=H","DateFormat=P","Fill=—","Direction=H","UseDPDF=Y")</f>
        <v>24787.9</v>
      </c>
      <c r="M49" s="13">
        <f>_xll.BDH("INDIGO IN Equity","EBITDA","FQ2 2020","FQ2 2020","Currency=INR","Period=FQ","BEST_FPERIOD_OVERRIDE=FQ","FILING_STATUS=MR","EQY_CONSOLIDATED=N","SCALING_FORMAT=MLN","FA_ADJUSTED=GAAP","Sort=A","Dates=H","DateFormat=P","Fill=—","Direction=H","UseDPDF=Y")</f>
        <v>4317.66</v>
      </c>
      <c r="N49" s="13">
        <f>_xll.BDH("INDIGO IN Equity","EBITDA","FQ3 2020","FQ3 2020","Currency=INR","Period=FQ","BEST_FPERIOD_OVERRIDE=FQ","FILING_STATUS=MR","EQY_CONSOLIDATED=N","SCALING_FORMAT=MLN","FA_ADJUSTED=GAAP","Sort=A","Dates=H","DateFormat=P","Fill=—","Direction=H","UseDPDF=Y")</f>
        <v>17949</v>
      </c>
      <c r="O49" s="13">
        <f>_xll.BDH("INDIGO IN Equity","EBITDA","FQ4 2020","FQ4 2020","Currency=INR","Period=FQ","BEST_FPERIOD_OVERRIDE=FQ","FILING_STATUS=MR","EQY_CONSOLIDATED=N","SCALING_FORMAT=MLN","FA_ADJUSTED=GAAP","Sort=A","Dates=H","DateFormat=P","Fill=—","Direction=H","UseDPDF=Y")</f>
        <v>8788.86</v>
      </c>
      <c r="P49" s="13">
        <f>_xll.BDH("INDIGO IN Equity","EBITDA","FQ1 2021","FQ1 2021","Currency=INR","Period=FQ","BEST_FPERIOD_OVERRIDE=FQ","FILING_STATUS=MR","EQY_CONSOLIDATED=N","SCALING_FORMAT=MLN","FA_ADJUSTED=GAAP","Sort=A","Dates=H","DateFormat=P","Fill=—","Direction=H","UseDPDF=Y")</f>
        <v>-15441.43</v>
      </c>
      <c r="Q49" s="13">
        <f>_xll.BDH("INDIGO IN Equity","EBITDA","FQ2 2021","FQ2 2021","Currency=INR","Period=FQ","BEST_FPERIOD_OVERRIDE=FQ","FILING_STATUS=MR","EQY_CONSOLIDATED=N","SCALING_FORMAT=MLN","FA_ADJUSTED=GAAP","Sort=A","Dates=H","DateFormat=P","Fill=—","Direction=H","UseDPDF=Y")</f>
        <v>-3073.75</v>
      </c>
      <c r="R49" s="13">
        <f>_xll.BDH("INDIGO IN Equity","EBITDA","FQ3 2021","FQ3 2021","Currency=INR","Period=FQ","BEST_FPERIOD_OVERRIDE=FQ","FILING_STATUS=MR","EQY_CONSOLIDATED=N","SCALING_FORMAT=MLN","FA_ADJUSTED=GAAP","Sort=A","Dates=H","DateFormat=P","Fill=—","Direction=H","UseDPDF=Y")</f>
        <v>6365.05</v>
      </c>
      <c r="S49" s="13">
        <f>_xll.BDH("INDIGO IN Equity","EBITDA","FQ4 2021","FQ4 2021","Currency=INR","Period=FQ","BEST_FPERIOD_OVERRIDE=FQ","FILING_STATUS=MR","EQY_CONSOLIDATED=N","SCALING_FORMAT=MLN","FA_ADJUSTED=GAAP","Sort=A","Dates=H","DateFormat=P","Fill=—","Direction=H","UseDPDF=Y")</f>
        <v>6665.31</v>
      </c>
      <c r="T49" s="13">
        <f>_xll.BDH("INDIGO IN Equity","EBITDA","FQ1 2022","FQ1 2022","Currency=INR","Period=FQ","BEST_FPERIOD_OVERRIDE=FQ","FILING_STATUS=MR","EQY_CONSOLIDATED=N","SCALING_FORMAT=MLN","FA_ADJUSTED=GAAP","Sort=A","Dates=H","DateFormat=P","Fill=—","Direction=H","UseDPDF=Y")</f>
        <v>-11025.41</v>
      </c>
      <c r="U49" s="13">
        <f>_xll.BDH("INDIGO IN Equity","EBITDA","FQ2 2022","FQ2 2022","Currency=INR","Period=FQ","BEST_FPERIOD_OVERRIDE=FQ","FILING_STATUS=MR","EQY_CONSOLIDATED=N","SCALING_FORMAT=MLN","FA_ADJUSTED=GAAP","Sort=A","Dates=H","DateFormat=P","Fill=—","Direction=H","UseDPDF=Y")</f>
        <v>1522.25</v>
      </c>
      <c r="V49" s="13">
        <f>_xll.BDH("INDIGO IN Equity","EBITDA","FQ3 2022","FQ3 2022","Currency=INR","Period=FQ","BEST_FPERIOD_OVERRIDE=FQ","FILING_STATUS=MR","EQY_CONSOLIDATED=N","SCALING_FORMAT=MLN","FA_ADJUSTED=GAAP","Sort=A","Dates=H","DateFormat=P","Fill=—","Direction=H","UseDPDF=Y")</f>
        <v>17734.02</v>
      </c>
      <c r="W49" s="13">
        <f>_xll.BDH("INDIGO IN Equity","EBITDA","FQ4 2022","FQ4 2022","Currency=INR","Period=FQ","BEST_FPERIOD_OVERRIDE=FQ","FILING_STATUS=MR","EQY_CONSOLIDATED=N","SCALING_FORMAT=MLN","FA_ADJUSTED=GAAP","Sort=A","Dates=H","DateFormat=P","Fill=—","Direction=H","UseDPDF=Y")</f>
        <v>6480.47</v>
      </c>
      <c r="X49" s="13">
        <f>_xll.BDH("INDIGO IN Equity","EBITDA","FQ1 2023","FQ1 2023","Currency=INR","Period=FQ","BEST_FPERIOD_OVERRIDE=FQ","FILING_STATUS=MR","EQY_CONSOLIDATED=N","SCALING_FORMAT=MLN","FA_ADJUSTED=GAAP","Sort=A","Dates=H","DateFormat=P","Fill=—","Direction=H","UseDPDF=Y")</f>
        <v>20220.39</v>
      </c>
      <c r="Y49" s="13">
        <f>_xll.BDH("INDIGO IN Equity","EBITDA","FQ2 2023","FQ2 2023","Currency=INR","Period=FQ","BEST_FPERIOD_OVERRIDE=FQ","FILING_STATUS=MR","EQY_CONSOLIDATED=N","SCALING_FORMAT=MLN","FA_ADJUSTED=GAAP","Sort=A","Dates=H","DateFormat=P","Fill=—","Direction=H","UseDPDF=Y")</f>
        <v>12269.02</v>
      </c>
      <c r="Z49" s="13">
        <f>_xll.BDH("INDIGO IN Equity","EBITDA","FQ3 2023","FQ3 2023","Currency=INR","Period=FQ","BEST_FPERIOD_OVERRIDE=FQ","FILING_STATUS=MR","EQY_CONSOLIDATED=N","SCALING_FORMAT=MLN","FA_ADJUSTED=GAAP","Sort=A","Dates=H","DateFormat=P","Fill=—","Direction=H","UseDPDF=Y")</f>
        <v>37001.06</v>
      </c>
      <c r="AA49" s="13">
        <f>_xll.BDH("INDIGO IN Equity","EBITDA","FQ4 2023","FQ4 2023","Currency=INR","Period=FQ","BEST_FPERIOD_OVERRIDE=FQ","FILING_STATUS=MR","EQY_CONSOLIDATED=N","SCALING_FORMAT=MLN","FA_ADJUSTED=GAAP","Sort=A","Dates=H","DateFormat=P","Fill=—","Direction=H","UseDPDF=Y")</f>
        <v>24955.43</v>
      </c>
      <c r="AB49" s="13">
        <f>_xll.BDH("INDIGO IN Equity","EBITDA","FQ1 2024","FQ1 2024","Currency=INR","Period=FQ","BEST_FPERIOD_OVERRIDE=FQ","FILING_STATUS=MR","EQY_CONSOLIDATED=N","SCALING_FORMAT=MLN","FA_ADJUSTED=GAAP","Sort=A","Dates=H","DateFormat=P","Fill=—","Direction=H","UseDPDF=Y")</f>
        <v>48517.74</v>
      </c>
      <c r="AC49" s="13">
        <f>_xll.BDH("INDIGO IN Equity","EBITDA","FQ2 2024","FQ2 2024","Currency=INR","Period=FQ","BEST_FPERIOD_OVERRIDE=FQ","FILING_STATUS=MR","EQY_CONSOLIDATED=N","SCALING_FORMAT=MLN","FA_ADJUSTED=GAAP","Sort=A","Dates=H","DateFormat=P","Fill=—","Direction=H","UseDPDF=Y")</f>
        <v>28134.560000000001</v>
      </c>
      <c r="AD49" s="13">
        <f>_xll.BDH("INDIGO IN Equity","EBITDA","FQ3 2024","FQ3 2024","Currency=INR","Period=FQ","BEST_FPERIOD_OVERRIDE=FQ","FILING_STATUS=MR","EQY_CONSOLIDATED=N","SCALING_FORMAT=MLN","FA_ADJUSTED=GAAP","Sort=A","Dates=H","DateFormat=P","Fill=—","Direction=H","UseDPDF=Y")</f>
        <v>51952.07</v>
      </c>
      <c r="AE49" s="13">
        <f>_xll.BDH("INDIGO IN Equity","EBITDA","FQ4 2024","FQ4 2024","Currency=INR","Period=FQ","BEST_FPERIOD_OVERRIDE=FQ","FILING_STATUS=MR","EQY_CONSOLIDATED=N","SCALING_FORMAT=MLN","FA_ADJUSTED=GAAP","Sort=A","Dates=H","DateFormat=P","Fill=—","Direction=H","UseDPDF=Y")</f>
        <v>41495.75</v>
      </c>
      <c r="AF49" s="13">
        <f>_xll.BDH("INDIGO IN Equity","EBITDA","FQ1 2025","FQ1 2025","Currency=INR","Period=FQ","BEST_FPERIOD_OVERRIDE=FQ","FILING_STATUS=MR","EQY_CONSOLIDATED=N","SCALING_FORMAT=MLN","FA_ADJUSTED=GAAP","Sort=A","Dates=H","DateFormat=P","Fill=—","Direction=H","UseDPDF=Y")</f>
        <v>52036</v>
      </c>
      <c r="AG49" s="13">
        <f>_xll.BDH("INDIGO IN Equity","EBITDA","FQ2 2025","FQ2 2025","Currency=INR","Period=FQ","BEST_FPERIOD_OVERRIDE=FQ","FILING_STATUS=MR","EQY_CONSOLIDATED=N","SCALING_FORMAT=MLN","FA_ADJUSTED=GAAP","Sort=A","Dates=H","DateFormat=P","Fill=—","Direction=H","UseDPDF=Y")</f>
        <v>18584</v>
      </c>
      <c r="AH49" s="13">
        <f>_xll.BDH("INDIGO IN Equity","EBITDA","FQ3 2025","FQ3 2025","Currency=INR","Period=FQ","BEST_FPERIOD_OVERRIDE=FQ","FILING_STATUS=MR","EQY_CONSOLIDATED=N","SCALING_FORMAT=MLN","FA_ADJUSTED=GAAP","Sort=A","Dates=H","DateFormat=P","Fill=—","Direction=H","UseDPDF=Y")</f>
        <v>66183</v>
      </c>
      <c r="AI49" s="13">
        <f>_xll.BDH("INDIGO IN Equity","EBITDA","FQ4 2025","FQ4 2025","Currency=INR","Period=FQ","BEST_FPERIOD_OVERRIDE=FQ","FILING_STATUS=MR","EQY_CONSOLIDATED=N","SCALING_FORMAT=MLN","FA_ADJUSTED=GAAP","Sort=A","Dates=H","DateFormat=P","Fill=—","Direction=H","UseDPDF=Y")</f>
        <v>59448</v>
      </c>
      <c r="AJ49" s="13">
        <f>_xll.BDH("INDIGO IN Equity","EBITDA","FQ1 2026","FQ1 2026","Currency=INR","Period=FQ","BEST_FPERIOD_OVERRIDE=FQ","FILING_STATUS=MR","EQY_CONSOLIDATED=N","SCALING_FORMAT=MLN","FA_ADJUSTED=GAAP","Sort=A","Dates=H","DateFormat=P","Fill=—","Direction=H","UseDPDF=Y")</f>
        <v>53522</v>
      </c>
      <c r="AK49" s="13">
        <f>_xll.BDH("INDIGO IN Equity","EBITDA","FQ2 2026","FQ2 2026","Currency=INR","Period=FQ","BEST_FPERIOD_OVERRIDE=FQ","FILING_STATUS=MR","EQY_CONSOLIDATED=N","SCALING_FORMAT=MLN","FA_ADJUSTED=GAAP","Sort=A","Dates=H","DateFormat=P","Fill=—","Direction=H","UseDPDF=Y")</f>
        <v>34502</v>
      </c>
      <c r="AL49" s="13">
        <f>_xll.BDH("INDIGO IN Equity","EBITDA","FQ3 2026","FQ3 2026","Currency=INR","Period=FQ","BEST_FPERIOD_OVERRIDE=FQ","FILING_STATUS=MR","EQY_CONSOLIDATED=N","SCALING_FORMAT=MLN","FA_ADJUSTED=GAAP","Sort=A","Dates=H","DateFormat=P","Fill=—","Direction=H","UseDPDF=Y")</f>
        <v>64696</v>
      </c>
      <c r="AM49" s="13">
        <f>_xll.BDH("INDIGO IN Equity","EBITDA","FQ4 2026","FQ4 2026","Currency=INR","Period=FQ","BEST_FPERIOD_OVERRIDE=FQ","FILING_STATUS=MR","EQY_CONSOLIDATED=N","SCALING_FORMAT=MLN","FA_ADJUSTED=GAAP","Sort=A","Dates=H","DateFormat=P","Fill=—","Direction=H","UseDPDF=Y")</f>
        <v>56228</v>
      </c>
      <c r="AN49" s="13">
        <f>_xll.BDH("INDIGO IN Equity","EBITDA","FQ1 2027","FQ1 2027","Currency=INR","Period=FQ","BEST_FPERIOD_OVERRIDE=FQ","FILING_STATUS=MR","EQY_CONSOLIDATED=N","SCALING_FORMAT=MLN","FA_ADJUSTED=GAAP","Sort=A","Dates=H","DateFormat=P","Fill=—","Direction=H","UseDPDF=Y")</f>
        <v>32902</v>
      </c>
      <c r="AO49" s="13">
        <v>29313.5</v>
      </c>
      <c r="AP49" s="13">
        <v>64538</v>
      </c>
    </row>
    <row r="50" spans="1:42" x14ac:dyDescent="0.25">
      <c r="A50" s="12" t="s">
        <v>177</v>
      </c>
      <c r="B50" s="12" t="s">
        <v>178</v>
      </c>
      <c r="C50" s="17">
        <f>_xll.BDH("INDIGO IN Equity","EBITDA_MARGIN","FQ4 2017","FQ4 2017","Currency=INR","Period=FQ","BEST_FPERIOD_OVERRIDE=FQ","FILING_STATUS=MR","EQY_CONSOLIDATED=N","FA_ADJUSTED=GAAP","Sort=A","Dates=H","DateFormat=P","Fill=—","Direction=H","UseDPDF=Y")</f>
        <v>11.546200000000001</v>
      </c>
      <c r="D50" s="17">
        <f>_xll.BDH("INDIGO IN Equity","EBITDA_MARGIN","FQ1 2018","FQ1 2018","Currency=INR","Period=FQ","BEST_FPERIOD_OVERRIDE=FQ","FILING_STATUS=MR","EQY_CONSOLIDATED=N","FA_ADJUSTED=GAAP","Sort=A","Dates=H","DateFormat=P","Fill=—","Direction=H","UseDPDF=Y")</f>
        <v>12.287100000000001</v>
      </c>
      <c r="E50" s="17">
        <f>_xll.BDH("INDIGO IN Equity","EBITDA_MARGIN","FQ2 2018","FQ2 2018","Currency=INR","Period=FQ","BEST_FPERIOD_OVERRIDE=FQ","FILING_STATUS=MR","EQY_CONSOLIDATED=N","FA_ADJUSTED=GAAP","Sort=A","Dates=H","DateFormat=P","Fill=—","Direction=H","UseDPDF=Y")</f>
        <v>14.213699999999999</v>
      </c>
      <c r="F50" s="17">
        <f>_xll.BDH("INDIGO IN Equity","EBITDA_MARGIN","FQ3 2018","FQ3 2018","Currency=INR","Period=FQ","BEST_FPERIOD_OVERRIDE=FQ","FILING_STATUS=MR","EQY_CONSOLIDATED=N","FA_ADJUSTED=GAAP","Sort=A","Dates=H","DateFormat=P","Fill=—","Direction=H","UseDPDF=Y")</f>
        <v>15.109500000000001</v>
      </c>
      <c r="G50" s="17">
        <f>_xll.BDH("INDIGO IN Equity","EBITDA_MARGIN","FQ4 2018","FQ4 2018","Currency=INR","Period=FQ","BEST_FPERIOD_OVERRIDE=FQ","FILING_STATUS=MR","EQY_CONSOLIDATED=N","FA_ADJUSTED=GAAP","Sort=A","Dates=H","DateFormat=P","Fill=—","Direction=H","UseDPDF=Y")</f>
        <v>12.842700000000001</v>
      </c>
      <c r="H50" s="17">
        <f>_xll.BDH("INDIGO IN Equity","EBITDA_MARGIN","FQ1 2019","FQ1 2019","Currency=INR","Period=FQ","BEST_FPERIOD_OVERRIDE=FQ","FILING_STATUS=MR","EQY_CONSOLIDATED=N","FA_ADJUSTED=GAAP","Sort=A","Dates=H","DateFormat=P","Fill=—","Direction=H","UseDPDF=Y")</f>
        <v>7.7729999999999997</v>
      </c>
      <c r="I50" s="17">
        <f>_xll.BDH("INDIGO IN Equity","EBITDA_MARGIN","FQ2 2019","FQ2 2019","Currency=INR","Period=FQ","BEST_FPERIOD_OVERRIDE=FQ","FILING_STATUS=MR","EQY_CONSOLIDATED=N","FA_ADJUSTED=GAAP","Sort=A","Dates=H","DateFormat=P","Fill=—","Direction=H","UseDPDF=Y")</f>
        <v>1.786</v>
      </c>
      <c r="J50" s="17">
        <f>_xll.BDH("INDIGO IN Equity","EBITDA_MARGIN","FQ3 2019","FQ3 2019","Currency=INR","Period=FQ","BEST_FPERIOD_OVERRIDE=FQ","FILING_STATUS=MR","EQY_CONSOLIDATED=N","FA_ADJUSTED=GAAP","Sort=A","Dates=H","DateFormat=P","Fill=—","Direction=H","UseDPDF=Y")</f>
        <v>-1.6471</v>
      </c>
      <c r="K50" s="17">
        <f>_xll.BDH("INDIGO IN Equity","EBITDA_MARGIN","FQ4 2019","FQ4 2019","Currency=INR","Period=FQ","BEST_FPERIOD_OVERRIDE=FQ","FILING_STATUS=MR","EQY_CONSOLIDATED=N","FA_ADJUSTED=GAAP","Sort=A","Dates=H","DateFormat=P","Fill=—","Direction=H","UseDPDF=Y")</f>
        <v>5.5899999999999998E-2</v>
      </c>
      <c r="L50" s="17">
        <f>_xll.BDH("INDIGO IN Equity","EBITDA_MARGIN","FQ1 2020","FQ1 2020","Currency=INR","Period=FQ","BEST_FPERIOD_OVERRIDE=FQ","FILING_STATUS=MR","EQY_CONSOLIDATED=N","FA_ADJUSTED=GAAP","Sort=A","Dates=H","DateFormat=P","Fill=—","Direction=H","UseDPDF=Y")</f>
        <v>7.9790000000000001</v>
      </c>
      <c r="M50" s="17">
        <f>_xll.BDH("INDIGO IN Equity","EBITDA_MARGIN","FQ2 2020","FQ2 2020","Currency=INR","Period=FQ","BEST_FPERIOD_OVERRIDE=FQ","FILING_STATUS=MR","EQY_CONSOLIDATED=N","FA_ADJUSTED=GAAP","Sort=A","Dates=H","DateFormat=P","Fill=—","Direction=H","UseDPDF=Y")</f>
        <v>10.824299999999999</v>
      </c>
      <c r="N50" s="17">
        <f>_xll.BDH("INDIGO IN Equity","EBITDA_MARGIN","FQ3 2020","FQ3 2020","Currency=INR","Period=FQ","BEST_FPERIOD_OVERRIDE=FQ","FILING_STATUS=MR","EQY_CONSOLIDATED=N","FA_ADJUSTED=GAAP","Sort=A","Dates=H","DateFormat=P","Fill=—","Direction=H","UseDPDF=Y")</f>
        <v>14.958299999999999</v>
      </c>
      <c r="O50" s="17">
        <f>_xll.BDH("INDIGO IN Equity","EBITDA_MARGIN","FQ4 2020","FQ4 2020","Currency=INR","Period=FQ","BEST_FPERIOD_OVERRIDE=FQ","FILING_STATUS=MR","EQY_CONSOLIDATED=N","FA_ADJUSTED=GAAP","Sort=A","Dates=H","DateFormat=P","Fill=—","Direction=H","UseDPDF=Y")</f>
        <v>15.617900000000001</v>
      </c>
      <c r="P50" s="17">
        <f>_xll.BDH("INDIGO IN Equity","EBITDA_MARGIN","FQ1 2021","FQ1 2021","Currency=INR","Period=FQ","BEST_FPERIOD_OVERRIDE=FQ","FILING_STATUS=MR","EQY_CONSOLIDATED=N","FA_ADJUSTED=GAAP","Sort=A","Dates=H","DateFormat=P","Fill=—","Direction=H","UseDPDF=Y")</f>
        <v>5.7610999999999999</v>
      </c>
      <c r="Q50" s="17">
        <f>_xll.BDH("INDIGO IN Equity","EBITDA_MARGIN","FQ2 2021","FQ2 2021","Currency=INR","Period=FQ","BEST_FPERIOD_OVERRIDE=FQ","FILING_STATUS=MR","EQY_CONSOLIDATED=N","FA_ADJUSTED=GAAP","Sort=A","Dates=H","DateFormat=P","Fill=—","Direction=H","UseDPDF=Y")</f>
        <v>3.7826</v>
      </c>
      <c r="R50" s="17">
        <f>_xll.BDH("INDIGO IN Equity","EBITDA_MARGIN","FQ3 2021","FQ3 2021","Currency=INR","Period=FQ","BEST_FPERIOD_OVERRIDE=FQ","FILING_STATUS=MR","EQY_CONSOLIDATED=N","FA_ADJUSTED=GAAP","Sort=A","Dates=H","DateFormat=P","Fill=—","Direction=H","UseDPDF=Y")</f>
        <v>-2.0106999999999999</v>
      </c>
      <c r="S50" s="17">
        <f>_xll.BDH("INDIGO IN Equity","EBITDA_MARGIN","FQ4 2021","FQ4 2021","Currency=INR","Period=FQ","BEST_FPERIOD_OVERRIDE=FQ","FILING_STATUS=MR","EQY_CONSOLIDATED=N","FA_ADJUSTED=GAAP","Sort=A","Dates=H","DateFormat=P","Fill=—","Direction=H","UseDPDF=Y")</f>
        <v>-3.7463000000000002</v>
      </c>
      <c r="T50" s="17">
        <f>_xll.BDH("INDIGO IN Equity","EBITDA_MARGIN","FQ1 2022","FQ1 2022","Currency=INR","Period=FQ","BEST_FPERIOD_OVERRIDE=FQ","FILING_STATUS=MR","EQY_CONSOLIDATED=N","FA_ADJUSTED=GAAP","Sort=A","Dates=H","DateFormat=P","Fill=—","Direction=H","UseDPDF=Y")</f>
        <v>-0.6331</v>
      </c>
      <c r="U50" s="17">
        <f>_xll.BDH("INDIGO IN Equity","EBITDA_MARGIN","FQ2 2022","FQ2 2022","Currency=INR","Period=FQ","BEST_FPERIOD_OVERRIDE=FQ","FILING_STATUS=MR","EQY_CONSOLIDATED=N","FA_ADJUSTED=GAAP","Sort=A","Dates=H","DateFormat=P","Fill=—","Direction=H","UseDPDF=Y")</f>
        <v>1.7861</v>
      </c>
      <c r="V50" s="17">
        <f>_xll.BDH("INDIGO IN Equity","EBITDA_MARGIN","FQ3 2022","FQ3 2022","Currency=INR","Period=FQ","BEST_FPERIOD_OVERRIDE=FQ","FILING_STATUS=MR","EQY_CONSOLIDATED=N","FA_ADJUSTED=GAAP","Sort=A","Dates=H","DateFormat=P","Fill=—","Direction=H","UseDPDF=Y")</f>
        <v>6.1725000000000003</v>
      </c>
      <c r="W50" s="17">
        <f>_xll.BDH("INDIGO IN Equity","EBITDA_MARGIN","FQ4 2022","FQ4 2022","Currency=INR","Period=FQ","BEST_FPERIOD_OVERRIDE=FQ","FILING_STATUS=MR","EQY_CONSOLIDATED=N","FA_ADJUSTED=GAAP","Sort=A","Dates=H","DateFormat=P","Fill=—","Direction=H","UseDPDF=Y")</f>
        <v>5.6733000000000002</v>
      </c>
      <c r="X50" s="17">
        <f>_xll.BDH("INDIGO IN Equity","EBITDA_MARGIN","FQ1 2023","FQ1 2023","Currency=INR","Period=FQ","BEST_FPERIOD_OVERRIDE=FQ","FILING_STATUS=MR","EQY_CONSOLIDATED=N","FA_ADJUSTED=GAAP","Sort=A","Dates=H","DateFormat=P","Fill=—","Direction=H","UseDPDF=Y")</f>
        <v>12.8446</v>
      </c>
      <c r="Y50" s="17">
        <f>_xll.BDH("INDIGO IN Equity","EBITDA_MARGIN","FQ2 2023","FQ2 2023","Currency=INR","Period=FQ","BEST_FPERIOD_OVERRIDE=FQ","FILING_STATUS=MR","EQY_CONSOLIDATED=N","FA_ADJUSTED=GAAP","Sort=A","Dates=H","DateFormat=P","Fill=—","Direction=H","UseDPDF=Y")</f>
        <v>13.289400000000001</v>
      </c>
      <c r="Z50" s="17">
        <f>_xll.BDH("INDIGO IN Equity","EBITDA_MARGIN","FQ3 2023","FQ3 2023","Currency=INR","Period=FQ","BEST_FPERIOD_OVERRIDE=FQ","FILING_STATUS=MR","EQY_CONSOLIDATED=N","FA_ADJUSTED=GAAP","Sort=A","Dates=H","DateFormat=P","Fill=—","Direction=H","UseDPDF=Y")</f>
        <v>15.726800000000001</v>
      </c>
      <c r="AA50" s="17">
        <f>_xll.BDH("INDIGO IN Equity","EBITDA_MARGIN","FQ4 2023","FQ4 2023","Currency=INR","Period=FQ","BEST_FPERIOD_OVERRIDE=FQ","FILING_STATUS=MR","EQY_CONSOLIDATED=N","FA_ADJUSTED=GAAP","Sort=A","Dates=H","DateFormat=P","Fill=—","Direction=H","UseDPDF=Y")</f>
        <v>17.346599999999999</v>
      </c>
      <c r="AB50" s="17">
        <f>_xll.BDH("INDIGO IN Equity","EBITDA_MARGIN","FQ1 2024","FQ1 2024","Currency=INR","Period=FQ","BEST_FPERIOD_OVERRIDE=FQ","FILING_STATUS=MR","EQY_CONSOLIDATED=N","FA_ADJUSTED=GAAP","Sort=A","Dates=H","DateFormat=P","Fill=—","Direction=H","UseDPDF=Y")</f>
        <v>21.062999999999999</v>
      </c>
      <c r="AC50" s="17">
        <f>_xll.BDH("INDIGO IN Equity","EBITDA_MARGIN","FQ2 2024","FQ2 2024","Currency=INR","Period=FQ","BEST_FPERIOD_OVERRIDE=FQ","FILING_STATUS=MR","EQY_CONSOLIDATED=N","FA_ADJUSTED=GAAP","Sort=A","Dates=H","DateFormat=P","Fill=—","Direction=H","UseDPDF=Y")</f>
        <v>22.827300000000001</v>
      </c>
      <c r="AD50" s="17">
        <f>_xll.BDH("INDIGO IN Equity","EBITDA_MARGIN","FQ3 2024","FQ3 2024","Currency=INR","Period=FQ","BEST_FPERIOD_OVERRIDE=FQ","FILING_STATUS=MR","EQY_CONSOLIDATED=N","FA_ADJUSTED=GAAP","Sort=A","Dates=H","DateFormat=P","Fill=—","Direction=H","UseDPDF=Y")</f>
        <v>23.537800000000001</v>
      </c>
      <c r="AE50" s="17">
        <f>_xll.BDH("INDIGO IN Equity","EBITDA_MARGIN","FQ4 2024","FQ4 2024","Currency=INR","Period=FQ","BEST_FPERIOD_OVERRIDE=FQ","FILING_STATUS=MR","EQY_CONSOLIDATED=N","FA_ADJUSTED=GAAP","Sort=A","Dates=H","DateFormat=P","Fill=—","Direction=H","UseDPDF=Y")</f>
        <v>24.686399999999999</v>
      </c>
      <c r="AF50" s="17">
        <f>_xll.BDH("INDIGO IN Equity","EBITDA_MARGIN","FQ1 2025","FQ1 2025","Currency=INR","Period=FQ","BEST_FPERIOD_OVERRIDE=FQ","FILING_STATUS=MR","EQY_CONSOLIDATED=N","FA_ADJUSTED=GAAP","Sort=A","Dates=H","DateFormat=P","Fill=—","Direction=H","UseDPDF=Y")</f>
        <v>24.183499999999999</v>
      </c>
      <c r="AG50" s="17">
        <f>_xll.BDH("INDIGO IN Equity","EBITDA_MARGIN","FQ2 2025","FQ2 2025","Currency=INR","Period=FQ","BEST_FPERIOD_OVERRIDE=FQ","FILING_STATUS=MR","EQY_CONSOLIDATED=N","FA_ADJUSTED=GAAP","Sort=A","Dates=H","DateFormat=P","Fill=—","Direction=H","UseDPDF=Y")</f>
        <v>22.226099999999999</v>
      </c>
      <c r="AH50" s="17">
        <f>_xll.BDH("INDIGO IN Equity","EBITDA_MARGIN","FQ3 2025","FQ3 2025","Currency=INR","Period=FQ","BEST_FPERIOD_OVERRIDE=FQ","FILING_STATUS=MR","EQY_CONSOLIDATED=N","FA_ADJUSTED=GAAP","Sort=A","Dates=H","DateFormat=P","Fill=—","Direction=H","UseDPDF=Y")</f>
        <v>23.314299999999999</v>
      </c>
      <c r="AI50" s="17">
        <f>_xll.BDH("INDIGO IN Equity","EBITDA_MARGIN","FQ4 2025","FQ4 2025","Currency=INR","Period=FQ","BEST_FPERIOD_OVERRIDE=FQ","FILING_STATUS=MR","EQY_CONSOLIDATED=N","FA_ADJUSTED=GAAP","Sort=A","Dates=H","DateFormat=P","Fill=—","Direction=H","UseDPDF=Y")</f>
        <v>24.287600000000001</v>
      </c>
      <c r="AJ50" s="17">
        <f>_xll.BDH("INDIGO IN Equity","EBITDA_MARGIN","FQ1 2026","FQ1 2026","Currency=INR","Period=FQ","BEST_FPERIOD_OVERRIDE=FQ","FILING_STATUS=MR","EQY_CONSOLIDATED=N","FA_ADJUSTED=GAAP","Sort=A","Dates=H","DateFormat=P","Fill=—","Direction=H","UseDPDF=Y")</f>
        <v>24.194299999999998</v>
      </c>
      <c r="AK50" s="17">
        <f>_xll.BDH("INDIGO IN Equity","EBITDA_MARGIN","FQ2 2026","FQ2 2026","Currency=INR","Period=FQ","BEST_FPERIOD_OVERRIDE=FQ","FILING_STATUS=MR","EQY_CONSOLIDATED=N","FA_ADJUSTED=GAAP","Sort=A","Dates=H","DateFormat=P","Fill=—","Direction=H","UseDPDF=Y")</f>
        <v>25.644500000000001</v>
      </c>
      <c r="AL50" s="17">
        <f>_xll.BDH("INDIGO IN Equity","EBITDA_MARGIN","FQ3 2026","FQ3 2026","Currency=INR","Period=FQ","BEST_FPERIOD_OVERRIDE=FQ","FILING_STATUS=MR","EQY_CONSOLIDATED=N","FA_ADJUSTED=GAAP","Sort=A","Dates=H","DateFormat=P","Fill=—","Direction=H","UseDPDF=Y")</f>
        <v>25.0566</v>
      </c>
      <c r="AM50" s="17">
        <f>_xll.BDH("INDIGO IN Equity","EBITDA_MARGIN","FQ4 2026","FQ4 2026","Currency=INR","Period=FQ","BEST_FPERIOD_OVERRIDE=FQ","FILING_STATUS=MR","EQY_CONSOLIDATED=N","FA_ADJUSTED=GAAP","Sort=A","Dates=H","DateFormat=P","Fill=—","Direction=H","UseDPDF=Y")</f>
        <v>24.5931</v>
      </c>
      <c r="AN50" s="17">
        <f>_xll.BDH("INDIGO IN Equity","EBITDA_MARGIN","FQ1 2027","FQ1 2027","Currency=INR","Period=FQ","BEST_FPERIOD_OVERRIDE=FQ","FILING_STATUS=MR","EQY_CONSOLIDATED=N","FA_ADJUSTED=GAAP","Sort=A","Dates=H","DateFormat=P","Fill=—","Direction=H","UseDPDF=Y")</f>
        <v>21.148599999999998</v>
      </c>
      <c r="AO50" s="17">
        <v>21.379461405644701</v>
      </c>
      <c r="AP50" s="17"/>
    </row>
    <row r="51" spans="1:42" x14ac:dyDescent="0.25">
      <c r="A51" s="12" t="s">
        <v>179</v>
      </c>
      <c r="B51" s="12" t="s">
        <v>179</v>
      </c>
      <c r="C51" s="13">
        <f>_xll.BDH("INDIGO IN Equity","EBIT","FQ4 2017","FQ4 2017","Currency=INR","Period=FQ","BEST_FPERIOD_OVERRIDE=FQ","FILING_STATUS=MR","EQY_CONSOLIDATED=N","SCALING_FORMAT=MLN","FA_ADJUSTED=GAAP","Sort=A","Dates=H","DateFormat=P","Fill=—","Direction=H","UseDPDF=Y")</f>
        <v>4028.33</v>
      </c>
      <c r="D51" s="13">
        <f>_xll.BDH("INDIGO IN Equity","EBIT","FQ1 2018","FQ1 2018","Currency=INR","Period=FQ","BEST_FPERIOD_OVERRIDE=FQ","FILING_STATUS=MR","EQY_CONSOLIDATED=N","SCALING_FORMAT=MLN","FA_ADJUSTED=GAAP","Sort=A","Dates=H","DateFormat=P","Fill=—","Direction=H","UseDPDF=Y")</f>
        <v>9986.75</v>
      </c>
      <c r="E51" s="13">
        <f>_xll.BDH("INDIGO IN Equity","EBIT","FQ2 2018","FQ2 2018","Currency=INR","Period=FQ","BEST_FPERIOD_OVERRIDE=FQ","FILING_STATUS=MR","EQY_CONSOLIDATED=N","SCALING_FORMAT=MLN","FA_ADJUSTED=GAAP","Sort=A","Dates=H","DateFormat=P","Fill=—","Direction=H","UseDPDF=Y")</f>
        <v>6356.23</v>
      </c>
      <c r="F51" s="13">
        <f>_xll.BDH("INDIGO IN Equity","EBIT","FQ3 2018","FQ3 2018","Currency=INR","Period=FQ","BEST_FPERIOD_OVERRIDE=FQ","FILING_STATUS=MR","EQY_CONSOLIDATED=N","SCALING_FORMAT=MLN","FA_ADJUSTED=GAAP","Sort=A","Dates=H","DateFormat=P","Fill=—","Direction=H","UseDPDF=Y")</f>
        <v>8841.31</v>
      </c>
      <c r="G51" s="13">
        <f>_xll.BDH("INDIGO IN Equity","EBIT","FQ4 2018","FQ4 2018","Currency=INR","Period=FQ","BEST_FPERIOD_OVERRIDE=FQ","FILING_STATUS=MR","EQY_CONSOLIDATED=N","SCALING_FORMAT=MLN","FA_ADJUSTED=GAAP","Sort=A","Dates=H","DateFormat=P","Fill=—","Direction=H","UseDPDF=Y")</f>
        <v>12.07</v>
      </c>
      <c r="H51" s="13">
        <f>_xll.BDH("INDIGO IN Equity","EBIT","FQ1 2019","FQ1 2019","Currency=INR","Period=FQ","BEST_FPERIOD_OVERRIDE=FQ","FILING_STATUS=MR","EQY_CONSOLIDATED=N","SCALING_FORMAT=MLN","FA_ADJUSTED=GAAP","Sort=A","Dates=H","DateFormat=P","Fill=—","Direction=H","UseDPDF=Y")</f>
        <v>-1663.36</v>
      </c>
      <c r="I51" s="13">
        <f>_xll.BDH("INDIGO IN Equity","EBIT","FQ2 2019","FQ2 2019","Currency=INR","Period=FQ","BEST_FPERIOD_OVERRIDE=FQ","FILING_STATUS=MR","EQY_CONSOLIDATED=N","SCALING_FORMAT=MLN","FA_ADJUSTED=GAAP","Sort=A","Dates=H","DateFormat=P","Fill=—","Direction=H","UseDPDF=Y")</f>
        <v>-8515.6</v>
      </c>
      <c r="J51" s="13">
        <f>_xll.BDH("INDIGO IN Equity","EBIT","FQ3 2019","FQ3 2019","Currency=INR","Period=FQ","BEST_FPERIOD_OVERRIDE=FQ","FILING_STATUS=MR","EQY_CONSOLIDATED=N","SCALING_FORMAT=MLN","FA_ADJUSTED=GAAP","Sort=A","Dates=H","DateFormat=P","Fill=—","Direction=H","UseDPDF=Y")</f>
        <v>-880.63</v>
      </c>
      <c r="K51" s="13">
        <f>_xll.BDH("INDIGO IN Equity","EBIT","FQ4 2019","FQ4 2019","Currency=INR","Period=FQ","BEST_FPERIOD_OVERRIDE=FQ","FILING_STATUS=MR","EQY_CONSOLIDATED=N","SCALING_FORMAT=MLN","FA_ADJUSTED=GAAP","Sort=A","Dates=H","DateFormat=P","Fill=—","Direction=H","UseDPDF=Y")</f>
        <v>3623.2</v>
      </c>
      <c r="L51" s="13">
        <f>_xll.BDH("INDIGO IN Equity","EBIT","FQ1 2020","FQ1 2020","Currency=INR","Period=FQ","BEST_FPERIOD_OVERRIDE=FQ","FILING_STATUS=MR","EQY_CONSOLIDATED=N","SCALING_FORMAT=MLN","FA_ADJUSTED=GAAP","Sort=A","Dates=H","DateFormat=P","Fill=—","Direction=H","UseDPDF=Y")</f>
        <v>15778.78</v>
      </c>
      <c r="M51" s="13">
        <f>_xll.BDH("INDIGO IN Equity","EBIT","FQ2 2020","FQ2 2020","Currency=INR","Period=FQ","BEST_FPERIOD_OVERRIDE=FQ","FILING_STATUS=MR","EQY_CONSOLIDATED=N","SCALING_FORMAT=MLN","FA_ADJUSTED=GAAP","Sort=A","Dates=H","DateFormat=P","Fill=—","Direction=H","UseDPDF=Y")</f>
        <v>-5969.7</v>
      </c>
      <c r="N51" s="13">
        <f>_xll.BDH("INDIGO IN Equity","EBIT","FQ3 2020","FQ3 2020","Currency=INR","Period=FQ","BEST_FPERIOD_OVERRIDE=FQ","FILING_STATUS=MR","EQY_CONSOLIDATED=N","SCALING_FORMAT=MLN","FA_ADJUSTED=GAAP","Sort=A","Dates=H","DateFormat=P","Fill=—","Direction=H","UseDPDF=Y")</f>
        <v>7572.07</v>
      </c>
      <c r="O51" s="13">
        <f>_xll.BDH("INDIGO IN Equity","EBIT","FQ4 2020","FQ4 2020","Currency=INR","Period=FQ","BEST_FPERIOD_OVERRIDE=FQ","FILING_STATUS=MR","EQY_CONSOLIDATED=N","SCALING_FORMAT=MLN","FA_ADJUSTED=GAAP","Sort=A","Dates=H","DateFormat=P","Fill=—","Direction=H","UseDPDF=Y")</f>
        <v>-1273.8599999999999</v>
      </c>
      <c r="P51" s="13">
        <f>_xll.BDH("INDIGO IN Equity","EBIT","FQ1 2021","FQ1 2021","Currency=INR","Period=FQ","BEST_FPERIOD_OVERRIDE=FQ","FILING_STATUS=MR","EQY_CONSOLIDATED=N","SCALING_FORMAT=MLN","FA_ADJUSTED=GAAP","Sort=A","Dates=H","DateFormat=P","Fill=—","Direction=H","UseDPDF=Y")</f>
        <v>-26405.18</v>
      </c>
      <c r="Q51" s="13">
        <f>_xll.BDH("INDIGO IN Equity","EBIT","FQ2 2021","FQ2 2021","Currency=INR","Period=FQ","BEST_FPERIOD_OVERRIDE=FQ","FILING_STATUS=MR","EQY_CONSOLIDATED=N","SCALING_FORMAT=MLN","FA_ADJUSTED=GAAP","Sort=A","Dates=H","DateFormat=P","Fill=—","Direction=H","UseDPDF=Y")</f>
        <v>-14337.7</v>
      </c>
      <c r="R51" s="13">
        <f>_xll.BDH("INDIGO IN Equity","EBIT","FQ3 2021","FQ3 2021","Currency=INR","Period=FQ","BEST_FPERIOD_OVERRIDE=FQ","FILING_STATUS=MR","EQY_CONSOLIDATED=N","SCALING_FORMAT=MLN","FA_ADJUSTED=GAAP","Sort=A","Dates=H","DateFormat=P","Fill=—","Direction=H","UseDPDF=Y")</f>
        <v>-5199.58</v>
      </c>
      <c r="S51" s="13">
        <f>_xll.BDH("INDIGO IN Equity","EBIT","FQ4 2021","FQ4 2021","Currency=INR","Period=FQ","BEST_FPERIOD_OVERRIDE=FQ","FILING_STATUS=MR","EQY_CONSOLIDATED=N","SCALING_FORMAT=MLN","FA_ADJUSTED=GAAP","Sort=A","Dates=H","DateFormat=P","Fill=—","Direction=H","UseDPDF=Y")</f>
        <v>-6529.21</v>
      </c>
      <c r="T51" s="13">
        <f>_xll.BDH("INDIGO IN Equity","EBIT","FQ1 2022","FQ1 2022","Currency=INR","Period=FQ","BEST_FPERIOD_OVERRIDE=FQ","FILING_STATUS=MR","EQY_CONSOLIDATED=N","SCALING_FORMAT=MLN","FA_ADJUSTED=GAAP","Sort=A","Dates=H","DateFormat=P","Fill=—","Direction=H","UseDPDF=Y")</f>
        <v>-24196.25</v>
      </c>
      <c r="U51" s="13">
        <f>_xll.BDH("INDIGO IN Equity","EBIT","FQ2 2022","FQ2 2022","Currency=INR","Period=FQ","BEST_FPERIOD_OVERRIDE=FQ","FILING_STATUS=MR","EQY_CONSOLIDATED=N","SCALING_FORMAT=MLN","FA_ADJUSTED=GAAP","Sort=A","Dates=H","DateFormat=P","Fill=—","Direction=H","UseDPDF=Y")</f>
        <v>-10956.63</v>
      </c>
      <c r="V51" s="13">
        <f>_xll.BDH("INDIGO IN Equity","EBIT","FQ3 2022","FQ3 2022","Currency=INR","Period=FQ","BEST_FPERIOD_OVERRIDE=FQ","FILING_STATUS=MR","EQY_CONSOLIDATED=N","SCALING_FORMAT=MLN","FA_ADJUSTED=GAAP","Sort=A","Dates=H","DateFormat=P","Fill=—","Direction=H","UseDPDF=Y")</f>
        <v>5398.15</v>
      </c>
      <c r="W51" s="13">
        <f>_xll.BDH("INDIGO IN Equity","EBIT","FQ4 2022","FQ4 2022","Currency=INR","Period=FQ","BEST_FPERIOD_OVERRIDE=FQ","FILING_STATUS=MR","EQY_CONSOLIDATED=N","SCALING_FORMAT=MLN","FA_ADJUSTED=GAAP","Sort=A","Dates=H","DateFormat=P","Fill=—","Direction=H","UseDPDF=Y")</f>
        <v>-6212.41</v>
      </c>
      <c r="X51" s="13">
        <f>_xll.BDH("INDIGO IN Equity","EBIT","FQ1 2023","FQ1 2023","Currency=INR","Period=FQ","BEST_FPERIOD_OVERRIDE=FQ","FILING_STATUS=MR","EQY_CONSOLIDATED=N","SCALING_FORMAT=MLN","FA_ADJUSTED=GAAP","Sort=A","Dates=H","DateFormat=P","Fill=—","Direction=H","UseDPDF=Y")</f>
        <v>8524.23</v>
      </c>
      <c r="Y51" s="13">
        <f>_xll.BDH("INDIGO IN Equity","EBIT","FQ2 2023","FQ2 2023","Currency=INR","Period=FQ","BEST_FPERIOD_OVERRIDE=FQ","FILING_STATUS=MR","EQY_CONSOLIDATED=N","SCALING_FORMAT=MLN","FA_ADJUSTED=GAAP","Sort=A","Dates=H","DateFormat=P","Fill=—","Direction=H","UseDPDF=Y")</f>
        <v>-103.56</v>
      </c>
      <c r="Z51" s="13">
        <f>_xll.BDH("INDIGO IN Equity","EBIT","FQ3 2023","FQ3 2023","Currency=INR","Period=FQ","BEST_FPERIOD_OVERRIDE=FQ","FILING_STATUS=MR","EQY_CONSOLIDATED=N","SCALING_FORMAT=MLN","FA_ADJUSTED=GAAP","Sort=A","Dates=H","DateFormat=P","Fill=—","Direction=H","UseDPDF=Y")</f>
        <v>23582.28</v>
      </c>
      <c r="AA51" s="13">
        <f>_xll.BDH("INDIGO IN Equity","EBIT","FQ4 2023","FQ4 2023","Currency=INR","Period=FQ","BEST_FPERIOD_OVERRIDE=FQ","FILING_STATUS=MR","EQY_CONSOLIDATED=N","SCALING_FORMAT=MLN","FA_ADJUSTED=GAAP","Sort=A","Dates=H","DateFormat=P","Fill=—","Direction=H","UseDPDF=Y")</f>
        <v>11430.58</v>
      </c>
      <c r="AB51" s="13">
        <f>_xll.BDH("INDIGO IN Equity","EBIT","FQ1 2024","FQ1 2024","Currency=INR","Period=FQ","BEST_FPERIOD_OVERRIDE=FQ","FILING_STATUS=MR","EQY_CONSOLIDATED=N","SCALING_FORMAT=MLN","FA_ADJUSTED=GAAP","Sort=A","Dates=H","DateFormat=P","Fill=—","Direction=H","UseDPDF=Y")</f>
        <v>34474.39</v>
      </c>
      <c r="AC51" s="13">
        <f>_xll.BDH("INDIGO IN Equity","EBIT","FQ2 2024","FQ2 2024","Currency=INR","Period=FQ","BEST_FPERIOD_OVERRIDE=FQ","FILING_STATUS=MR","EQY_CONSOLIDATED=N","SCALING_FORMAT=MLN","FA_ADJUSTED=GAAP","Sort=A","Dates=H","DateFormat=P","Fill=—","Direction=H","UseDPDF=Y")</f>
        <v>12679.94</v>
      </c>
      <c r="AD51" s="13">
        <f>_xll.BDH("INDIGO IN Equity","EBIT","FQ3 2024","FQ3 2024","Currency=INR","Period=FQ","BEST_FPERIOD_OVERRIDE=FQ","FILING_STATUS=MR","EQY_CONSOLIDATED=N","SCALING_FORMAT=MLN","FA_ADJUSTED=GAAP","Sort=A","Dates=H","DateFormat=P","Fill=—","Direction=H","UseDPDF=Y")</f>
        <v>35348.620000000003</v>
      </c>
      <c r="AE51" s="13">
        <f>_xll.BDH("INDIGO IN Equity","EBIT","FQ4 2024","FQ4 2024","Currency=INR","Period=FQ","BEST_FPERIOD_OVERRIDE=FQ","FILING_STATUS=MR","EQY_CONSOLIDATED=N","SCALING_FORMAT=MLN","FA_ADJUSTED=GAAP","Sort=A","Dates=H","DateFormat=P","Fill=—","Direction=H","UseDPDF=Y")</f>
        <v>23541.08</v>
      </c>
      <c r="AF51" s="13">
        <f>_xll.BDH("INDIGO IN Equity","EBIT","FQ1 2025","FQ1 2025","Currency=INR","Period=FQ","BEST_FPERIOD_OVERRIDE=FQ","FILING_STATUS=MR","EQY_CONSOLIDATED=N","SCALING_FORMAT=MLN","FA_ADJUSTED=GAAP","Sort=A","Dates=H","DateFormat=P","Fill=—","Direction=H","UseDPDF=Y")</f>
        <v>33371</v>
      </c>
      <c r="AG51" s="13">
        <f>_xll.BDH("INDIGO IN Equity","EBIT","FQ2 2025","FQ2 2025","Currency=INR","Period=FQ","BEST_FPERIOD_OVERRIDE=FQ","FILING_STATUS=MR","EQY_CONSOLIDATED=N","SCALING_FORMAT=MLN","FA_ADJUSTED=GAAP","Sort=A","Dates=H","DateFormat=P","Fill=—","Direction=H","UseDPDF=Y")</f>
        <v>-2192</v>
      </c>
      <c r="AH51" s="13">
        <f>_xll.BDH("INDIGO IN Equity","EBIT","FQ3 2025","FQ3 2025","Currency=INR","Period=FQ","BEST_FPERIOD_OVERRIDE=FQ","FILING_STATUS=MR","EQY_CONSOLIDATED=N","SCALING_FORMAT=MLN","FA_ADJUSTED=GAAP","Sort=A","Dates=H","DateFormat=P","Fill=—","Direction=H","UseDPDF=Y")</f>
        <v>44029</v>
      </c>
      <c r="AI51" s="13">
        <f>_xll.BDH("INDIGO IN Equity","EBIT","FQ4 2025","FQ4 2025","Currency=INR","Period=FQ","BEST_FPERIOD_OVERRIDE=FQ","FILING_STATUS=MR","EQY_CONSOLIDATED=N","SCALING_FORMAT=MLN","FA_ADJUSTED=GAAP","Sort=A","Dates=H","DateFormat=P","Fill=—","Direction=H","UseDPDF=Y")</f>
        <v>34677</v>
      </c>
      <c r="AJ51" s="13">
        <f>_xll.BDH("INDIGO IN Equity","EBIT","FQ1 2026","FQ1 2026","Currency=INR","Period=FQ","BEST_FPERIOD_OVERRIDE=FQ","FILING_STATUS=MR","EQY_CONSOLIDATED=N","SCALING_FORMAT=MLN","FA_ADJUSTED=GAAP","Sort=A","Dates=H","DateFormat=P","Fill=—","Direction=H","UseDPDF=Y")</f>
        <v>27991</v>
      </c>
      <c r="AK51" s="13">
        <f>_xll.BDH("INDIGO IN Equity","EBIT","FQ2 2026","FQ2 2026","Currency=INR","Period=FQ","BEST_FPERIOD_OVERRIDE=FQ","FILING_STATUS=MR","EQY_CONSOLIDATED=N","SCALING_FORMAT=MLN","FA_ADJUSTED=GAAP","Sort=A","Dates=H","DateFormat=P","Fill=—","Direction=H","UseDPDF=Y")</f>
        <v>8209</v>
      </c>
      <c r="AL51" s="13">
        <f>_xll.BDH("INDIGO IN Equity","EBIT","FQ3 2026","FQ3 2026","Currency=INR","Period=FQ","BEST_FPERIOD_OVERRIDE=FQ","FILING_STATUS=MR","EQY_CONSOLIDATED=N","SCALING_FORMAT=MLN","FA_ADJUSTED=GAAP","Sort=A","Dates=H","DateFormat=P","Fill=—","Direction=H","UseDPDF=Y")</f>
        <v>37015</v>
      </c>
      <c r="AM51" s="13">
        <f>_xll.BDH("INDIGO IN Equity","EBIT","FQ4 2026","FQ4 2026","Currency=INR","Period=FQ","BEST_FPERIOD_OVERRIDE=FQ","FILING_STATUS=MR","EQY_CONSOLIDATED=N","SCALING_FORMAT=MLN","FA_ADJUSTED=GAAP","Sort=A","Dates=H","DateFormat=P","Fill=—","Direction=H","UseDPDF=Y")</f>
        <v>28219</v>
      </c>
      <c r="AN51" s="13">
        <f>_xll.BDH("INDIGO IN Equity","EBIT","FQ1 2027","FQ1 2027","Currency=INR","Period=FQ","BEST_FPERIOD_OVERRIDE=FQ","FILING_STATUS=MR","EQY_CONSOLIDATED=N","SCALING_FORMAT=MLN","FA_ADJUSTED=GAAP","Sort=A","Dates=H","DateFormat=P","Fill=—","Direction=H","UseDPDF=Y")</f>
        <v>3385</v>
      </c>
      <c r="AO51" s="13">
        <v>-1523</v>
      </c>
      <c r="AP51" s="13">
        <v>29272</v>
      </c>
    </row>
    <row r="52" spans="1:42" x14ac:dyDescent="0.25">
      <c r="A52" s="12" t="s">
        <v>180</v>
      </c>
      <c r="B52" s="12" t="s">
        <v>181</v>
      </c>
      <c r="C52" s="17">
        <f>_xll.BDH("INDIGO IN Equity","OPER_MARGIN","FQ4 2017","FQ4 2017","Currency=INR","Period=FQ","BEST_FPERIOD_OVERRIDE=FQ","FILING_STATUS=MR","EQY_CONSOLIDATED=N","FA_ADJUSTED=GAAP","Sort=A","Dates=H","DateFormat=P","Fill=—","Direction=H","UseDPDF=Y")</f>
        <v>8.3088999999999995</v>
      </c>
      <c r="D52" s="17">
        <f>_xll.BDH("INDIGO IN Equity","OPER_MARGIN","FQ1 2018","FQ1 2018","Currency=INR","Period=FQ","BEST_FPERIOD_OVERRIDE=FQ","FILING_STATUS=MR","EQY_CONSOLIDATED=N","FA_ADJUSTED=GAAP","Sort=A","Dates=H","DateFormat=P","Fill=—","Direction=H","UseDPDF=Y")</f>
        <v>17.359500000000001</v>
      </c>
      <c r="E52" s="17">
        <f>_xll.BDH("INDIGO IN Equity","OPER_MARGIN","FQ2 2018","FQ2 2018","Currency=INR","Period=FQ","BEST_FPERIOD_OVERRIDE=FQ","FILING_STATUS=MR","EQY_CONSOLIDATED=N","FA_ADJUSTED=GAAP","Sort=A","Dates=H","DateFormat=P","Fill=—","Direction=H","UseDPDF=Y")</f>
        <v>12.013299999999999</v>
      </c>
      <c r="F52" s="17">
        <f>_xll.BDH("INDIGO IN Equity","OPER_MARGIN","FQ3 2018","FQ3 2018","Currency=INR","Period=FQ","BEST_FPERIOD_OVERRIDE=FQ","FILING_STATUS=MR","EQY_CONSOLIDATED=N","FA_ADJUSTED=GAAP","Sort=A","Dates=H","DateFormat=P","Fill=—","Direction=H","UseDPDF=Y")</f>
        <v>14.311199999999999</v>
      </c>
      <c r="G52" s="17">
        <f>_xll.BDH("INDIGO IN Equity","OPER_MARGIN","FQ4 2018","FQ4 2018","Currency=INR","Period=FQ","BEST_FPERIOD_OVERRIDE=FQ","FILING_STATUS=MR","EQY_CONSOLIDATED=N","FA_ADJUSTED=GAAP","Sort=A","Dates=H","DateFormat=P","Fill=—","Direction=H","UseDPDF=Y")</f>
        <v>2.0799999999999999E-2</v>
      </c>
      <c r="H52" s="17">
        <f>_xll.BDH("INDIGO IN Equity","OPER_MARGIN","FQ1 2019","FQ1 2019","Currency=INR","Period=FQ","BEST_FPERIOD_OVERRIDE=FQ","FILING_STATUS=MR","EQY_CONSOLIDATED=N","FA_ADJUSTED=GAAP","Sort=A","Dates=H","DateFormat=P","Fill=—","Direction=H","UseDPDF=Y")</f>
        <v>-2.5543</v>
      </c>
      <c r="I52" s="17">
        <f>_xll.BDH("INDIGO IN Equity","OPER_MARGIN","FQ2 2019","FQ2 2019","Currency=INR","Period=FQ","BEST_FPERIOD_OVERRIDE=FQ","FILING_STATUS=MR","EQY_CONSOLIDATED=N","FA_ADJUSTED=GAAP","Sort=A","Dates=H","DateFormat=P","Fill=—","Direction=H","UseDPDF=Y")</f>
        <v>-13.7675</v>
      </c>
      <c r="J52" s="17">
        <f>_xll.BDH("INDIGO IN Equity","OPER_MARGIN","FQ3 2019","FQ3 2019","Currency=INR","Period=FQ","BEST_FPERIOD_OVERRIDE=FQ","FILING_STATUS=MR","EQY_CONSOLIDATED=N","FA_ADJUSTED=GAAP","Sort=A","Dates=H","DateFormat=P","Fill=—","Direction=H","UseDPDF=Y")</f>
        <v>-1.1124000000000001</v>
      </c>
      <c r="K52" s="17">
        <f>_xll.BDH("INDIGO IN Equity","OPER_MARGIN","FQ4 2019","FQ4 2019","Currency=INR","Period=FQ","BEST_FPERIOD_OVERRIDE=FQ","FILING_STATUS=MR","EQY_CONSOLIDATED=N","FA_ADJUSTED=GAAP","Sort=A","Dates=H","DateFormat=P","Fill=—","Direction=H","UseDPDF=Y")</f>
        <v>4.5960999999999999</v>
      </c>
      <c r="L52" s="17">
        <f>_xll.BDH("INDIGO IN Equity","OPER_MARGIN","FQ1 2020","FQ1 2020","Currency=INR","Period=FQ","BEST_FPERIOD_OVERRIDE=FQ","FILING_STATUS=MR","EQY_CONSOLIDATED=N","FA_ADJUSTED=GAAP","Sort=A","Dates=H","DateFormat=P","Fill=—","Direction=H","UseDPDF=Y")</f>
        <v>16.7502</v>
      </c>
      <c r="M52" s="17">
        <f>_xll.BDH("INDIGO IN Equity","OPER_MARGIN","FQ2 2020","FQ2 2020","Currency=INR","Period=FQ","BEST_FPERIOD_OVERRIDE=FQ","FILING_STATUS=MR","EQY_CONSOLIDATED=N","FA_ADJUSTED=GAAP","Sort=A","Dates=H","DateFormat=P","Fill=—","Direction=H","UseDPDF=Y")</f>
        <v>-7.3653000000000004</v>
      </c>
      <c r="N52" s="17">
        <f>_xll.BDH("INDIGO IN Equity","OPER_MARGIN","FQ3 2020","FQ3 2020","Currency=INR","Period=FQ","BEST_FPERIOD_OVERRIDE=FQ","FILING_STATUS=MR","EQY_CONSOLIDATED=N","FA_ADJUSTED=GAAP","Sort=A","Dates=H","DateFormat=P","Fill=—","Direction=H","UseDPDF=Y")</f>
        <v>7.6242000000000001</v>
      </c>
      <c r="O52" s="17">
        <f>_xll.BDH("INDIGO IN Equity","OPER_MARGIN","FQ4 2020","FQ4 2020","Currency=INR","Period=FQ","BEST_FPERIOD_OVERRIDE=FQ","FILING_STATUS=MR","EQY_CONSOLIDATED=N","FA_ADJUSTED=GAAP","Sort=A","Dates=H","DateFormat=P","Fill=—","Direction=H","UseDPDF=Y")</f>
        <v>-1.5348999999999999</v>
      </c>
      <c r="P52" s="17">
        <f>_xll.BDH("INDIGO IN Equity","OPER_MARGIN","FQ1 2021","FQ1 2021","Currency=INR","Period=FQ","BEST_FPERIOD_OVERRIDE=FQ","FILING_STATUS=MR","EQY_CONSOLIDATED=N","FA_ADJUSTED=GAAP","Sort=A","Dates=H","DateFormat=P","Fill=—","Direction=H","UseDPDF=Y")</f>
        <v>-344.38330000000002</v>
      </c>
      <c r="Q52" s="17">
        <f>_xll.BDH("INDIGO IN Equity","OPER_MARGIN","FQ2 2021","FQ2 2021","Currency=INR","Period=FQ","BEST_FPERIOD_OVERRIDE=FQ","FILING_STATUS=MR","EQY_CONSOLIDATED=N","FA_ADJUSTED=GAAP","Sort=A","Dates=H","DateFormat=P","Fill=—","Direction=H","UseDPDF=Y")</f>
        <v>-52.308999999999997</v>
      </c>
      <c r="R52" s="17">
        <f>_xll.BDH("INDIGO IN Equity","OPER_MARGIN","FQ3 2021","FQ3 2021","Currency=INR","Period=FQ","BEST_FPERIOD_OVERRIDE=FQ","FILING_STATUS=MR","EQY_CONSOLIDATED=N","FA_ADJUSTED=GAAP","Sort=A","Dates=H","DateFormat=P","Fill=—","Direction=H","UseDPDF=Y")</f>
        <v>-10.5898</v>
      </c>
      <c r="S52" s="17">
        <f>_xll.BDH("INDIGO IN Equity","OPER_MARGIN","FQ4 2021","FQ4 2021","Currency=INR","Period=FQ","BEST_FPERIOD_OVERRIDE=FQ","FILING_STATUS=MR","EQY_CONSOLIDATED=N","FA_ADJUSTED=GAAP","Sort=A","Dates=H","DateFormat=P","Fill=—","Direction=H","UseDPDF=Y")</f>
        <v>-10.492100000000001</v>
      </c>
      <c r="T52" s="17">
        <f>_xll.BDH("INDIGO IN Equity","OPER_MARGIN","FQ1 2022","FQ1 2022","Currency=INR","Period=FQ","BEST_FPERIOD_OVERRIDE=FQ","FILING_STATUS=MR","EQY_CONSOLIDATED=N","FA_ADJUSTED=GAAP","Sort=A","Dates=H","DateFormat=P","Fill=—","Direction=H","UseDPDF=Y")</f>
        <v>-80.468699999999998</v>
      </c>
      <c r="U52" s="17">
        <f>_xll.BDH("INDIGO IN Equity","OPER_MARGIN","FQ2 2022","FQ2 2022","Currency=INR","Period=FQ","BEST_FPERIOD_OVERRIDE=FQ","FILING_STATUS=MR","EQY_CONSOLIDATED=N","FA_ADJUSTED=GAAP","Sort=A","Dates=H","DateFormat=P","Fill=—","Direction=H","UseDPDF=Y")</f>
        <v>-19.535799999999998</v>
      </c>
      <c r="V52" s="17">
        <f>_xll.BDH("INDIGO IN Equity","OPER_MARGIN","FQ3 2022","FQ3 2022","Currency=INR","Period=FQ","BEST_FPERIOD_OVERRIDE=FQ","FILING_STATUS=MR","EQY_CONSOLIDATED=N","FA_ADJUSTED=GAAP","Sort=A","Dates=H","DateFormat=P","Fill=—","Direction=H","UseDPDF=Y")</f>
        <v>5.8076999999999996</v>
      </c>
      <c r="W52" s="17">
        <f>_xll.BDH("INDIGO IN Equity","OPER_MARGIN","FQ4 2022","FQ4 2022","Currency=INR","Period=FQ","BEST_FPERIOD_OVERRIDE=FQ","FILING_STATUS=MR","EQY_CONSOLIDATED=N","FA_ADJUSTED=GAAP","Sort=A","Dates=H","DateFormat=P","Fill=—","Direction=H","UseDPDF=Y")</f>
        <v>-7.7454000000000001</v>
      </c>
      <c r="X52" s="17">
        <f>_xll.BDH("INDIGO IN Equity","OPER_MARGIN","FQ1 2023","FQ1 2023","Currency=INR","Period=FQ","BEST_FPERIOD_OVERRIDE=FQ","FILING_STATUS=MR","EQY_CONSOLIDATED=N","FA_ADJUSTED=GAAP","Sort=A","Dates=H","DateFormat=P","Fill=—","Direction=H","UseDPDF=Y")</f>
        <v>6.6308999999999996</v>
      </c>
      <c r="Y52" s="17">
        <f>_xll.BDH("INDIGO IN Equity","OPER_MARGIN","FQ2 2023","FQ2 2023","Currency=INR","Period=FQ","BEST_FPERIOD_OVERRIDE=FQ","FILING_STATUS=MR","EQY_CONSOLIDATED=N","FA_ADJUSTED=GAAP","Sort=A","Dates=H","DateFormat=P","Fill=—","Direction=H","UseDPDF=Y")</f>
        <v>-8.2900000000000001E-2</v>
      </c>
      <c r="Z52" s="17">
        <f>_xll.BDH("INDIGO IN Equity","OPER_MARGIN","FQ3 2023","FQ3 2023","Currency=INR","Period=FQ","BEST_FPERIOD_OVERRIDE=FQ","FILING_STATUS=MR","EQY_CONSOLIDATED=N","FA_ADJUSTED=GAAP","Sort=A","Dates=H","DateFormat=P","Fill=—","Direction=H","UseDPDF=Y")</f>
        <v>15.7921</v>
      </c>
      <c r="AA52" s="17">
        <f>_xll.BDH("INDIGO IN Equity","OPER_MARGIN","FQ4 2023","FQ4 2023","Currency=INR","Period=FQ","BEST_FPERIOD_OVERRIDE=FQ","FILING_STATUS=MR","EQY_CONSOLIDATED=N","FA_ADJUSTED=GAAP","Sort=A","Dates=H","DateFormat=P","Fill=—","Direction=H","UseDPDF=Y")</f>
        <v>8.0721000000000007</v>
      </c>
      <c r="AB52" s="17">
        <f>_xll.BDH("INDIGO IN Equity","OPER_MARGIN","FQ1 2024","FQ1 2024","Currency=INR","Period=FQ","BEST_FPERIOD_OVERRIDE=FQ","FILING_STATUS=MR","EQY_CONSOLIDATED=N","FA_ADJUSTED=GAAP","Sort=A","Dates=H","DateFormat=P","Fill=—","Direction=H","UseDPDF=Y")</f>
        <v>20.664300000000001</v>
      </c>
      <c r="AC52" s="17">
        <f>_xll.BDH("INDIGO IN Equity","OPER_MARGIN","FQ2 2024","FQ2 2024","Currency=INR","Period=FQ","BEST_FPERIOD_OVERRIDE=FQ","FILING_STATUS=MR","EQY_CONSOLIDATED=N","FA_ADJUSTED=GAAP","Sort=A","Dates=H","DateFormat=P","Fill=—","Direction=H","UseDPDF=Y")</f>
        <v>8.4849999999999994</v>
      </c>
      <c r="AD52" s="17">
        <f>_xll.BDH("INDIGO IN Equity","OPER_MARGIN","FQ3 2024","FQ3 2024","Currency=INR","Period=FQ","BEST_FPERIOD_OVERRIDE=FQ","FILING_STATUS=MR","EQY_CONSOLIDATED=N","FA_ADJUSTED=GAAP","Sort=A","Dates=H","DateFormat=P","Fill=—","Direction=H","UseDPDF=Y")</f>
        <v>18.1721</v>
      </c>
      <c r="AE52" s="17">
        <f>_xll.BDH("INDIGO IN Equity","OPER_MARGIN","FQ4 2024","FQ4 2024","Currency=INR","Period=FQ","BEST_FPERIOD_OVERRIDE=FQ","FILING_STATUS=MR","EQY_CONSOLIDATED=N","FA_ADJUSTED=GAAP","Sort=A","Dates=H","DateFormat=P","Fill=—","Direction=H","UseDPDF=Y")</f>
        <v>13.2066</v>
      </c>
      <c r="AF52" s="17">
        <f>_xll.BDH("INDIGO IN Equity","OPER_MARGIN","FQ1 2025","FQ1 2025","Currency=INR","Period=FQ","BEST_FPERIOD_OVERRIDE=FQ","FILING_STATUS=MR","EQY_CONSOLIDATED=N","FA_ADJUSTED=GAAP","Sort=A","Dates=H","DateFormat=P","Fill=—","Direction=H","UseDPDF=Y")</f>
        <v>17.051500000000001</v>
      </c>
      <c r="AG52" s="17">
        <f>_xll.BDH("INDIGO IN Equity","OPER_MARGIN","FQ2 2025","FQ2 2025","Currency=INR","Period=FQ","BEST_FPERIOD_OVERRIDE=FQ","FILING_STATUS=MR","EQY_CONSOLIDATED=N","FA_ADJUSTED=GAAP","Sort=A","Dates=H","DateFormat=P","Fill=—","Direction=H","UseDPDF=Y")</f>
        <v>-1.2917000000000001</v>
      </c>
      <c r="AH52" s="17">
        <f>_xll.BDH("INDIGO IN Equity","OPER_MARGIN","FQ3 2025","FQ3 2025","Currency=INR","Period=FQ","BEST_FPERIOD_OVERRIDE=FQ","FILING_STATUS=MR","EQY_CONSOLIDATED=N","FA_ADJUSTED=GAAP","Sort=A","Dates=H","DateFormat=P","Fill=—","Direction=H","UseDPDF=Y")</f>
        <v>19.913</v>
      </c>
      <c r="AI52" s="17">
        <f>_xll.BDH("INDIGO IN Equity","OPER_MARGIN","FQ4 2025","FQ4 2025","Currency=INR","Period=FQ","BEST_FPERIOD_OVERRIDE=FQ","FILING_STATUS=MR","EQY_CONSOLIDATED=N","FA_ADJUSTED=GAAP","Sort=A","Dates=H","DateFormat=P","Fill=—","Direction=H","UseDPDF=Y")</f>
        <v>15.6541</v>
      </c>
      <c r="AJ52" s="17">
        <f>_xll.BDH("INDIGO IN Equity","OPER_MARGIN","FQ1 2026","FQ1 2026","Currency=INR","Period=FQ","BEST_FPERIOD_OVERRIDE=FQ","FILING_STATUS=MR","EQY_CONSOLIDATED=N","FA_ADJUSTED=GAAP","Sort=A","Dates=H","DateFormat=P","Fill=—","Direction=H","UseDPDF=Y")</f>
        <v>13.656599999999999</v>
      </c>
      <c r="AK52" s="17">
        <f>_xll.BDH("INDIGO IN Equity","OPER_MARGIN","FQ2 2026","FQ2 2026","Currency=INR","Period=FQ","BEST_FPERIOD_OVERRIDE=FQ","FILING_STATUS=MR","EQY_CONSOLIDATED=N","FA_ADJUSTED=GAAP","Sort=A","Dates=H","DateFormat=P","Fill=—","Direction=H","UseDPDF=Y")</f>
        <v>4.4241000000000001</v>
      </c>
      <c r="AL52" s="17">
        <f>_xll.BDH("INDIGO IN Equity","OPER_MARGIN","FQ3 2026","FQ3 2026","Currency=INR","Period=FQ","BEST_FPERIOD_OVERRIDE=FQ","FILING_STATUS=MR","EQY_CONSOLIDATED=N","FA_ADJUSTED=GAAP","Sort=A","Dates=H","DateFormat=P","Fill=—","Direction=H","UseDPDF=Y")</f>
        <v>15.7699</v>
      </c>
      <c r="AM52" s="17">
        <f>_xll.BDH("INDIGO IN Equity","OPER_MARGIN","FQ4 2026","FQ4 2026","Currency=INR","Period=FQ","BEST_FPERIOD_OVERRIDE=FQ","FILING_STATUS=MR","EQY_CONSOLIDATED=N","FA_ADJUSTED=GAAP","Sort=A","Dates=H","DateFormat=P","Fill=—","Direction=H","UseDPDF=Y")</f>
        <v>12.5762</v>
      </c>
      <c r="AN52" s="17">
        <f>_xll.BDH("INDIGO IN Equity","OPER_MARGIN","FQ1 2027","FQ1 2027","Currency=INR","Period=FQ","BEST_FPERIOD_OVERRIDE=FQ","FILING_STATUS=MR","EQY_CONSOLIDATED=N","FA_ADJUSTED=GAAP","Sort=A","Dates=H","DateFormat=P","Fill=—","Direction=H","UseDPDF=Y")</f>
        <v>1.3769</v>
      </c>
      <c r="AO52" s="17">
        <v>-0.66653427886669503</v>
      </c>
      <c r="AP52" s="17">
        <v>10.2334383562435</v>
      </c>
    </row>
    <row r="53" spans="1:42" x14ac:dyDescent="0.25">
      <c r="A53" s="12" t="s">
        <v>182</v>
      </c>
      <c r="B53" s="12" t="s">
        <v>183</v>
      </c>
      <c r="C53" s="17">
        <f>_xll.BDH("INDIGO IN Equity","PROF_MARGIN","FQ4 2017","FQ4 2017","Currency=INR","Period=FQ","BEST_FPERIOD_OVERRIDE=FQ","FILING_STATUS=MR","EQY_CONSOLIDATED=N","FA_ADJUSTED=GAAP","Sort=A","Dates=H","DateFormat=P","Fill=—","Direction=H","UseDPDF=Y")</f>
        <v>9.0818999999999992</v>
      </c>
      <c r="D53" s="17">
        <f>_xll.BDH("INDIGO IN Equity","PROF_MARGIN","FQ1 2018","FQ1 2018","Currency=INR","Period=FQ","BEST_FPERIOD_OVERRIDE=FQ","FILING_STATUS=MR","EQY_CONSOLIDATED=N","FA_ADJUSTED=GAAP","Sort=A","Dates=H","DateFormat=P","Fill=—","Direction=H","UseDPDF=Y")</f>
        <v>14.0997</v>
      </c>
      <c r="E53" s="17">
        <f>_xll.BDH("INDIGO IN Equity","PROF_MARGIN","FQ2 2018","FQ2 2018","Currency=INR","Period=FQ","BEST_FPERIOD_OVERRIDE=FQ","FILING_STATUS=MR","EQY_CONSOLIDATED=N","FA_ADJUSTED=GAAP","Sort=A","Dates=H","DateFormat=P","Fill=—","Direction=H","UseDPDF=Y")</f>
        <v>10.4245</v>
      </c>
      <c r="F53" s="17">
        <f>_xll.BDH("INDIGO IN Equity","PROF_MARGIN","FQ3 2018","FQ3 2018","Currency=INR","Period=FQ","BEST_FPERIOD_OVERRIDE=FQ","FILING_STATUS=MR","EQY_CONSOLIDATED=N","FA_ADJUSTED=GAAP","Sort=A","Dates=H","DateFormat=P","Fill=—","Direction=H","UseDPDF=Y")</f>
        <v>12.3348</v>
      </c>
      <c r="G53" s="17">
        <f>_xll.BDH("INDIGO IN Equity","PROF_MARGIN","FQ4 2018","FQ4 2018","Currency=INR","Period=FQ","BEST_FPERIOD_OVERRIDE=FQ","FILING_STATUS=MR","EQY_CONSOLIDATED=N","FA_ADJUSTED=GAAP","Sort=A","Dates=H","DateFormat=P","Fill=—","Direction=H","UseDPDF=Y")</f>
        <v>2.0286</v>
      </c>
      <c r="H53" s="17">
        <f>_xll.BDH("INDIGO IN Equity","PROF_MARGIN","FQ1 2019","FQ1 2019","Currency=INR","Period=FQ","BEST_FPERIOD_OVERRIDE=FQ","FILING_STATUS=MR","EQY_CONSOLIDATED=N","FA_ADJUSTED=GAAP","Sort=A","Dates=H","DateFormat=P","Fill=—","Direction=H","UseDPDF=Y")</f>
        <v>0.42680000000000001</v>
      </c>
      <c r="I53" s="17">
        <f>_xll.BDH("INDIGO IN Equity","PROF_MARGIN","FQ2 2019","FQ2 2019","Currency=INR","Period=FQ","BEST_FPERIOD_OVERRIDE=FQ","FILING_STATUS=MR","EQY_CONSOLIDATED=N","FA_ADJUSTED=GAAP","Sort=A","Dates=H","DateFormat=P","Fill=—","Direction=H","UseDPDF=Y")</f>
        <v>-10.543200000000001</v>
      </c>
      <c r="J53" s="17">
        <f>_xll.BDH("INDIGO IN Equity","PROF_MARGIN","FQ3 2019","FQ3 2019","Currency=INR","Period=FQ","BEST_FPERIOD_OVERRIDE=FQ","FILING_STATUS=MR","EQY_CONSOLIDATED=N","FA_ADJUSTED=GAAP","Sort=A","Dates=H","DateFormat=P","Fill=—","Direction=H","UseDPDF=Y")</f>
        <v>2.4114</v>
      </c>
      <c r="K53" s="17">
        <f>_xll.BDH("INDIGO IN Equity","PROF_MARGIN","FQ4 2019","FQ4 2019","Currency=INR","Period=FQ","BEST_FPERIOD_OVERRIDE=FQ","FILING_STATUS=MR","EQY_CONSOLIDATED=N","FA_ADJUSTED=GAAP","Sort=A","Dates=H","DateFormat=P","Fill=—","Direction=H","UseDPDF=Y")</f>
        <v>7.4790000000000001</v>
      </c>
      <c r="L53" s="17">
        <f>_xll.BDH("INDIGO IN Equity","PROF_MARGIN","FQ1 2020","FQ1 2020","Currency=INR","Period=FQ","BEST_FPERIOD_OVERRIDE=FQ","FILING_STATUS=MR","EQY_CONSOLIDATED=N","FA_ADJUSTED=GAAP","Sort=A","Dates=H","DateFormat=P","Fill=—","Direction=H","UseDPDF=Y")</f>
        <v>12.7437</v>
      </c>
      <c r="M53" s="17">
        <f>_xll.BDH("INDIGO IN Equity","PROF_MARGIN","FQ2 2020","FQ2 2020","Currency=INR","Period=FQ","BEST_FPERIOD_OVERRIDE=FQ","FILING_STATUS=MR","EQY_CONSOLIDATED=N","FA_ADJUSTED=GAAP","Sort=A","Dates=H","DateFormat=P","Fill=—","Direction=H","UseDPDF=Y")</f>
        <v>-13.1473</v>
      </c>
      <c r="N53" s="17">
        <f>_xll.BDH("INDIGO IN Equity","PROF_MARGIN","FQ3 2020","FQ3 2020","Currency=INR","Period=FQ","BEST_FPERIOD_OVERRIDE=FQ","FILING_STATUS=MR","EQY_CONSOLIDATED=N","FA_ADJUSTED=GAAP","Sort=A","Dates=H","DateFormat=P","Fill=—","Direction=H","UseDPDF=Y")</f>
        <v>4.9382000000000001</v>
      </c>
      <c r="O53" s="17">
        <f>_xll.BDH("INDIGO IN Equity","PROF_MARGIN","FQ4 2020","FQ4 2020","Currency=INR","Period=FQ","BEST_FPERIOD_OVERRIDE=FQ","FILING_STATUS=MR","EQY_CONSOLIDATED=N","FA_ADJUSTED=GAAP","Sort=A","Dates=H","DateFormat=P","Fill=—","Direction=H","UseDPDF=Y")</f>
        <v>-10.524900000000001</v>
      </c>
      <c r="P53" s="17">
        <f>_xll.BDH("INDIGO IN Equity","PROF_MARGIN","FQ1 2021","FQ1 2021","Currency=INR","Period=FQ","BEST_FPERIOD_OVERRIDE=FQ","FILING_STATUS=MR","EQY_CONSOLIDATED=N","FA_ADJUSTED=GAAP","Sort=A","Dates=H","DateFormat=P","Fill=—","Direction=H","UseDPDF=Y")</f>
        <v>-371.62520000000001</v>
      </c>
      <c r="Q53" s="17">
        <f>_xll.BDH("INDIGO IN Equity","PROF_MARGIN","FQ2 2021","FQ2 2021","Currency=INR","Period=FQ","BEST_FPERIOD_OVERRIDE=FQ","FILING_STATUS=MR","EQY_CONSOLIDATED=N","FA_ADJUSTED=GAAP","Sort=A","Dates=H","DateFormat=P","Fill=—","Direction=H","UseDPDF=Y")</f>
        <v>-43.589399999999998</v>
      </c>
      <c r="R53" s="17">
        <f>_xll.BDH("INDIGO IN Equity","PROF_MARGIN","FQ3 2021","FQ3 2021","Currency=INR","Period=FQ","BEST_FPERIOD_OVERRIDE=FQ","FILING_STATUS=MR","EQY_CONSOLIDATED=N","FA_ADJUSTED=GAAP","Sort=A","Dates=H","DateFormat=P","Fill=—","Direction=H","UseDPDF=Y")</f>
        <v>-12.7614</v>
      </c>
      <c r="S53" s="17">
        <f>_xll.BDH("INDIGO IN Equity","PROF_MARGIN","FQ4 2021","FQ4 2021","Currency=INR","Period=FQ","BEST_FPERIOD_OVERRIDE=FQ","FILING_STATUS=MR","EQY_CONSOLIDATED=N","FA_ADJUSTED=GAAP","Sort=A","Dates=H","DateFormat=P","Fill=—","Direction=H","UseDPDF=Y")</f>
        <v>-18.625399999999999</v>
      </c>
      <c r="T53" s="17">
        <f>_xll.BDH("INDIGO IN Equity","PROF_MARGIN","FQ1 2022","FQ1 2022","Currency=INR","Period=FQ","BEST_FPERIOD_OVERRIDE=FQ","FILING_STATUS=MR","EQY_CONSOLIDATED=N","FA_ADJUSTED=GAAP","Sort=A","Dates=H","DateFormat=P","Fill=—","Direction=H","UseDPDF=Y")</f>
        <v>-105.7319</v>
      </c>
      <c r="U53" s="17">
        <f>_xll.BDH("INDIGO IN Equity","PROF_MARGIN","FQ2 2022","FQ2 2022","Currency=INR","Period=FQ","BEST_FPERIOD_OVERRIDE=FQ","FILING_STATUS=MR","EQY_CONSOLIDATED=N","FA_ADJUSTED=GAAP","Sort=A","Dates=H","DateFormat=P","Fill=—","Direction=H","UseDPDF=Y")</f>
        <v>-25.6828</v>
      </c>
      <c r="V53" s="17">
        <f>_xll.BDH("INDIGO IN Equity","PROF_MARGIN","FQ3 2022","FQ3 2022","Currency=INR","Period=FQ","BEST_FPERIOD_OVERRIDE=FQ","FILING_STATUS=MR","EQY_CONSOLIDATED=N","FA_ADJUSTED=GAAP","Sort=A","Dates=H","DateFormat=P","Fill=—","Direction=H","UseDPDF=Y")</f>
        <v>1.3819999999999999</v>
      </c>
      <c r="W53" s="17">
        <f>_xll.BDH("INDIGO IN Equity","PROF_MARGIN","FQ4 2022","FQ4 2022","Currency=INR","Period=FQ","BEST_FPERIOD_OVERRIDE=FQ","FILING_STATUS=MR","EQY_CONSOLIDATED=N","FA_ADJUSTED=GAAP","Sort=A","Dates=H","DateFormat=P","Fill=—","Direction=H","UseDPDF=Y")</f>
        <v>-20.943100000000001</v>
      </c>
      <c r="X53" s="17">
        <f>_xll.BDH("INDIGO IN Equity","PROF_MARGIN","FQ1 2023","FQ1 2023","Currency=INR","Period=FQ","BEST_FPERIOD_OVERRIDE=FQ","FILING_STATUS=MR","EQY_CONSOLIDATED=N","FA_ADJUSTED=GAAP","Sort=A","Dates=H","DateFormat=P","Fill=—","Direction=H","UseDPDF=Y")</f>
        <v>-8.2878000000000007</v>
      </c>
      <c r="Y53" s="17">
        <f>_xll.BDH("INDIGO IN Equity","PROF_MARGIN","FQ2 2023","FQ2 2023","Currency=INR","Period=FQ","BEST_FPERIOD_OVERRIDE=FQ","FILING_STATUS=MR","EQY_CONSOLIDATED=N","FA_ADJUSTED=GAAP","Sort=A","Dates=H","DateFormat=P","Fill=—","Direction=H","UseDPDF=Y")</f>
        <v>-12.686299999999999</v>
      </c>
      <c r="Z53" s="17">
        <f>_xll.BDH("INDIGO IN Equity","PROF_MARGIN","FQ3 2023","FQ3 2023","Currency=INR","Period=FQ","BEST_FPERIOD_OVERRIDE=FQ","FILING_STATUS=MR","EQY_CONSOLIDATED=N","FA_ADJUSTED=GAAP","Sort=A","Dates=H","DateFormat=P","Fill=—","Direction=H","UseDPDF=Y")</f>
        <v>9.4969000000000001</v>
      </c>
      <c r="AA53" s="17">
        <f>_xll.BDH("INDIGO IN Equity","PROF_MARGIN","FQ4 2023","FQ4 2023","Currency=INR","Period=FQ","BEST_FPERIOD_OVERRIDE=FQ","FILING_STATUS=MR","EQY_CONSOLIDATED=N","FA_ADJUSTED=GAAP","Sort=A","Dates=H","DateFormat=P","Fill=—","Direction=H","UseDPDF=Y")</f>
        <v>6.4687999999999999</v>
      </c>
      <c r="AB53" s="17">
        <f>_xll.BDH("INDIGO IN Equity","PROF_MARGIN","FQ1 2024","FQ1 2024","Currency=INR","Period=FQ","BEST_FPERIOD_OVERRIDE=FQ","FILING_STATUS=MR","EQY_CONSOLIDATED=N","FA_ADJUSTED=GAAP","Sort=A","Dates=H","DateFormat=P","Fill=—","Direction=H","UseDPDF=Y")</f>
        <v>18.505299999999998</v>
      </c>
      <c r="AC53" s="17">
        <f>_xll.BDH("INDIGO IN Equity","PROF_MARGIN","FQ2 2024","FQ2 2024","Currency=INR","Period=FQ","BEST_FPERIOD_OVERRIDE=FQ","FILING_STATUS=MR","EQY_CONSOLIDATED=N","FA_ADJUSTED=GAAP","Sort=A","Dates=H","DateFormat=P","Fill=—","Direction=H","UseDPDF=Y")</f>
        <v>1.2571000000000001</v>
      </c>
      <c r="AD53" s="17">
        <f>_xll.BDH("INDIGO IN Equity","PROF_MARGIN","FQ3 2024","FQ3 2024","Currency=INR","Period=FQ","BEST_FPERIOD_OVERRIDE=FQ","FILING_STATUS=MR","EQY_CONSOLIDATED=N","FA_ADJUSTED=GAAP","Sort=A","Dates=H","DateFormat=P","Fill=—","Direction=H","UseDPDF=Y")</f>
        <v>15.4147</v>
      </c>
      <c r="AE53" s="17">
        <f>_xll.BDH("INDIGO IN Equity","PROF_MARGIN","FQ4 2024","FQ4 2024","Currency=INR","Period=FQ","BEST_FPERIOD_OVERRIDE=FQ","FILING_STATUS=MR","EQY_CONSOLIDATED=N","FA_ADJUSTED=GAAP","Sort=A","Dates=H","DateFormat=P","Fill=—","Direction=H","UseDPDF=Y")</f>
        <v>10.624700000000001</v>
      </c>
      <c r="AF53" s="17">
        <f>_xll.BDH("INDIGO IN Equity","PROF_MARGIN","FQ1 2025","FQ1 2025","Currency=INR","Period=FQ","BEST_FPERIOD_OVERRIDE=FQ","FILING_STATUS=MR","EQY_CONSOLIDATED=N","FA_ADJUSTED=GAAP","Sort=A","Dates=H","DateFormat=P","Fill=—","Direction=H","UseDPDF=Y")</f>
        <v>13.932600000000001</v>
      </c>
      <c r="AG53" s="17">
        <f>_xll.BDH("INDIGO IN Equity","PROF_MARGIN","FQ2 2025","FQ2 2025","Currency=INR","Period=FQ","BEST_FPERIOD_OVERRIDE=FQ","FILING_STATUS=MR","EQY_CONSOLIDATED=N","FA_ADJUSTED=GAAP","Sort=A","Dates=H","DateFormat=P","Fill=—","Direction=H","UseDPDF=Y")</f>
        <v>-5.8269000000000002</v>
      </c>
      <c r="AH53" s="17">
        <f>_xll.BDH("INDIGO IN Equity","PROF_MARGIN","FQ3 2025","FQ3 2025","Currency=INR","Period=FQ","BEST_FPERIOD_OVERRIDE=FQ","FILING_STATUS=MR","EQY_CONSOLIDATED=N","FA_ADJUSTED=GAAP","Sort=A","Dates=H","DateFormat=P","Fill=—","Direction=H","UseDPDF=Y")</f>
        <v>11.0444</v>
      </c>
      <c r="AI53" s="17">
        <f>_xll.BDH("INDIGO IN Equity","PROF_MARGIN","FQ4 2025","FQ4 2025","Currency=INR","Period=FQ","BEST_FPERIOD_OVERRIDE=FQ","FILING_STATUS=MR","EQY_CONSOLIDATED=N","FA_ADJUSTED=GAAP","Sort=A","Dates=H","DateFormat=P","Fill=—","Direction=H","UseDPDF=Y")</f>
        <v>13.8741</v>
      </c>
      <c r="AJ53" s="17">
        <f>_xll.BDH("INDIGO IN Equity","PROF_MARGIN","FQ1 2026","FQ1 2026","Currency=INR","Period=FQ","BEST_FPERIOD_OVERRIDE=FQ","FILING_STATUS=MR","EQY_CONSOLIDATED=N","FA_ADJUSTED=GAAP","Sort=A","Dates=H","DateFormat=P","Fill=—","Direction=H","UseDPDF=Y")</f>
        <v>10.543900000000001</v>
      </c>
      <c r="AK53" s="17">
        <f>_xll.BDH("INDIGO IN Equity","PROF_MARGIN","FQ2 2026","FQ2 2026","Currency=INR","Period=FQ","BEST_FPERIOD_OVERRIDE=FQ","FILING_STATUS=MR","EQY_CONSOLIDATED=N","FA_ADJUSTED=GAAP","Sort=A","Dates=H","DateFormat=P","Fill=—","Direction=H","UseDPDF=Y")</f>
        <v>-14.088200000000001</v>
      </c>
      <c r="AL53" s="17">
        <f>_xll.BDH("INDIGO IN Equity","PROF_MARGIN","FQ3 2026","FQ3 2026","Currency=INR","Period=FQ","BEST_FPERIOD_OVERRIDE=FQ","FILING_STATUS=MR","EQY_CONSOLIDATED=N","FA_ADJUSTED=GAAP","Sort=A","Dates=H","DateFormat=P","Fill=—","Direction=H","UseDPDF=Y")</f>
        <v>2.6099000000000001</v>
      </c>
      <c r="AM53" s="17">
        <f>_xll.BDH("INDIGO IN Equity","PROF_MARGIN","FQ4 2026","FQ4 2026","Currency=INR","Period=FQ","BEST_FPERIOD_OVERRIDE=FQ","FILING_STATUS=MR","EQY_CONSOLIDATED=N","FA_ADJUSTED=GAAP","Sort=A","Dates=H","DateFormat=P","Fill=—","Direction=H","UseDPDF=Y")</f>
        <v>-11.864000000000001</v>
      </c>
      <c r="AN53" s="17">
        <f>_xll.BDH("INDIGO IN Equity","PROF_MARGIN","FQ1 2027","FQ1 2027","Currency=INR","Period=FQ","BEST_FPERIOD_OVERRIDE=FQ","FILING_STATUS=MR","EQY_CONSOLIDATED=N","FA_ADJUSTED=GAAP","Sort=A","Dates=H","DateFormat=P","Fill=—","Direction=H","UseDPDF=Y")</f>
        <v>-1.5518000000000001</v>
      </c>
      <c r="AO53" s="17">
        <v>-11.103682076716</v>
      </c>
      <c r="AP53" s="17">
        <v>3.7923248002718402</v>
      </c>
    </row>
    <row r="54" spans="1:42" x14ac:dyDescent="0.25">
      <c r="A54" s="12" t="s">
        <v>184</v>
      </c>
      <c r="B54" s="12" t="s">
        <v>185</v>
      </c>
      <c r="C54" s="17">
        <f>_xll.BDH("INDIGO IN Equity","ACTUAL_SALES_PER_EMPL","FQ4 2017","FQ4 2017","Currency=INR","Period=FQ","BEST_FPERIOD_OVERRIDE=FQ","FILING_STATUS=MR","EQY_CONSOLIDATED=N","FA_ADJUSTED=GAAP","Sort=A","Dates=H","DateFormat=P","Fill=—","Direction=H","UseDPDF=Y")</f>
        <v>3319788.4141000002</v>
      </c>
      <c r="D54" s="17" t="str">
        <f>_xll.BDH("INDIGO IN Equity","ACTUAL_SALES_PER_EMPL","FQ1 2018","FQ1 2018","Currency=INR","Period=FQ","BEST_FPERIOD_OVERRIDE=FQ","FILING_STATUS=MR","EQY_CONSOLIDATED=N","FA_ADJUSTED=GAAP","Sort=A","Dates=H","DateFormat=P","Fill=—","Direction=H","UseDPDF=Y")</f>
        <v>—</v>
      </c>
      <c r="E54" s="17" t="str">
        <f>_xll.BDH("INDIGO IN Equity","ACTUAL_SALES_PER_EMPL","FQ2 2018","FQ2 2018","Currency=INR","Period=FQ","BEST_FPERIOD_OVERRIDE=FQ","FILING_STATUS=MR","EQY_CONSOLIDATED=N","FA_ADJUSTED=GAAP","Sort=A","Dates=H","DateFormat=P","Fill=—","Direction=H","UseDPDF=Y")</f>
        <v>—</v>
      </c>
      <c r="F54" s="17" t="str">
        <f>_xll.BDH("INDIGO IN Equity","ACTUAL_SALES_PER_EMPL","FQ3 2018","FQ3 2018","Currency=INR","Period=FQ","BEST_FPERIOD_OVERRIDE=FQ","FILING_STATUS=MR","EQY_CONSOLIDATED=N","FA_ADJUSTED=GAAP","Sort=A","Dates=H","DateFormat=P","Fill=—","Direction=H","UseDPDF=Y")</f>
        <v>—</v>
      </c>
      <c r="G54" s="17">
        <f>_xll.BDH("INDIGO IN Equity","ACTUAL_SALES_PER_EMPL","FQ4 2018","FQ4 2018","Currency=INR","Period=FQ","BEST_FPERIOD_OVERRIDE=FQ","FILING_STATUS=MR","EQY_CONSOLIDATED=N","FA_ADJUSTED=GAAP","Sort=A","Dates=H","DateFormat=P","Fill=—","Direction=H","UseDPDF=Y")</f>
        <v>3211026.0244</v>
      </c>
      <c r="H54" s="17" t="str">
        <f>_xll.BDH("INDIGO IN Equity","ACTUAL_SALES_PER_EMPL","FQ1 2019","FQ1 2019","Currency=INR","Period=FQ","BEST_FPERIOD_OVERRIDE=FQ","FILING_STATUS=MR","EQY_CONSOLIDATED=N","FA_ADJUSTED=GAAP","Sort=A","Dates=H","DateFormat=P","Fill=—","Direction=H","UseDPDF=Y")</f>
        <v>—</v>
      </c>
      <c r="I54" s="17" t="str">
        <f>_xll.BDH("INDIGO IN Equity","ACTUAL_SALES_PER_EMPL","FQ2 2019","FQ2 2019","Currency=INR","Period=FQ","BEST_FPERIOD_OVERRIDE=FQ","FILING_STATUS=MR","EQY_CONSOLIDATED=N","FA_ADJUSTED=GAAP","Sort=A","Dates=H","DateFormat=P","Fill=—","Direction=H","UseDPDF=Y")</f>
        <v>—</v>
      </c>
      <c r="J54" s="17" t="str">
        <f>_xll.BDH("INDIGO IN Equity","ACTUAL_SALES_PER_EMPL","FQ3 2019","FQ3 2019","Currency=INR","Period=FQ","BEST_FPERIOD_OVERRIDE=FQ","FILING_STATUS=MR","EQY_CONSOLIDATED=N","FA_ADJUSTED=GAAP","Sort=A","Dates=H","DateFormat=P","Fill=—","Direction=H","UseDPDF=Y")</f>
        <v>—</v>
      </c>
      <c r="K54" s="17">
        <f>_xll.BDH("INDIGO IN Equity","ACTUAL_SALES_PER_EMPL","FQ4 2019","FQ4 2019","Currency=INR","Period=FQ","BEST_FPERIOD_OVERRIDE=FQ","FILING_STATUS=MR","EQY_CONSOLIDATED=N","FA_ADJUSTED=GAAP","Sort=A","Dates=H","DateFormat=P","Fill=—","Direction=H","UseDPDF=Y")</f>
        <v>3350161.4890999999</v>
      </c>
      <c r="L54" s="17" t="str">
        <f>_xll.BDH("INDIGO IN Equity","ACTUAL_SALES_PER_EMPL","FQ1 2020","FQ1 2020","Currency=INR","Period=FQ","BEST_FPERIOD_OVERRIDE=FQ","FILING_STATUS=MR","EQY_CONSOLIDATED=N","FA_ADJUSTED=GAAP","Sort=A","Dates=H","DateFormat=P","Fill=—","Direction=H","UseDPDF=Y")</f>
        <v>—</v>
      </c>
      <c r="M54" s="17" t="str">
        <f>_xll.BDH("INDIGO IN Equity","ACTUAL_SALES_PER_EMPL","FQ2 2020","FQ2 2020","Currency=INR","Period=FQ","BEST_FPERIOD_OVERRIDE=FQ","FILING_STATUS=MR","EQY_CONSOLIDATED=N","FA_ADJUSTED=GAAP","Sort=A","Dates=H","DateFormat=P","Fill=—","Direction=H","UseDPDF=Y")</f>
        <v>—</v>
      </c>
      <c r="N54" s="17" t="str">
        <f>_xll.BDH("INDIGO IN Equity","ACTUAL_SALES_PER_EMPL","FQ3 2020","FQ3 2020","Currency=INR","Period=FQ","BEST_FPERIOD_OVERRIDE=FQ","FILING_STATUS=MR","EQY_CONSOLIDATED=N","FA_ADJUSTED=GAAP","Sort=A","Dates=H","DateFormat=P","Fill=—","Direction=H","UseDPDF=Y")</f>
        <v>—</v>
      </c>
      <c r="O54" s="17">
        <f>_xll.BDH("INDIGO IN Equity","ACTUAL_SALES_PER_EMPL","FQ4 2020","FQ4 2020","Currency=INR","Period=FQ","BEST_FPERIOD_OVERRIDE=FQ","FILING_STATUS=MR","EQY_CONSOLIDATED=N","FA_ADJUSTED=GAAP","Sort=A","Dates=H","DateFormat=P","Fill=—","Direction=H","UseDPDF=Y")</f>
        <v>2983984.611</v>
      </c>
      <c r="P54" s="17" t="str">
        <f>_xll.BDH("INDIGO IN Equity","ACTUAL_SALES_PER_EMPL","FQ1 2021","FQ1 2021","Currency=INR","Period=FQ","BEST_FPERIOD_OVERRIDE=FQ","FILING_STATUS=MR","EQY_CONSOLIDATED=N","FA_ADJUSTED=GAAP","Sort=A","Dates=H","DateFormat=P","Fill=—","Direction=H","UseDPDF=Y")</f>
        <v>—</v>
      </c>
      <c r="Q54" s="17" t="str">
        <f>_xll.BDH("INDIGO IN Equity","ACTUAL_SALES_PER_EMPL","FQ2 2021","FQ2 2021","Currency=INR","Period=FQ","BEST_FPERIOD_OVERRIDE=FQ","FILING_STATUS=MR","EQY_CONSOLIDATED=N","FA_ADJUSTED=GAAP","Sort=A","Dates=H","DateFormat=P","Fill=—","Direction=H","UseDPDF=Y")</f>
        <v>—</v>
      </c>
      <c r="R54" s="17" t="str">
        <f>_xll.BDH("INDIGO IN Equity","ACTUAL_SALES_PER_EMPL","FQ3 2021","FQ3 2021","Currency=INR","Period=FQ","BEST_FPERIOD_OVERRIDE=FQ","FILING_STATUS=MR","EQY_CONSOLIDATED=N","FA_ADJUSTED=GAAP","Sort=A","Dates=H","DateFormat=P","Fill=—","Direction=H","UseDPDF=Y")</f>
        <v>—</v>
      </c>
      <c r="S54" s="17">
        <f>_xll.BDH("INDIGO IN Equity","ACTUAL_SALES_PER_EMPL","FQ4 2021","FQ4 2021","Currency=INR","Period=FQ","BEST_FPERIOD_OVERRIDE=FQ","FILING_STATUS=MR","EQY_CONSOLIDATED=N","FA_ADJUSTED=GAAP","Sort=A","Dates=H","DateFormat=P","Fill=—","Direction=H","UseDPDF=Y")</f>
        <v>2624498.7559000002</v>
      </c>
      <c r="T54" s="17" t="str">
        <f>_xll.BDH("INDIGO IN Equity","ACTUAL_SALES_PER_EMPL","FQ1 2022","FQ1 2022","Currency=INR","Period=FQ","BEST_FPERIOD_OVERRIDE=FQ","FILING_STATUS=MR","EQY_CONSOLIDATED=N","FA_ADJUSTED=GAAP","Sort=A","Dates=H","DateFormat=P","Fill=—","Direction=H","UseDPDF=Y")</f>
        <v>—</v>
      </c>
      <c r="U54" s="17" t="str">
        <f>_xll.BDH("INDIGO IN Equity","ACTUAL_SALES_PER_EMPL","FQ2 2022","FQ2 2022","Currency=INR","Period=FQ","BEST_FPERIOD_OVERRIDE=FQ","FILING_STATUS=MR","EQY_CONSOLIDATED=N","FA_ADJUSTED=GAAP","Sort=A","Dates=H","DateFormat=P","Fill=—","Direction=H","UseDPDF=Y")</f>
        <v>—</v>
      </c>
      <c r="V54" s="17" t="str">
        <f>_xll.BDH("INDIGO IN Equity","ACTUAL_SALES_PER_EMPL","FQ3 2022","FQ3 2022","Currency=INR","Period=FQ","BEST_FPERIOD_OVERRIDE=FQ","FILING_STATUS=MR","EQY_CONSOLIDATED=N","FA_ADJUSTED=GAAP","Sort=A","Dates=H","DateFormat=P","Fill=—","Direction=H","UseDPDF=Y")</f>
        <v>—</v>
      </c>
      <c r="W54" s="17">
        <f>_xll.BDH("INDIGO IN Equity","ACTUAL_SALES_PER_EMPL","FQ4 2022","FQ4 2022","Currency=INR","Period=FQ","BEST_FPERIOD_OVERRIDE=FQ","FILING_STATUS=MR","EQY_CONSOLIDATED=N","FA_ADJUSTED=GAAP","Sort=A","Dates=H","DateFormat=P","Fill=—","Direction=H","UseDPDF=Y")</f>
        <v>3065566.0449000001</v>
      </c>
      <c r="X54" s="17" t="str">
        <f>_xll.BDH("INDIGO IN Equity","ACTUAL_SALES_PER_EMPL","FQ1 2023","FQ1 2023","Currency=INR","Period=FQ","BEST_FPERIOD_OVERRIDE=FQ","FILING_STATUS=MR","EQY_CONSOLIDATED=N","FA_ADJUSTED=GAAP","Sort=A","Dates=H","DateFormat=P","Fill=—","Direction=H","UseDPDF=Y")</f>
        <v>—</v>
      </c>
      <c r="Y54" s="17" t="str">
        <f>_xll.BDH("INDIGO IN Equity","ACTUAL_SALES_PER_EMPL","FQ2 2023","FQ2 2023","Currency=INR","Period=FQ","BEST_FPERIOD_OVERRIDE=FQ","FILING_STATUS=MR","EQY_CONSOLIDATED=N","FA_ADJUSTED=GAAP","Sort=A","Dates=H","DateFormat=P","Fill=—","Direction=H","UseDPDF=Y")</f>
        <v>—</v>
      </c>
      <c r="Z54" s="17" t="str">
        <f>_xll.BDH("INDIGO IN Equity","ACTUAL_SALES_PER_EMPL","FQ3 2023","FQ3 2023","Currency=INR","Period=FQ","BEST_FPERIOD_OVERRIDE=FQ","FILING_STATUS=MR","EQY_CONSOLIDATED=N","FA_ADJUSTED=GAAP","Sort=A","Dates=H","DateFormat=P","Fill=—","Direction=H","UseDPDF=Y")</f>
        <v>—</v>
      </c>
      <c r="AA54" s="17">
        <f>_xll.BDH("INDIGO IN Equity","ACTUAL_SALES_PER_EMPL","FQ4 2023","FQ4 2023","Currency=INR","Period=FQ","BEST_FPERIOD_OVERRIDE=FQ","FILING_STATUS=MR","EQY_CONSOLIDATED=N","FA_ADJUSTED=GAAP","Sort=A","Dates=H","DateFormat=P","Fill=—","Direction=H","UseDPDF=Y")</f>
        <v>4369612.1207999997</v>
      </c>
      <c r="AB54" s="17" t="str">
        <f>_xll.BDH("INDIGO IN Equity","ACTUAL_SALES_PER_EMPL","FQ1 2024","FQ1 2024","Currency=INR","Period=FQ","BEST_FPERIOD_OVERRIDE=FQ","FILING_STATUS=MR","EQY_CONSOLIDATED=N","FA_ADJUSTED=GAAP","Sort=A","Dates=H","DateFormat=P","Fill=—","Direction=H","UseDPDF=Y")</f>
        <v>—</v>
      </c>
      <c r="AC54" s="17" t="str">
        <f>_xll.BDH("INDIGO IN Equity","ACTUAL_SALES_PER_EMPL","FQ2 2024","FQ2 2024","Currency=INR","Period=FQ","BEST_FPERIOD_OVERRIDE=FQ","FILING_STATUS=MR","EQY_CONSOLIDATED=N","FA_ADJUSTED=GAAP","Sort=A","Dates=H","DateFormat=P","Fill=—","Direction=H","UseDPDF=Y")</f>
        <v>—</v>
      </c>
      <c r="AD54" s="17" t="str">
        <f>_xll.BDH("INDIGO IN Equity","ACTUAL_SALES_PER_EMPL","FQ3 2024","FQ3 2024","Currency=INR","Period=FQ","BEST_FPERIOD_OVERRIDE=FQ","FILING_STATUS=MR","EQY_CONSOLIDATED=N","FA_ADJUSTED=GAAP","Sort=A","Dates=H","DateFormat=P","Fill=—","Direction=H","UseDPDF=Y")</f>
        <v>—</v>
      </c>
      <c r="AE54" s="17">
        <f>_xll.BDH("INDIGO IN Equity","ACTUAL_SALES_PER_EMPL","FQ4 2024","FQ4 2024","Currency=INR","Period=FQ","BEST_FPERIOD_OVERRIDE=FQ","FILING_STATUS=MR","EQY_CONSOLIDATED=N","FA_ADJUSTED=GAAP","Sort=A","Dates=H","DateFormat=P","Fill=—","Direction=H","UseDPDF=Y")</f>
        <v>4791738.4408999998</v>
      </c>
      <c r="AF54" s="17" t="str">
        <f>_xll.BDH("INDIGO IN Equity","ACTUAL_SALES_PER_EMPL","FQ1 2025","FQ1 2025","Currency=INR","Period=FQ","BEST_FPERIOD_OVERRIDE=FQ","FILING_STATUS=MR","EQY_CONSOLIDATED=N","FA_ADJUSTED=GAAP","Sort=A","Dates=H","DateFormat=P","Fill=—","Direction=H","UseDPDF=Y")</f>
        <v>—</v>
      </c>
      <c r="AG54" s="17" t="str">
        <f>_xll.BDH("INDIGO IN Equity","ACTUAL_SALES_PER_EMPL","FQ2 2025","FQ2 2025","Currency=INR","Period=FQ","BEST_FPERIOD_OVERRIDE=FQ","FILING_STATUS=MR","EQY_CONSOLIDATED=N","FA_ADJUSTED=GAAP","Sort=A","Dates=H","DateFormat=P","Fill=—","Direction=H","UseDPDF=Y")</f>
        <v>—</v>
      </c>
      <c r="AH54" s="17" t="str">
        <f>_xll.BDH("INDIGO IN Equity","ACTUAL_SALES_PER_EMPL","FQ3 2025","FQ3 2025","Currency=INR","Period=FQ","BEST_FPERIOD_OVERRIDE=FQ","FILING_STATUS=MR","EQY_CONSOLIDATED=N","FA_ADJUSTED=GAAP","Sort=A","Dates=H","DateFormat=P","Fill=—","Direction=H","UseDPDF=Y")</f>
        <v>—</v>
      </c>
      <c r="AI54" s="17">
        <f>_xll.BDH("INDIGO IN Equity","ACTUAL_SALES_PER_EMPL","FQ4 2025","FQ4 2025","Currency=INR","Period=FQ","BEST_FPERIOD_OVERRIDE=FQ","FILING_STATUS=MR","EQY_CONSOLIDATED=N","FA_ADJUSTED=GAAP","Sort=A","Dates=H","DateFormat=P","Fill=—","Direction=H","UseDPDF=Y")</f>
        <v>5396477.3806999996</v>
      </c>
      <c r="AJ54" s="17" t="str">
        <f>_xll.BDH("INDIGO IN Equity","ACTUAL_SALES_PER_EMPL","FQ1 2026","FQ1 2026","Currency=INR","Period=FQ","BEST_FPERIOD_OVERRIDE=FQ","FILING_STATUS=MR","EQY_CONSOLIDATED=N","FA_ADJUSTED=GAAP","Sort=A","Dates=H","DateFormat=P","Fill=—","Direction=H","UseDPDF=Y")</f>
        <v>—</v>
      </c>
      <c r="AK54" s="17" t="str">
        <f>_xll.BDH("INDIGO IN Equity","ACTUAL_SALES_PER_EMPL","FQ2 2026","FQ2 2026","Currency=INR","Period=FQ","BEST_FPERIOD_OVERRIDE=FQ","FILING_STATUS=MR","EQY_CONSOLIDATED=N","FA_ADJUSTED=GAAP","Sort=A","Dates=H","DateFormat=P","Fill=—","Direction=H","UseDPDF=Y")</f>
        <v>—</v>
      </c>
      <c r="AL54" s="17" t="str">
        <f>_xll.BDH("INDIGO IN Equity","ACTUAL_SALES_PER_EMPL","FQ3 2026","FQ3 2026","Currency=INR","Period=FQ","BEST_FPERIOD_OVERRIDE=FQ","FILING_STATUS=MR","EQY_CONSOLIDATED=N","FA_ADJUSTED=GAAP","Sort=A","Dates=H","DateFormat=P","Fill=—","Direction=H","UseDPDF=Y")</f>
        <v>—</v>
      </c>
      <c r="AM54" s="17">
        <f>_xll.BDH("INDIGO IN Equity","ACTUAL_SALES_PER_EMPL","FQ4 2026","FQ4 2026","Currency=INR","Period=FQ","BEST_FPERIOD_OVERRIDE=FQ","FILING_STATUS=MR","EQY_CONSOLIDATED=N","FA_ADJUSTED=GAAP","Sort=A","Dates=H","DateFormat=P","Fill=—","Direction=H","UseDPDF=Y")</f>
        <v>5354332.2117999997</v>
      </c>
      <c r="AN54" s="17" t="str">
        <f>_xll.BDH("INDIGO IN Equity","ACTUAL_SALES_PER_EMPL","FQ1 2027","FQ1 2027","Currency=INR","Period=FQ","BEST_FPERIOD_OVERRIDE=FQ","FILING_STATUS=MR","EQY_CONSOLIDATED=N","FA_ADJUSTED=GAAP","Sort=A","Dates=H","DateFormat=P","Fill=—","Direction=H","UseDPDF=Y")</f>
        <v>—</v>
      </c>
      <c r="AO54" s="17"/>
      <c r="AP54" s="17"/>
    </row>
    <row r="55" spans="1:42" x14ac:dyDescent="0.25">
      <c r="A55" s="12" t="s">
        <v>186</v>
      </c>
      <c r="B55" s="12" t="s">
        <v>187</v>
      </c>
      <c r="C55" s="17" t="str">
        <f>_xll.BDH("INDIGO IN Equity","EQY_DPS","FQ4 2017","FQ4 2017","Currency=INR","Period=FQ","BEST_FPERIOD_OVERRIDE=FQ","FILING_STATUS=MR","EQY_CONSOLIDATED=N","Sort=A","Dates=H","DateFormat=P","Fill=—","Direction=H","UseDPDF=Y")</f>
        <v>—</v>
      </c>
      <c r="D55" s="17" t="str">
        <f>_xll.BDH("INDIGO IN Equity","EQY_DPS","FQ1 2018","FQ1 2018","Currency=INR","Period=FQ","BEST_FPERIOD_OVERRIDE=FQ","FILING_STATUS=MR","EQY_CONSOLIDATED=N","Sort=A","Dates=H","DateFormat=P","Fill=—","Direction=H","UseDPDF=Y")</f>
        <v>—</v>
      </c>
      <c r="E55" s="17" t="str">
        <f>_xll.BDH("INDIGO IN Equity","EQY_DPS","FQ2 2018","FQ2 2018","Currency=INR","Period=FQ","BEST_FPERIOD_OVERRIDE=FQ","FILING_STATUS=MR","EQY_CONSOLIDATED=N","Sort=A","Dates=H","DateFormat=P","Fill=—","Direction=H","UseDPDF=Y")</f>
        <v>—</v>
      </c>
      <c r="F55" s="17" t="str">
        <f>_xll.BDH("INDIGO IN Equity","EQY_DPS","FQ3 2018","FQ3 2018","Currency=INR","Period=FQ","BEST_FPERIOD_OVERRIDE=FQ","FILING_STATUS=MR","EQY_CONSOLIDATED=N","Sort=A","Dates=H","DateFormat=P","Fill=—","Direction=H","UseDPDF=Y")</f>
        <v>—</v>
      </c>
      <c r="G55" s="17">
        <f>_xll.BDH("INDIGO IN Equity","EQY_DPS","FQ4 2018","FQ4 2018","Currency=INR","Period=FQ","BEST_FPERIOD_OVERRIDE=FQ","FILING_STATUS=MR","EQY_CONSOLIDATED=N","Sort=A","Dates=H","DateFormat=P","Fill=—","Direction=H","UseDPDF=Y")</f>
        <v>6</v>
      </c>
      <c r="H55" s="17">
        <f>_xll.BDH("INDIGO IN Equity","EQY_DPS","FQ1 2019","FQ1 2019","Currency=INR","Period=FQ","BEST_FPERIOD_OVERRIDE=FQ","FILING_STATUS=MR","EQY_CONSOLIDATED=N","Sort=A","Dates=H","DateFormat=P","Fill=—","Direction=H","UseDPDF=Y")</f>
        <v>0</v>
      </c>
      <c r="I55" s="17" t="str">
        <f>_xll.BDH("INDIGO IN Equity","EQY_DPS","FQ2 2019","FQ2 2019","Currency=INR","Period=FQ","BEST_FPERIOD_OVERRIDE=FQ","FILING_STATUS=MR","EQY_CONSOLIDATED=N","Sort=A","Dates=H","DateFormat=P","Fill=—","Direction=H","UseDPDF=Y")</f>
        <v>—</v>
      </c>
      <c r="J55" s="17" t="str">
        <f>_xll.BDH("INDIGO IN Equity","EQY_DPS","FQ3 2019","FQ3 2019","Currency=INR","Period=FQ","BEST_FPERIOD_OVERRIDE=FQ","FILING_STATUS=MR","EQY_CONSOLIDATED=N","Sort=A","Dates=H","DateFormat=P","Fill=—","Direction=H","UseDPDF=Y")</f>
        <v>—</v>
      </c>
      <c r="K55" s="17">
        <f>_xll.BDH("INDIGO IN Equity","EQY_DPS","FQ4 2019","FQ4 2019","Currency=INR","Period=FQ","BEST_FPERIOD_OVERRIDE=FQ","FILING_STATUS=MR","EQY_CONSOLIDATED=N","Sort=A","Dates=H","DateFormat=P","Fill=—","Direction=H","UseDPDF=Y")</f>
        <v>10</v>
      </c>
      <c r="L55" s="17" t="str">
        <f>_xll.BDH("INDIGO IN Equity","EQY_DPS","FQ1 2020","FQ1 2020","Currency=INR","Period=FQ","BEST_FPERIOD_OVERRIDE=FQ","FILING_STATUS=MR","EQY_CONSOLIDATED=N","Sort=A","Dates=H","DateFormat=P","Fill=—","Direction=H","UseDPDF=Y")</f>
        <v>—</v>
      </c>
      <c r="M55" s="17" t="str">
        <f>_xll.BDH("INDIGO IN Equity","EQY_DPS","FQ2 2020","FQ2 2020","Currency=INR","Period=FQ","BEST_FPERIOD_OVERRIDE=FQ","FILING_STATUS=MR","EQY_CONSOLIDATED=N","Sort=A","Dates=H","DateFormat=P","Fill=—","Direction=H","UseDPDF=Y")</f>
        <v>—</v>
      </c>
      <c r="N55" s="17" t="str">
        <f>_xll.BDH("INDIGO IN Equity","EQY_DPS","FQ3 2020","FQ3 2020","Currency=INR","Period=FQ","BEST_FPERIOD_OVERRIDE=FQ","FILING_STATUS=MR","EQY_CONSOLIDATED=N","Sort=A","Dates=H","DateFormat=P","Fill=—","Direction=H","UseDPDF=Y")</f>
        <v>—</v>
      </c>
      <c r="O55" s="17" t="str">
        <f>_xll.BDH("INDIGO IN Equity","EQY_DPS","FQ4 2020","FQ4 2020","Currency=INR","Period=FQ","BEST_FPERIOD_OVERRIDE=FQ","FILING_STATUS=MR","EQY_CONSOLIDATED=N","Sort=A","Dates=H","DateFormat=P","Fill=—","Direction=H","UseDPDF=Y")</f>
        <v>—</v>
      </c>
      <c r="P55" s="17" t="str">
        <f>_xll.BDH("INDIGO IN Equity","EQY_DPS","FQ1 2021","FQ1 2021","Currency=INR","Period=FQ","BEST_FPERIOD_OVERRIDE=FQ","FILING_STATUS=MR","EQY_CONSOLIDATED=N","Sort=A","Dates=H","DateFormat=P","Fill=—","Direction=H","UseDPDF=Y")</f>
        <v>—</v>
      </c>
      <c r="Q55" s="17" t="str">
        <f>_xll.BDH("INDIGO IN Equity","EQY_DPS","FQ2 2021","FQ2 2021","Currency=INR","Period=FQ","BEST_FPERIOD_OVERRIDE=FQ","FILING_STATUS=MR","EQY_CONSOLIDATED=N","Sort=A","Dates=H","DateFormat=P","Fill=—","Direction=H","UseDPDF=Y")</f>
        <v>—</v>
      </c>
      <c r="R55" s="17" t="str">
        <f>_xll.BDH("INDIGO IN Equity","EQY_DPS","FQ3 2021","FQ3 2021","Currency=INR","Period=FQ","BEST_FPERIOD_OVERRIDE=FQ","FILING_STATUS=MR","EQY_CONSOLIDATED=N","Sort=A","Dates=H","DateFormat=P","Fill=—","Direction=H","UseDPDF=Y")</f>
        <v>—</v>
      </c>
      <c r="S55" s="17" t="str">
        <f>_xll.BDH("INDIGO IN Equity","EQY_DPS","FQ4 2021","FQ4 2021","Currency=INR","Period=FQ","BEST_FPERIOD_OVERRIDE=FQ","FILING_STATUS=MR","EQY_CONSOLIDATED=N","Sort=A","Dates=H","DateFormat=P","Fill=—","Direction=H","UseDPDF=Y")</f>
        <v>—</v>
      </c>
      <c r="T55" s="17" t="str">
        <f>_xll.BDH("INDIGO IN Equity","EQY_DPS","FQ1 2022","FQ1 2022","Currency=INR","Period=FQ","BEST_FPERIOD_OVERRIDE=FQ","FILING_STATUS=MR","EQY_CONSOLIDATED=N","Sort=A","Dates=H","DateFormat=P","Fill=—","Direction=H","UseDPDF=Y")</f>
        <v>—</v>
      </c>
      <c r="U55" s="17" t="str">
        <f>_xll.BDH("INDIGO IN Equity","EQY_DPS","FQ2 2022","FQ2 2022","Currency=INR","Period=FQ","BEST_FPERIOD_OVERRIDE=FQ","FILING_STATUS=MR","EQY_CONSOLIDATED=N","Sort=A","Dates=H","DateFormat=P","Fill=—","Direction=H","UseDPDF=Y")</f>
        <v>—</v>
      </c>
      <c r="V55" s="17" t="str">
        <f>_xll.BDH("INDIGO IN Equity","EQY_DPS","FQ3 2022","FQ3 2022","Currency=INR","Period=FQ","BEST_FPERIOD_OVERRIDE=FQ","FILING_STATUS=MR","EQY_CONSOLIDATED=N","Sort=A","Dates=H","DateFormat=P","Fill=—","Direction=H","UseDPDF=Y")</f>
        <v>—</v>
      </c>
      <c r="W55" s="17">
        <f>_xll.BDH("INDIGO IN Equity","EQY_DPS","FQ4 2022","FQ4 2022","Currency=INR","Period=FQ","BEST_FPERIOD_OVERRIDE=FQ","FILING_STATUS=MR","EQY_CONSOLIDATED=N","Sort=A","Dates=H","DateFormat=P","Fill=—","Direction=H","UseDPDF=Y")</f>
        <v>0</v>
      </c>
      <c r="X55" s="17" t="str">
        <f>_xll.BDH("INDIGO IN Equity","EQY_DPS","FQ1 2023","FQ1 2023","Currency=INR","Period=FQ","BEST_FPERIOD_OVERRIDE=FQ","FILING_STATUS=MR","EQY_CONSOLIDATED=N","Sort=A","Dates=H","DateFormat=P","Fill=—","Direction=H","UseDPDF=Y")</f>
        <v>—</v>
      </c>
      <c r="Y55" s="17" t="str">
        <f>_xll.BDH("INDIGO IN Equity","EQY_DPS","FQ2 2023","FQ2 2023","Currency=INR","Period=FQ","BEST_FPERIOD_OVERRIDE=FQ","FILING_STATUS=MR","EQY_CONSOLIDATED=N","Sort=A","Dates=H","DateFormat=P","Fill=—","Direction=H","UseDPDF=Y")</f>
        <v>—</v>
      </c>
      <c r="Z55" s="17" t="str">
        <f>_xll.BDH("INDIGO IN Equity","EQY_DPS","FQ3 2023","FQ3 2023","Currency=INR","Period=FQ","BEST_FPERIOD_OVERRIDE=FQ","FILING_STATUS=MR","EQY_CONSOLIDATED=N","Sort=A","Dates=H","DateFormat=P","Fill=—","Direction=H","UseDPDF=Y")</f>
        <v>—</v>
      </c>
      <c r="AA55" s="17" t="str">
        <f>_xll.BDH("INDIGO IN Equity","EQY_DPS","FQ4 2023","FQ4 2023","Currency=INR","Period=FQ","BEST_FPERIOD_OVERRIDE=FQ","FILING_STATUS=MR","EQY_CONSOLIDATED=N","Sort=A","Dates=H","DateFormat=P","Fill=—","Direction=H","UseDPDF=Y")</f>
        <v>—</v>
      </c>
      <c r="AB55" s="17" t="str">
        <f>_xll.BDH("INDIGO IN Equity","EQY_DPS","FQ1 2024","FQ1 2024","Currency=INR","Period=FQ","BEST_FPERIOD_OVERRIDE=FQ","FILING_STATUS=MR","EQY_CONSOLIDATED=N","Sort=A","Dates=H","DateFormat=P","Fill=—","Direction=H","UseDPDF=Y")</f>
        <v>—</v>
      </c>
      <c r="AC55" s="17" t="str">
        <f>_xll.BDH("INDIGO IN Equity","EQY_DPS","FQ2 2024","FQ2 2024","Currency=INR","Period=FQ","BEST_FPERIOD_OVERRIDE=FQ","FILING_STATUS=MR","EQY_CONSOLIDATED=N","Sort=A","Dates=H","DateFormat=P","Fill=—","Direction=H","UseDPDF=Y")</f>
        <v>—</v>
      </c>
      <c r="AD55" s="17" t="str">
        <f>_xll.BDH("INDIGO IN Equity","EQY_DPS","FQ3 2024","FQ3 2024","Currency=INR","Period=FQ","BEST_FPERIOD_OVERRIDE=FQ","FILING_STATUS=MR","EQY_CONSOLIDATED=N","Sort=A","Dates=H","DateFormat=P","Fill=—","Direction=H","UseDPDF=Y")</f>
        <v>—</v>
      </c>
      <c r="AE55" s="17" t="str">
        <f>_xll.BDH("INDIGO IN Equity","EQY_DPS","FQ4 2024","FQ4 2024","Currency=INR","Period=FQ","BEST_FPERIOD_OVERRIDE=FQ","FILING_STATUS=MR","EQY_CONSOLIDATED=N","Sort=A","Dates=H","DateFormat=P","Fill=—","Direction=H","UseDPDF=Y")</f>
        <v>—</v>
      </c>
      <c r="AF55" s="17" t="str">
        <f>_xll.BDH("INDIGO IN Equity","EQY_DPS","FQ1 2025","FQ1 2025","Currency=INR","Period=FQ","BEST_FPERIOD_OVERRIDE=FQ","FILING_STATUS=MR","EQY_CONSOLIDATED=N","Sort=A","Dates=H","DateFormat=P","Fill=—","Direction=H","UseDPDF=Y")</f>
        <v>—</v>
      </c>
      <c r="AG55" s="17" t="str">
        <f>_xll.BDH("INDIGO IN Equity","EQY_DPS","FQ2 2025","FQ2 2025","Currency=INR","Period=FQ","BEST_FPERIOD_OVERRIDE=FQ","FILING_STATUS=MR","EQY_CONSOLIDATED=N","Sort=A","Dates=H","DateFormat=P","Fill=—","Direction=H","UseDPDF=Y")</f>
        <v>—</v>
      </c>
      <c r="AH55" s="17" t="str">
        <f>_xll.BDH("INDIGO IN Equity","EQY_DPS","FQ3 2025","FQ3 2025","Currency=INR","Period=FQ","BEST_FPERIOD_OVERRIDE=FQ","FILING_STATUS=MR","EQY_CONSOLIDATED=N","Sort=A","Dates=H","DateFormat=P","Fill=—","Direction=H","UseDPDF=Y")</f>
        <v>—</v>
      </c>
      <c r="AI55" s="17" t="str">
        <f>_xll.BDH("INDIGO IN Equity","EQY_DPS","FQ4 2025","FQ4 2025","Currency=INR","Period=FQ","BEST_FPERIOD_OVERRIDE=FQ","FILING_STATUS=MR","EQY_CONSOLIDATED=N","Sort=A","Dates=H","DateFormat=P","Fill=—","Direction=H","UseDPDF=Y")</f>
        <v>—</v>
      </c>
      <c r="AJ55" s="17" t="str">
        <f>_xll.BDH("INDIGO IN Equity","EQY_DPS","FQ1 2026","FQ1 2026","Currency=INR","Period=FQ","BEST_FPERIOD_OVERRIDE=FQ","FILING_STATUS=MR","EQY_CONSOLIDATED=N","Sort=A","Dates=H","DateFormat=P","Fill=—","Direction=H","UseDPDF=Y")</f>
        <v>—</v>
      </c>
      <c r="AK55" s="17" t="str">
        <f>_xll.BDH("INDIGO IN Equity","EQY_DPS","FQ2 2026","FQ2 2026","Currency=INR","Period=FQ","BEST_FPERIOD_OVERRIDE=FQ","FILING_STATUS=MR","EQY_CONSOLIDATED=N","Sort=A","Dates=H","DateFormat=P","Fill=—","Direction=H","UseDPDF=Y")</f>
        <v>—</v>
      </c>
      <c r="AL55" s="17" t="str">
        <f>_xll.BDH("INDIGO IN Equity","EQY_DPS","FQ3 2026","FQ3 2026","Currency=INR","Period=FQ","BEST_FPERIOD_OVERRIDE=FQ","FILING_STATUS=MR","EQY_CONSOLIDATED=N","Sort=A","Dates=H","DateFormat=P","Fill=—","Direction=H","UseDPDF=Y")</f>
        <v>—</v>
      </c>
      <c r="AM55" s="17" t="str">
        <f>_xll.BDH("INDIGO IN Equity","EQY_DPS","FQ4 2026","FQ4 2026","Currency=INR","Period=FQ","BEST_FPERIOD_OVERRIDE=FQ","FILING_STATUS=MR","EQY_CONSOLIDATED=N","Sort=A","Dates=H","DateFormat=P","Fill=—","Direction=H","UseDPDF=Y")</f>
        <v>—</v>
      </c>
      <c r="AN55" s="17" t="str">
        <f>_xll.BDH("INDIGO IN Equity","EQY_DPS","FQ1 2027","FQ1 2027","Currency=INR","Period=FQ","BEST_FPERIOD_OVERRIDE=FQ","FILING_STATUS=MR","EQY_CONSOLIDATED=N","Sort=A","Dates=H","DateFormat=P","Fill=—","Direction=H","UseDPDF=Y")</f>
        <v>—</v>
      </c>
      <c r="AO55" s="17"/>
      <c r="AP55" s="17"/>
    </row>
    <row r="56" spans="1:42" x14ac:dyDescent="0.25">
      <c r="A56" s="12" t="s">
        <v>188</v>
      </c>
      <c r="B56" s="12" t="s">
        <v>189</v>
      </c>
      <c r="C56" s="13" t="str">
        <f>_xll.BDH("INDIGO IN Equity","IS_TOT_CASH_COM_DVD","FQ4 2017","FQ4 2017","Currency=INR","Period=FQ","BEST_FPERIOD_OVERRIDE=FQ","FILING_STATUS=MR","EQY_CONSOLIDATED=N","SCALING_FORMAT=MLN","Sort=A","Dates=H","DateFormat=P","Fill=—","Direction=H","UseDPDF=Y")</f>
        <v>—</v>
      </c>
      <c r="D56" s="13" t="str">
        <f>_xll.BDH("INDIGO IN Equity","IS_TOT_CASH_COM_DVD","FQ1 2018","FQ1 2018","Currency=INR","Period=FQ","BEST_FPERIOD_OVERRIDE=FQ","FILING_STATUS=MR","EQY_CONSOLIDATED=N","SCALING_FORMAT=MLN","Sort=A","Dates=H","DateFormat=P","Fill=—","Direction=H","UseDPDF=Y")</f>
        <v>—</v>
      </c>
      <c r="E56" s="13" t="str">
        <f>_xll.BDH("INDIGO IN Equity","IS_TOT_CASH_COM_DVD","FQ2 2018","FQ2 2018","Currency=INR","Period=FQ","BEST_FPERIOD_OVERRIDE=FQ","FILING_STATUS=MR","EQY_CONSOLIDATED=N","SCALING_FORMAT=MLN","Sort=A","Dates=H","DateFormat=P","Fill=—","Direction=H","UseDPDF=Y")</f>
        <v>—</v>
      </c>
      <c r="F56" s="13" t="str">
        <f>_xll.BDH("INDIGO IN Equity","IS_TOT_CASH_COM_DVD","FQ3 2018","FQ3 2018","Currency=INR","Period=FQ","BEST_FPERIOD_OVERRIDE=FQ","FILING_STATUS=MR","EQY_CONSOLIDATED=N","SCALING_FORMAT=MLN","Sort=A","Dates=H","DateFormat=P","Fill=—","Direction=H","UseDPDF=Y")</f>
        <v>—</v>
      </c>
      <c r="G56" s="13">
        <f>_xll.BDH("INDIGO IN Equity","IS_TOT_CASH_COM_DVD","FQ4 2018","FQ4 2018","Currency=INR","Period=FQ","BEST_FPERIOD_OVERRIDE=FQ","FILING_STATUS=MR","EQY_CONSOLIDATED=N","SCALING_FORMAT=MLN","Sort=A","Dates=H","DateFormat=P","Fill=—","Direction=H","UseDPDF=Y")</f>
        <v>2306.4409999999998</v>
      </c>
      <c r="H56" s="13">
        <f>_xll.BDH("INDIGO IN Equity","IS_TOT_CASH_COM_DVD","FQ1 2019","FQ1 2019","Currency=INR","Period=FQ","BEST_FPERIOD_OVERRIDE=FQ","FILING_STATUS=MR","EQY_CONSOLIDATED=N","SCALING_FORMAT=MLN","Sort=A","Dates=H","DateFormat=P","Fill=—","Direction=H","UseDPDF=Y")</f>
        <v>0</v>
      </c>
      <c r="I56" s="13" t="str">
        <f>_xll.BDH("INDIGO IN Equity","IS_TOT_CASH_COM_DVD","FQ2 2019","FQ2 2019","Currency=INR","Period=FQ","BEST_FPERIOD_OVERRIDE=FQ","FILING_STATUS=MR","EQY_CONSOLIDATED=N","SCALING_FORMAT=MLN","Sort=A","Dates=H","DateFormat=P","Fill=—","Direction=H","UseDPDF=Y")</f>
        <v>—</v>
      </c>
      <c r="J56" s="13" t="str">
        <f>_xll.BDH("INDIGO IN Equity","IS_TOT_CASH_COM_DVD","FQ3 2019","FQ3 2019","Currency=INR","Period=FQ","BEST_FPERIOD_OVERRIDE=FQ","FILING_STATUS=MR","EQY_CONSOLIDATED=N","SCALING_FORMAT=MLN","Sort=A","Dates=H","DateFormat=P","Fill=—","Direction=H","UseDPDF=Y")</f>
        <v>—</v>
      </c>
      <c r="K56" s="13">
        <f>_xll.BDH("INDIGO IN Equity","IS_TOT_CASH_COM_DVD","FQ4 2019","FQ4 2019","Currency=INR","Period=FQ","BEST_FPERIOD_OVERRIDE=FQ","FILING_STATUS=MR","EQY_CONSOLIDATED=N","SCALING_FORMAT=MLN","Sort=A","Dates=H","DateFormat=P","Fill=—","Direction=H","UseDPDF=Y")</f>
        <v>3844.0684000000001</v>
      </c>
      <c r="L56" s="13" t="str">
        <f>_xll.BDH("INDIGO IN Equity","IS_TOT_CASH_COM_DVD","FQ1 2020","FQ1 2020","Currency=INR","Period=FQ","BEST_FPERIOD_OVERRIDE=FQ","FILING_STATUS=MR","EQY_CONSOLIDATED=N","SCALING_FORMAT=MLN","Sort=A","Dates=H","DateFormat=P","Fill=—","Direction=H","UseDPDF=Y")</f>
        <v>—</v>
      </c>
      <c r="M56" s="13" t="str">
        <f>_xll.BDH("INDIGO IN Equity","IS_TOT_CASH_COM_DVD","FQ2 2020","FQ2 2020","Currency=INR","Period=FQ","BEST_FPERIOD_OVERRIDE=FQ","FILING_STATUS=MR","EQY_CONSOLIDATED=N","SCALING_FORMAT=MLN","Sort=A","Dates=H","DateFormat=P","Fill=—","Direction=H","UseDPDF=Y")</f>
        <v>—</v>
      </c>
      <c r="N56" s="13" t="str">
        <f>_xll.BDH("INDIGO IN Equity","IS_TOT_CASH_COM_DVD","FQ3 2020","FQ3 2020","Currency=INR","Period=FQ","BEST_FPERIOD_OVERRIDE=FQ","FILING_STATUS=MR","EQY_CONSOLIDATED=N","SCALING_FORMAT=MLN","Sort=A","Dates=H","DateFormat=P","Fill=—","Direction=H","UseDPDF=Y")</f>
        <v>—</v>
      </c>
      <c r="O56" s="13" t="str">
        <f>_xll.BDH("INDIGO IN Equity","IS_TOT_CASH_COM_DVD","FQ4 2020","FQ4 2020","Currency=INR","Period=FQ","BEST_FPERIOD_OVERRIDE=FQ","FILING_STATUS=MR","EQY_CONSOLIDATED=N","SCALING_FORMAT=MLN","Sort=A","Dates=H","DateFormat=P","Fill=—","Direction=H","UseDPDF=Y")</f>
        <v>—</v>
      </c>
      <c r="P56" s="13" t="str">
        <f>_xll.BDH("INDIGO IN Equity","IS_TOT_CASH_COM_DVD","FQ1 2021","FQ1 2021","Currency=INR","Period=FQ","BEST_FPERIOD_OVERRIDE=FQ","FILING_STATUS=MR","EQY_CONSOLIDATED=N","SCALING_FORMAT=MLN","Sort=A","Dates=H","DateFormat=P","Fill=—","Direction=H","UseDPDF=Y")</f>
        <v>—</v>
      </c>
      <c r="Q56" s="13" t="str">
        <f>_xll.BDH("INDIGO IN Equity","IS_TOT_CASH_COM_DVD","FQ2 2021","FQ2 2021","Currency=INR","Period=FQ","BEST_FPERIOD_OVERRIDE=FQ","FILING_STATUS=MR","EQY_CONSOLIDATED=N","SCALING_FORMAT=MLN","Sort=A","Dates=H","DateFormat=P","Fill=—","Direction=H","UseDPDF=Y")</f>
        <v>—</v>
      </c>
      <c r="R56" s="13" t="str">
        <f>_xll.BDH("INDIGO IN Equity","IS_TOT_CASH_COM_DVD","FQ3 2021","FQ3 2021","Currency=INR","Period=FQ","BEST_FPERIOD_OVERRIDE=FQ","FILING_STATUS=MR","EQY_CONSOLIDATED=N","SCALING_FORMAT=MLN","Sort=A","Dates=H","DateFormat=P","Fill=—","Direction=H","UseDPDF=Y")</f>
        <v>—</v>
      </c>
      <c r="S56" s="13" t="str">
        <f>_xll.BDH("INDIGO IN Equity","IS_TOT_CASH_COM_DVD","FQ4 2021","FQ4 2021","Currency=INR","Period=FQ","BEST_FPERIOD_OVERRIDE=FQ","FILING_STATUS=MR","EQY_CONSOLIDATED=N","SCALING_FORMAT=MLN","Sort=A","Dates=H","DateFormat=P","Fill=—","Direction=H","UseDPDF=Y")</f>
        <v>—</v>
      </c>
      <c r="T56" s="13" t="str">
        <f>_xll.BDH("INDIGO IN Equity","IS_TOT_CASH_COM_DVD","FQ1 2022","FQ1 2022","Currency=INR","Period=FQ","BEST_FPERIOD_OVERRIDE=FQ","FILING_STATUS=MR","EQY_CONSOLIDATED=N","SCALING_FORMAT=MLN","Sort=A","Dates=H","DateFormat=P","Fill=—","Direction=H","UseDPDF=Y")</f>
        <v>—</v>
      </c>
      <c r="U56" s="13" t="str">
        <f>_xll.BDH("INDIGO IN Equity","IS_TOT_CASH_COM_DVD","FQ2 2022","FQ2 2022","Currency=INR","Period=FQ","BEST_FPERIOD_OVERRIDE=FQ","FILING_STATUS=MR","EQY_CONSOLIDATED=N","SCALING_FORMAT=MLN","Sort=A","Dates=H","DateFormat=P","Fill=—","Direction=H","UseDPDF=Y")</f>
        <v>—</v>
      </c>
      <c r="V56" s="13" t="str">
        <f>_xll.BDH("INDIGO IN Equity","IS_TOT_CASH_COM_DVD","FQ3 2022","FQ3 2022","Currency=INR","Period=FQ","BEST_FPERIOD_OVERRIDE=FQ","FILING_STATUS=MR","EQY_CONSOLIDATED=N","SCALING_FORMAT=MLN","Sort=A","Dates=H","DateFormat=P","Fill=—","Direction=H","UseDPDF=Y")</f>
        <v>—</v>
      </c>
      <c r="W56" s="13">
        <f>_xll.BDH("INDIGO IN Equity","IS_TOT_CASH_COM_DVD","FQ4 2022","FQ4 2022","Currency=INR","Period=FQ","BEST_FPERIOD_OVERRIDE=FQ","FILING_STATUS=MR","EQY_CONSOLIDATED=N","SCALING_FORMAT=MLN","Sort=A","Dates=H","DateFormat=P","Fill=—","Direction=H","UseDPDF=Y")</f>
        <v>0</v>
      </c>
      <c r="X56" s="13" t="str">
        <f>_xll.BDH("INDIGO IN Equity","IS_TOT_CASH_COM_DVD","FQ1 2023","FQ1 2023","Currency=INR","Period=FQ","BEST_FPERIOD_OVERRIDE=FQ","FILING_STATUS=MR","EQY_CONSOLIDATED=N","SCALING_FORMAT=MLN","Sort=A","Dates=H","DateFormat=P","Fill=—","Direction=H","UseDPDF=Y")</f>
        <v>—</v>
      </c>
      <c r="Y56" s="13" t="str">
        <f>_xll.BDH("INDIGO IN Equity","IS_TOT_CASH_COM_DVD","FQ2 2023","FQ2 2023","Currency=INR","Period=FQ","BEST_FPERIOD_OVERRIDE=FQ","FILING_STATUS=MR","EQY_CONSOLIDATED=N","SCALING_FORMAT=MLN","Sort=A","Dates=H","DateFormat=P","Fill=—","Direction=H","UseDPDF=Y")</f>
        <v>—</v>
      </c>
      <c r="Z56" s="13" t="str">
        <f>_xll.BDH("INDIGO IN Equity","IS_TOT_CASH_COM_DVD","FQ3 2023","FQ3 2023","Currency=INR","Period=FQ","BEST_FPERIOD_OVERRIDE=FQ","FILING_STATUS=MR","EQY_CONSOLIDATED=N","SCALING_FORMAT=MLN","Sort=A","Dates=H","DateFormat=P","Fill=—","Direction=H","UseDPDF=Y")</f>
        <v>—</v>
      </c>
      <c r="AA56" s="13" t="str">
        <f>_xll.BDH("INDIGO IN Equity","IS_TOT_CASH_COM_DVD","FQ4 2023","FQ4 2023","Currency=INR","Period=FQ","BEST_FPERIOD_OVERRIDE=FQ","FILING_STATUS=MR","EQY_CONSOLIDATED=N","SCALING_FORMAT=MLN","Sort=A","Dates=H","DateFormat=P","Fill=—","Direction=H","UseDPDF=Y")</f>
        <v>—</v>
      </c>
      <c r="AB56" s="13" t="str">
        <f>_xll.BDH("INDIGO IN Equity","IS_TOT_CASH_COM_DVD","FQ1 2024","FQ1 2024","Currency=INR","Period=FQ","BEST_FPERIOD_OVERRIDE=FQ","FILING_STATUS=MR","EQY_CONSOLIDATED=N","SCALING_FORMAT=MLN","Sort=A","Dates=H","DateFormat=P","Fill=—","Direction=H","UseDPDF=Y")</f>
        <v>—</v>
      </c>
      <c r="AC56" s="13" t="str">
        <f>_xll.BDH("INDIGO IN Equity","IS_TOT_CASH_COM_DVD","FQ2 2024","FQ2 2024","Currency=INR","Period=FQ","BEST_FPERIOD_OVERRIDE=FQ","FILING_STATUS=MR","EQY_CONSOLIDATED=N","SCALING_FORMAT=MLN","Sort=A","Dates=H","DateFormat=P","Fill=—","Direction=H","UseDPDF=Y")</f>
        <v>—</v>
      </c>
      <c r="AD56" s="13" t="str">
        <f>_xll.BDH("INDIGO IN Equity","IS_TOT_CASH_COM_DVD","FQ3 2024","FQ3 2024","Currency=INR","Period=FQ","BEST_FPERIOD_OVERRIDE=FQ","FILING_STATUS=MR","EQY_CONSOLIDATED=N","SCALING_FORMAT=MLN","Sort=A","Dates=H","DateFormat=P","Fill=—","Direction=H","UseDPDF=Y")</f>
        <v>—</v>
      </c>
      <c r="AE56" s="13" t="str">
        <f>_xll.BDH("INDIGO IN Equity","IS_TOT_CASH_COM_DVD","FQ4 2024","FQ4 2024","Currency=INR","Period=FQ","BEST_FPERIOD_OVERRIDE=FQ","FILING_STATUS=MR","EQY_CONSOLIDATED=N","SCALING_FORMAT=MLN","Sort=A","Dates=H","DateFormat=P","Fill=—","Direction=H","UseDPDF=Y")</f>
        <v>—</v>
      </c>
      <c r="AF56" s="13" t="str">
        <f>_xll.BDH("INDIGO IN Equity","IS_TOT_CASH_COM_DVD","FQ1 2025","FQ1 2025","Currency=INR","Period=FQ","BEST_FPERIOD_OVERRIDE=FQ","FILING_STATUS=MR","EQY_CONSOLIDATED=N","SCALING_FORMAT=MLN","Sort=A","Dates=H","DateFormat=P","Fill=—","Direction=H","UseDPDF=Y")</f>
        <v>—</v>
      </c>
      <c r="AG56" s="13" t="str">
        <f>_xll.BDH("INDIGO IN Equity","IS_TOT_CASH_COM_DVD","FQ2 2025","FQ2 2025","Currency=INR","Period=FQ","BEST_FPERIOD_OVERRIDE=FQ","FILING_STATUS=MR","EQY_CONSOLIDATED=N","SCALING_FORMAT=MLN","Sort=A","Dates=H","DateFormat=P","Fill=—","Direction=H","UseDPDF=Y")</f>
        <v>—</v>
      </c>
      <c r="AH56" s="13" t="str">
        <f>_xll.BDH("INDIGO IN Equity","IS_TOT_CASH_COM_DVD","FQ3 2025","FQ3 2025","Currency=INR","Period=FQ","BEST_FPERIOD_OVERRIDE=FQ","FILING_STATUS=MR","EQY_CONSOLIDATED=N","SCALING_FORMAT=MLN","Sort=A","Dates=H","DateFormat=P","Fill=—","Direction=H","UseDPDF=Y")</f>
        <v>—</v>
      </c>
      <c r="AI56" s="13" t="str">
        <f>_xll.BDH("INDIGO IN Equity","IS_TOT_CASH_COM_DVD","FQ4 2025","FQ4 2025","Currency=INR","Period=FQ","BEST_FPERIOD_OVERRIDE=FQ","FILING_STATUS=MR","EQY_CONSOLIDATED=N","SCALING_FORMAT=MLN","Sort=A","Dates=H","DateFormat=P","Fill=—","Direction=H","UseDPDF=Y")</f>
        <v>—</v>
      </c>
      <c r="AJ56" s="13" t="str">
        <f>_xll.BDH("INDIGO IN Equity","IS_TOT_CASH_COM_DVD","FQ1 2026","FQ1 2026","Currency=INR","Period=FQ","BEST_FPERIOD_OVERRIDE=FQ","FILING_STATUS=MR","EQY_CONSOLIDATED=N","SCALING_FORMAT=MLN","Sort=A","Dates=H","DateFormat=P","Fill=—","Direction=H","UseDPDF=Y")</f>
        <v>—</v>
      </c>
      <c r="AK56" s="13" t="str">
        <f>_xll.BDH("INDIGO IN Equity","IS_TOT_CASH_COM_DVD","FQ2 2026","FQ2 2026","Currency=INR","Period=FQ","BEST_FPERIOD_OVERRIDE=FQ","FILING_STATUS=MR","EQY_CONSOLIDATED=N","SCALING_FORMAT=MLN","Sort=A","Dates=H","DateFormat=P","Fill=—","Direction=H","UseDPDF=Y")</f>
        <v>—</v>
      </c>
      <c r="AL56" s="13" t="str">
        <f>_xll.BDH("INDIGO IN Equity","IS_TOT_CASH_COM_DVD","FQ3 2026","FQ3 2026","Currency=INR","Period=FQ","BEST_FPERIOD_OVERRIDE=FQ","FILING_STATUS=MR","EQY_CONSOLIDATED=N","SCALING_FORMAT=MLN","Sort=A","Dates=H","DateFormat=P","Fill=—","Direction=H","UseDPDF=Y")</f>
        <v>—</v>
      </c>
      <c r="AM56" s="13" t="str">
        <f>_xll.BDH("INDIGO IN Equity","IS_TOT_CASH_COM_DVD","FQ4 2026","FQ4 2026","Currency=INR","Period=FQ","BEST_FPERIOD_OVERRIDE=FQ","FILING_STATUS=MR","EQY_CONSOLIDATED=N","SCALING_FORMAT=MLN","Sort=A","Dates=H","DateFormat=P","Fill=—","Direction=H","UseDPDF=Y")</f>
        <v>—</v>
      </c>
      <c r="AN56" s="13" t="str">
        <f>_xll.BDH("INDIGO IN Equity","IS_TOT_CASH_COM_DVD","FQ1 2027","FQ1 2027","Currency=INR","Period=FQ","BEST_FPERIOD_OVERRIDE=FQ","FILING_STATUS=MR","EQY_CONSOLIDATED=N","SCALING_FORMAT=MLN","Sort=A","Dates=H","DateFormat=P","Fill=—","Direction=H","UseDPDF=Y")</f>
        <v>—</v>
      </c>
      <c r="AO56" s="13"/>
      <c r="AP56" s="13"/>
    </row>
    <row r="57" spans="1:42" x14ac:dyDescent="0.25">
      <c r="A57" s="12" t="s">
        <v>190</v>
      </c>
      <c r="B57" s="12" t="s">
        <v>191</v>
      </c>
      <c r="C57" s="13">
        <f>_xll.BDH("INDIGO IN Equity","IS_PERSONNEL_EXP","FQ4 2017","FQ4 2017","Currency=INR","Period=FQ","BEST_FPERIOD_OVERRIDE=FQ","FILING_STATUS=MR","EQY_CONSOLIDATED=N","SCALING_FORMAT=MLN","Sort=A","Dates=H","DateFormat=P","Fill=—","Direction=H","UseDPDF=Y")</f>
        <v>5339.15</v>
      </c>
      <c r="D57" s="13">
        <f>_xll.BDH("INDIGO IN Equity","IS_PERSONNEL_EXP","FQ1 2018","FQ1 2018","Currency=INR","Period=FQ","BEST_FPERIOD_OVERRIDE=FQ","FILING_STATUS=MR","EQY_CONSOLIDATED=N","SCALING_FORMAT=MLN","Sort=A","Dates=H","DateFormat=P","Fill=—","Direction=H","UseDPDF=Y")</f>
        <v>5842.77</v>
      </c>
      <c r="E57" s="13">
        <f>_xll.BDH("INDIGO IN Equity","IS_PERSONNEL_EXP","FQ2 2018","FQ2 2018","Currency=INR","Period=FQ","BEST_FPERIOD_OVERRIDE=FQ","FILING_STATUS=MR","EQY_CONSOLIDATED=N","SCALING_FORMAT=MLN","Sort=A","Dates=H","DateFormat=P","Fill=—","Direction=H","UseDPDF=Y")</f>
        <v>6004.06</v>
      </c>
      <c r="F57" s="13">
        <f>_xll.BDH("INDIGO IN Equity","IS_PERSONNEL_EXP","FQ3 2018","FQ3 2018","Currency=INR","Period=FQ","BEST_FPERIOD_OVERRIDE=FQ","FILING_STATUS=MR","EQY_CONSOLIDATED=N","SCALING_FORMAT=MLN","Sort=A","Dates=H","DateFormat=P","Fill=—","Direction=H","UseDPDF=Y")</f>
        <v>6137.02</v>
      </c>
      <c r="G57" s="13">
        <f>_xll.BDH("INDIGO IN Equity","IS_PERSONNEL_EXP","FQ4 2018","FQ4 2018","Currency=INR","Period=FQ","BEST_FPERIOD_OVERRIDE=FQ","FILING_STATUS=MR","EQY_CONSOLIDATED=N","SCALING_FORMAT=MLN","Sort=A","Dates=H","DateFormat=P","Fill=—","Direction=H","UseDPDF=Y")</f>
        <v>66930.39</v>
      </c>
      <c r="H57" s="13">
        <f>_xll.BDH("INDIGO IN Equity","IS_PERSONNEL_EXP","FQ1 2019","FQ1 2019","Currency=INR","Period=FQ","BEST_FPERIOD_OVERRIDE=FQ","FILING_STATUS=MR","EQY_CONSOLIDATED=N","SCALING_FORMAT=MLN","Sort=A","Dates=H","DateFormat=P","Fill=—","Direction=H","UseDPDF=Y")</f>
        <v>6535.66</v>
      </c>
      <c r="I57" s="13">
        <f>_xll.BDH("INDIGO IN Equity","IS_PERSONNEL_EXP","FQ2 2019","FQ2 2019","Currency=INR","Period=FQ","BEST_FPERIOD_OVERRIDE=FQ","FILING_STATUS=MR","EQY_CONSOLIDATED=N","SCALING_FORMAT=MLN","Sort=A","Dates=H","DateFormat=P","Fill=—","Direction=H","UseDPDF=Y")</f>
        <v>7728.81</v>
      </c>
      <c r="J57" s="13">
        <f>_xll.BDH("INDIGO IN Equity","IS_PERSONNEL_EXP","FQ3 2019","FQ3 2019","Currency=INR","Period=FQ","BEST_FPERIOD_OVERRIDE=FQ","FILING_STATUS=MR","EQY_CONSOLIDATED=N","SCALING_FORMAT=MLN","Sort=A","Dates=H","DateFormat=P","Fill=—","Direction=H","UseDPDF=Y")</f>
        <v>8347.39</v>
      </c>
      <c r="K57" s="13">
        <f>_xll.BDH("INDIGO IN Equity","IS_PERSONNEL_EXP","FQ4 2019","FQ4 2019","Currency=INR","Period=FQ","BEST_FPERIOD_OVERRIDE=FQ","FILING_STATUS=MR","EQY_CONSOLIDATED=N","SCALING_FORMAT=MLN","Sort=A","Dates=H","DateFormat=P","Fill=—","Direction=H","UseDPDF=Y")</f>
        <v>8766.0499999999993</v>
      </c>
      <c r="L57" s="13">
        <f>_xll.BDH("INDIGO IN Equity","IS_PERSONNEL_EXP","FQ1 2020","FQ1 2020","Currency=INR","Period=FQ","BEST_FPERIOD_OVERRIDE=FQ","FILING_STATUS=MR","EQY_CONSOLIDATED=N","SCALING_FORMAT=MLN","Sort=A","Dates=H","DateFormat=P","Fill=—","Direction=H","UseDPDF=Y")</f>
        <v>10488.39</v>
      </c>
      <c r="M57" s="13">
        <f>_xll.BDH("INDIGO IN Equity","IS_PERSONNEL_EXP","FQ2 2020","FQ2 2020","Currency=INR","Period=FQ","BEST_FPERIOD_OVERRIDE=FQ","FILING_STATUS=MR","EQY_CONSOLIDATED=N","SCALING_FORMAT=MLN","Sort=A","Dates=H","DateFormat=P","Fill=—","Direction=H","UseDPDF=Y")</f>
        <v>11310.96</v>
      </c>
      <c r="N57" s="13">
        <f>_xll.BDH("INDIGO IN Equity","IS_PERSONNEL_EXP","FQ3 2020","FQ3 2020","Currency=INR","Period=FQ","BEST_FPERIOD_OVERRIDE=FQ","FILING_STATUS=MR","EQY_CONSOLIDATED=N","SCALING_FORMAT=MLN","Sort=A","Dates=H","DateFormat=P","Fill=—","Direction=H","UseDPDF=Y")</f>
        <v>11645.39</v>
      </c>
      <c r="O57" s="13">
        <f>_xll.BDH("INDIGO IN Equity","IS_PERSONNEL_EXP","FQ4 2020","FQ4 2020","Currency=INR","Period=FQ","BEST_FPERIOD_OVERRIDE=FQ","FILING_STATUS=MR","EQY_CONSOLIDATED=N","SCALING_FORMAT=MLN","Sort=A","Dates=H","DateFormat=P","Fill=—","Direction=H","UseDPDF=Y")</f>
        <v>15654.66</v>
      </c>
      <c r="P57" s="13">
        <f>_xll.BDH("INDIGO IN Equity","IS_PERSONNEL_EXP","FQ1 2021","FQ1 2021","Currency=INR","Period=FQ","BEST_FPERIOD_OVERRIDE=FQ","FILING_STATUS=MR","EQY_CONSOLIDATED=N","SCALING_FORMAT=MLN","Sort=A","Dates=H","DateFormat=P","Fill=—","Direction=H","UseDPDF=Y")</f>
        <v>8764.89</v>
      </c>
      <c r="Q57" s="13">
        <f>_xll.BDH("INDIGO IN Equity","IS_PERSONNEL_EXP","FQ2 2021","FQ2 2021","Currency=INR","Period=FQ","BEST_FPERIOD_OVERRIDE=FQ","FILING_STATUS=MR","EQY_CONSOLIDATED=N","SCALING_FORMAT=MLN","Sort=A","Dates=H","DateFormat=P","Fill=—","Direction=H","UseDPDF=Y")</f>
        <v>6785.89</v>
      </c>
      <c r="R57" s="13">
        <f>_xll.BDH("INDIGO IN Equity","IS_PERSONNEL_EXP","FQ3 2021","FQ3 2021","Currency=INR","Period=FQ","BEST_FPERIOD_OVERRIDE=FQ","FILING_STATUS=MR","EQY_CONSOLIDATED=N","SCALING_FORMAT=MLN","Sort=A","Dates=H","DateFormat=P","Fill=—","Direction=H","UseDPDF=Y")</f>
        <v>7359.11</v>
      </c>
      <c r="S57" s="13">
        <f>_xll.BDH("INDIGO IN Equity","IS_PERSONNEL_EXP","FQ4 2021","FQ4 2021","Currency=INR","Period=FQ","BEST_FPERIOD_OVERRIDE=FQ","FILING_STATUS=MR","EQY_CONSOLIDATED=N","SCALING_FORMAT=MLN","Sort=A","Dates=H","DateFormat=P","Fill=—","Direction=H","UseDPDF=Y")</f>
        <v>7352.06</v>
      </c>
      <c r="T57" s="13">
        <f>_xll.BDH("INDIGO IN Equity","IS_PERSONNEL_EXP","FQ1 2022","FQ1 2022","Currency=INR","Period=FQ","BEST_FPERIOD_OVERRIDE=FQ","FILING_STATUS=MR","EQY_CONSOLIDATED=N","SCALING_FORMAT=MLN","Sort=A","Dates=H","DateFormat=P","Fill=—","Direction=H","UseDPDF=Y")</f>
        <v>7998.05</v>
      </c>
      <c r="U57" s="13">
        <f>_xll.BDH("INDIGO IN Equity","IS_PERSONNEL_EXP","FQ2 2022","FQ2 2022","Currency=INR","Period=FQ","BEST_FPERIOD_OVERRIDE=FQ","FILING_STATUS=MR","EQY_CONSOLIDATED=N","SCALING_FORMAT=MLN","Sort=A","Dates=H","DateFormat=P","Fill=—","Direction=H","UseDPDF=Y")</f>
        <v>7260.5</v>
      </c>
      <c r="V57" s="13">
        <f>_xll.BDH("INDIGO IN Equity","IS_PERSONNEL_EXP","FQ3 2022","FQ3 2022","Currency=INR","Period=FQ","BEST_FPERIOD_OVERRIDE=FQ","FILING_STATUS=MR","EQY_CONSOLIDATED=N","SCALING_FORMAT=MLN","Sort=A","Dates=H","DateFormat=P","Fill=—","Direction=H","UseDPDF=Y")</f>
        <v>7883.82</v>
      </c>
      <c r="W57" s="13">
        <f>_xll.BDH("INDIGO IN Equity","IS_PERSONNEL_EXP","FQ4 2022","FQ4 2022","Currency=INR","Period=FQ","BEST_FPERIOD_OVERRIDE=FQ","FILING_STATUS=MR","EQY_CONSOLIDATED=N","SCALING_FORMAT=MLN","Sort=A","Dates=H","DateFormat=P","Fill=—","Direction=H","UseDPDF=Y")</f>
        <v>8374.41</v>
      </c>
      <c r="X57" s="13">
        <f>_xll.BDH("INDIGO IN Equity","IS_PERSONNEL_EXP","FQ1 2023","FQ1 2023","Currency=INR","Period=FQ","BEST_FPERIOD_OVERRIDE=FQ","FILING_STATUS=MR","EQY_CONSOLIDATED=N","SCALING_FORMAT=MLN","Sort=A","Dates=H","DateFormat=P","Fill=—","Direction=H","UseDPDF=Y")</f>
        <v>9492.0499999999993</v>
      </c>
      <c r="Y57" s="13">
        <f>_xll.BDH("INDIGO IN Equity","IS_PERSONNEL_EXP","FQ2 2023","FQ2 2023","Currency=INR","Period=FQ","BEST_FPERIOD_OVERRIDE=FQ","FILING_STATUS=MR","EQY_CONSOLIDATED=N","SCALING_FORMAT=MLN","Sort=A","Dates=H","DateFormat=P","Fill=—","Direction=H","UseDPDF=Y")</f>
        <v>10407.790000000001</v>
      </c>
      <c r="Z57" s="13">
        <f>_xll.BDH("INDIGO IN Equity","IS_PERSONNEL_EXP","FQ3 2023","FQ3 2023","Currency=INR","Period=FQ","BEST_FPERIOD_OVERRIDE=FQ","FILING_STATUS=MR","EQY_CONSOLIDATED=N","SCALING_FORMAT=MLN","Sort=A","Dates=H","DateFormat=P","Fill=—","Direction=H","UseDPDF=Y")</f>
        <v>11635.03</v>
      </c>
      <c r="AA57" s="13">
        <f>_xll.BDH("INDIGO IN Equity","IS_PERSONNEL_EXP","FQ4 2023","FQ4 2023","Currency=INR","Period=FQ","BEST_FPERIOD_OVERRIDE=FQ","FILING_STATUS=MR","EQY_CONSOLIDATED=N","SCALING_FORMAT=MLN","Sort=A","Dates=H","DateFormat=P","Fill=—","Direction=H","UseDPDF=Y")</f>
        <v>11711.69</v>
      </c>
      <c r="AB57" s="13">
        <f>_xll.BDH("INDIGO IN Equity","IS_PERSONNEL_EXP","FQ1 2024","FQ1 2024","Currency=INR","Period=FQ","BEST_FPERIOD_OVERRIDE=FQ","FILING_STATUS=MR","EQY_CONSOLIDATED=N","SCALING_FORMAT=MLN","Sort=A","Dates=H","DateFormat=P","Fill=—","Direction=H","UseDPDF=Y")</f>
        <v>13140.46</v>
      </c>
      <c r="AC57" s="13">
        <f>_xll.BDH("INDIGO IN Equity","IS_PERSONNEL_EXP","FQ2 2024","FQ2 2024","Currency=INR","Period=FQ","BEST_FPERIOD_OVERRIDE=FQ","FILING_STATUS=MR","EQY_CONSOLIDATED=N","SCALING_FORMAT=MLN","Sort=A","Dates=H","DateFormat=P","Fill=—","Direction=H","UseDPDF=Y")</f>
        <v>13732.45</v>
      </c>
      <c r="AD57" s="13">
        <f>_xll.BDH("INDIGO IN Equity","IS_PERSONNEL_EXP","FQ3 2024","FQ3 2024","Currency=INR","Period=FQ","BEST_FPERIOD_OVERRIDE=FQ","FILING_STATUS=MR","EQY_CONSOLIDATED=N","SCALING_FORMAT=MLN","Sort=A","Dates=H","DateFormat=P","Fill=—","Direction=H","UseDPDF=Y")</f>
        <v>15328.41</v>
      </c>
      <c r="AE57" s="13">
        <f>_xll.BDH("INDIGO IN Equity","IS_PERSONNEL_EXP","FQ4 2024","FQ4 2024","Currency=INR","Period=FQ","BEST_FPERIOD_OVERRIDE=FQ","FILING_STATUS=MR","EQY_CONSOLIDATED=N","SCALING_FORMAT=MLN","Sort=A","Dates=H","DateFormat=P","Fill=—","Direction=H","UseDPDF=Y")</f>
        <v>16175.98</v>
      </c>
      <c r="AF57" s="13">
        <f>_xll.BDH("INDIGO IN Equity","IS_PERSONNEL_EXP","FQ1 2025","FQ1 2025","Currency=INR","Period=FQ","BEST_FPERIOD_OVERRIDE=FQ","FILING_STATUS=MR","EQY_CONSOLIDATED=N","SCALING_FORMAT=MLN","Sort=A","Dates=H","DateFormat=P","Fill=—","Direction=H","UseDPDF=Y")</f>
        <v>15859</v>
      </c>
      <c r="AG57" s="13">
        <f>_xll.BDH("INDIGO IN Equity","IS_PERSONNEL_EXP","FQ2 2025","FQ2 2025","Currency=INR","Period=FQ","BEST_FPERIOD_OVERRIDE=FQ","FILING_STATUS=MR","EQY_CONSOLIDATED=N","SCALING_FORMAT=MLN","Sort=A","Dates=H","DateFormat=P","Fill=—","Direction=H","UseDPDF=Y")</f>
        <v>16677</v>
      </c>
      <c r="AH57" s="13">
        <f>_xll.BDH("INDIGO IN Equity","IS_PERSONNEL_EXP","FQ3 2025","FQ3 2025","Currency=INR","Period=FQ","BEST_FPERIOD_OVERRIDE=FQ","FILING_STATUS=MR","EQY_CONSOLIDATED=N","SCALING_FORMAT=MLN","Sort=A","Dates=H","DateFormat=P","Fill=—","Direction=H","UseDPDF=Y")</f>
        <v>17256</v>
      </c>
      <c r="AI57" s="13">
        <f>_xll.BDH("INDIGO IN Equity","IS_PERSONNEL_EXP","FQ4 2025","FQ4 2025","Currency=INR","Period=FQ","BEST_FPERIOD_OVERRIDE=FQ","FILING_STATUS=MR","EQY_CONSOLIDATED=N","SCALING_FORMAT=MLN","Sort=A","Dates=H","DateFormat=P","Fill=—","Direction=H","UseDPDF=Y")</f>
        <v>17509</v>
      </c>
      <c r="AJ57" s="13">
        <f>_xll.BDH("INDIGO IN Equity","IS_PERSONNEL_EXP","FQ1 2026","FQ1 2026","Currency=INR","Period=FQ","BEST_FPERIOD_OVERRIDE=FQ","FILING_STATUS=MR","EQY_CONSOLIDATED=N","SCALING_FORMAT=MLN","Sort=A","Dates=H","DateFormat=P","Fill=—","Direction=H","UseDPDF=Y")</f>
        <v>18299</v>
      </c>
      <c r="AK57" s="13">
        <f>_xll.BDH("INDIGO IN Equity","IS_PERSONNEL_EXP","FQ2 2026","FQ2 2026","Currency=INR","Period=FQ","BEST_FPERIOD_OVERRIDE=FQ","FILING_STATUS=MR","EQY_CONSOLIDATED=N","SCALING_FORMAT=MLN","Sort=A","Dates=H","DateFormat=P","Fill=—","Direction=H","UseDPDF=Y")</f>
        <v>18235</v>
      </c>
      <c r="AL57" s="13">
        <f>_xll.BDH("INDIGO IN Equity","IS_PERSONNEL_EXP","FQ3 2026","FQ3 2026","Currency=INR","Period=FQ","BEST_FPERIOD_OVERRIDE=FQ","FILING_STATUS=MR","EQY_CONSOLIDATED=N","SCALING_FORMAT=MLN","Sort=A","Dates=H","DateFormat=P","Fill=—","Direction=H","UseDPDF=Y")</f>
        <v>18770</v>
      </c>
      <c r="AM57" s="13">
        <f>_xll.BDH("INDIGO IN Equity","IS_PERSONNEL_EXP","FQ4 2026","FQ4 2026","Currency=INR","Period=FQ","BEST_FPERIOD_OVERRIDE=FQ","FILING_STATUS=MR","EQY_CONSOLIDATED=N","SCALING_FORMAT=MLN","Sort=A","Dates=H","DateFormat=P","Fill=—","Direction=H","UseDPDF=Y")</f>
        <v>18297</v>
      </c>
      <c r="AN57" s="13">
        <f>_xll.BDH("INDIGO IN Equity","IS_PERSONNEL_EXP","FQ1 2027","FQ1 2027","Currency=INR","Period=FQ","BEST_FPERIOD_OVERRIDE=FQ","FILING_STATUS=MR","EQY_CONSOLIDATED=N","SCALING_FORMAT=MLN","Sort=A","Dates=H","DateFormat=P","Fill=—","Direction=H","UseDPDF=Y")</f>
        <v>20320</v>
      </c>
      <c r="AO57" s="13"/>
      <c r="AP57" s="13"/>
    </row>
    <row r="58" spans="1:42" x14ac:dyDescent="0.25">
      <c r="A58" s="12" t="s">
        <v>192</v>
      </c>
      <c r="B58" s="12" t="s">
        <v>193</v>
      </c>
      <c r="C58" s="13">
        <f>_xll.BDH("INDIGO IN Equity","BS_CURR_RENTAL_EXPENSE","FQ4 2017","FQ4 2017","Currency=INR","Period=FQ","BEST_FPERIOD_OVERRIDE=FQ","FILING_STATUS=MR","EQY_CONSOLIDATED=N","SCALING_FORMAT=MLN","Sort=A","Dates=H","DateFormat=P","Fill=—","Direction=H","UseDPDF=Y")</f>
        <v>8241.9599999999991</v>
      </c>
      <c r="D58" s="13">
        <f>_xll.BDH("INDIGO IN Equity","BS_CURR_RENTAL_EXPENSE","FQ1 2018","FQ1 2018","Currency=INR","Period=FQ","BEST_FPERIOD_OVERRIDE=FQ","FILING_STATUS=MR","EQY_CONSOLIDATED=N","SCALING_FORMAT=MLN","Sort=A","Dates=H","DateFormat=P","Fill=—","Direction=H","UseDPDF=Y")</f>
        <v>8536.92</v>
      </c>
      <c r="E58" s="13">
        <f>_xll.BDH("INDIGO IN Equity","BS_CURR_RENTAL_EXPENSE","FQ2 2018","FQ2 2018","Currency=INR","Period=FQ","BEST_FPERIOD_OVERRIDE=FQ","FILING_STATUS=MR","EQY_CONSOLIDATED=N","SCALING_FORMAT=MLN","Sort=A","Dates=H","DateFormat=P","Fill=—","Direction=H","UseDPDF=Y")</f>
        <v>8192.9500000000007</v>
      </c>
      <c r="F58" s="13">
        <f>_xll.BDH("INDIGO IN Equity","BS_CURR_RENTAL_EXPENSE","FQ3 2018","FQ3 2018","Currency=INR","Period=FQ","BEST_FPERIOD_OVERRIDE=FQ","FILING_STATUS=MR","EQY_CONSOLIDATED=N","SCALING_FORMAT=MLN","Sort=A","Dates=H","DateFormat=P","Fill=—","Direction=H","UseDPDF=Y")</f>
        <v>9441.6</v>
      </c>
      <c r="G58" s="13">
        <f>_xll.BDH("INDIGO IN Equity","BS_CURR_RENTAL_EXPENSE","FQ4 2018","FQ4 2018","Currency=INR","Period=FQ","BEST_FPERIOD_OVERRIDE=FQ","FILING_STATUS=MR","EQY_CONSOLIDATED=N","SCALING_FORMAT=MLN","Sort=A","Dates=H","DateFormat=P","Fill=—","Direction=H","UseDPDF=Y")</f>
        <v>9930.52</v>
      </c>
      <c r="H58" s="13">
        <f>_xll.BDH("INDIGO IN Equity","BS_CURR_RENTAL_EXPENSE","FQ1 2019","FQ1 2019","Currency=INR","Period=FQ","BEST_FPERIOD_OVERRIDE=FQ","FILING_STATUS=MR","EQY_CONSOLIDATED=N","SCALING_FORMAT=MLN","Sort=A","Dates=H","DateFormat=P","Fill=—","Direction=H","UseDPDF=Y")</f>
        <v>10423.66</v>
      </c>
      <c r="I58" s="13">
        <f>_xll.BDH("INDIGO IN Equity","BS_CURR_RENTAL_EXPENSE","FQ2 2019","FQ2 2019","Currency=INR","Period=FQ","BEST_FPERIOD_OVERRIDE=FQ","FILING_STATUS=MR","EQY_CONSOLIDATED=N","SCALING_FORMAT=MLN","Sort=A","Dates=H","DateFormat=P","Fill=—","Direction=H","UseDPDF=Y")</f>
        <v>11160.7</v>
      </c>
      <c r="J58" s="13">
        <f>_xll.BDH("INDIGO IN Equity","BS_CURR_RENTAL_EXPENSE","FQ3 2019","FQ3 2019","Currency=INR","Period=FQ","BEST_FPERIOD_OVERRIDE=FQ","FILING_STATUS=MR","EQY_CONSOLIDATED=N","SCALING_FORMAT=MLN","Sort=A","Dates=H","DateFormat=P","Fill=—","Direction=H","UseDPDF=Y")</f>
        <v>13760.79</v>
      </c>
      <c r="K58" s="13">
        <f>_xll.BDH("INDIGO IN Equity","BS_CURR_RENTAL_EXPENSE","FQ4 2019","FQ4 2019","Currency=INR","Period=FQ","BEST_FPERIOD_OVERRIDE=FQ","FILING_STATUS=MR","EQY_CONSOLIDATED=N","SCALING_FORMAT=MLN","Sort=A","Dates=H","DateFormat=P","Fill=—","Direction=H","UseDPDF=Y")</f>
        <v>14649.34</v>
      </c>
      <c r="L58" s="13">
        <f>_xll.BDH("INDIGO IN Equity","BS_CURR_RENTAL_EXPENSE","FQ1 2020","FQ1 2020","Currency=INR","Period=FQ","BEST_FPERIOD_OVERRIDE=FQ","FILING_STATUS=MR","EQY_CONSOLIDATED=N","SCALING_FORMAT=MLN","Sort=A","Dates=H","DateFormat=P","Fill=—","Direction=H","UseDPDF=Y")</f>
        <v>1287.8499999999999</v>
      </c>
      <c r="M58" s="13">
        <f>_xll.BDH("INDIGO IN Equity","BS_CURR_RENTAL_EXPENSE","FQ2 2020","FQ2 2020","Currency=INR","Period=FQ","BEST_FPERIOD_OVERRIDE=FQ","FILING_STATUS=MR","EQY_CONSOLIDATED=N","SCALING_FORMAT=MLN","Sort=A","Dates=H","DateFormat=P","Fill=—","Direction=H","UseDPDF=Y")</f>
        <v>1109.94</v>
      </c>
      <c r="N58" s="13">
        <f>_xll.BDH("INDIGO IN Equity","BS_CURR_RENTAL_EXPENSE","FQ3 2020","FQ3 2020","Currency=INR","Period=FQ","BEST_FPERIOD_OVERRIDE=FQ","FILING_STATUS=MR","EQY_CONSOLIDATED=N","SCALING_FORMAT=MLN","Sort=A","Dates=H","DateFormat=P","Fill=—","Direction=H","UseDPDF=Y")</f>
        <v>1342.96</v>
      </c>
      <c r="O58" s="13">
        <f>_xll.BDH("INDIGO IN Equity","BS_CURR_RENTAL_EXPENSE","FQ4 2020","FQ4 2020","Currency=INR","Period=FQ","BEST_FPERIOD_OVERRIDE=FQ","FILING_STATUS=MR","EQY_CONSOLIDATED=N","SCALING_FORMAT=MLN","Sort=A","Dates=H","DateFormat=P","Fill=—","Direction=H","UseDPDF=Y")</f>
        <v>23000.560000000001</v>
      </c>
      <c r="P58" s="13">
        <f>_xll.BDH("INDIGO IN Equity","BS_CURR_RENTAL_EXPENSE","FQ1 2021","FQ1 2021","Currency=INR","Period=FQ","BEST_FPERIOD_OVERRIDE=FQ","FILING_STATUS=MR","EQY_CONSOLIDATED=N","SCALING_FORMAT=MLN","Sort=A","Dates=H","DateFormat=P","Fill=—","Direction=H","UseDPDF=Y")</f>
        <v>757.37</v>
      </c>
      <c r="Q58" s="13">
        <f>_xll.BDH("INDIGO IN Equity","BS_CURR_RENTAL_EXPENSE","FQ2 2021","FQ2 2021","Currency=INR","Period=FQ","BEST_FPERIOD_OVERRIDE=FQ","FILING_STATUS=MR","EQY_CONSOLIDATED=N","SCALING_FORMAT=MLN","Sort=A","Dates=H","DateFormat=P","Fill=—","Direction=H","UseDPDF=Y")</f>
        <v>742.99</v>
      </c>
      <c r="R58" s="13">
        <f>_xll.BDH("INDIGO IN Equity","BS_CURR_RENTAL_EXPENSE","FQ3 2021","FQ3 2021","Currency=INR","Period=FQ","BEST_FPERIOD_OVERRIDE=FQ","FILING_STATUS=MR","EQY_CONSOLIDATED=N","SCALING_FORMAT=MLN","Sort=A","Dates=H","DateFormat=P","Fill=—","Direction=H","UseDPDF=Y")</f>
        <v>642.41</v>
      </c>
      <c r="S58" s="13">
        <f>_xll.BDH("INDIGO IN Equity","BS_CURR_RENTAL_EXPENSE","FQ4 2021","FQ4 2021","Currency=INR","Period=FQ","BEST_FPERIOD_OVERRIDE=FQ","FILING_STATUS=MR","EQY_CONSOLIDATED=N","SCALING_FORMAT=MLN","Sort=A","Dates=H","DateFormat=P","Fill=—","Direction=H","UseDPDF=Y")</f>
        <v>18040.939999999999</v>
      </c>
      <c r="T58" s="13">
        <f>_xll.BDH("INDIGO IN Equity","BS_CURR_RENTAL_EXPENSE","FQ1 2022","FQ1 2022","Currency=INR","Period=FQ","BEST_FPERIOD_OVERRIDE=FQ","FILING_STATUS=MR","EQY_CONSOLIDATED=N","SCALING_FORMAT=MLN","Sort=A","Dates=H","DateFormat=P","Fill=—","Direction=H","UseDPDF=Y")</f>
        <v>522.55999999999995</v>
      </c>
      <c r="U58" s="13">
        <f>_xll.BDH("INDIGO IN Equity","BS_CURR_RENTAL_EXPENSE","FQ2 2022","FQ2 2022","Currency=INR","Period=FQ","BEST_FPERIOD_OVERRIDE=FQ","FILING_STATUS=MR","EQY_CONSOLIDATED=N","SCALING_FORMAT=MLN","Sort=A","Dates=H","DateFormat=P","Fill=—","Direction=H","UseDPDF=Y")</f>
        <v>648.76</v>
      </c>
      <c r="V58" s="13">
        <f>_xll.BDH("INDIGO IN Equity","BS_CURR_RENTAL_EXPENSE","FQ3 2022","FQ3 2022","Currency=INR","Period=FQ","BEST_FPERIOD_OVERRIDE=FQ","FILING_STATUS=MR","EQY_CONSOLIDATED=N","SCALING_FORMAT=MLN","Sort=A","Dates=H","DateFormat=P","Fill=—","Direction=H","UseDPDF=Y")</f>
        <v>1272.54</v>
      </c>
      <c r="W58" s="13">
        <f>_xll.BDH("INDIGO IN Equity","BS_CURR_RENTAL_EXPENSE","FQ4 2022","FQ4 2022","Currency=INR","Period=FQ","BEST_FPERIOD_OVERRIDE=FQ","FILING_STATUS=MR","EQY_CONSOLIDATED=N","SCALING_FORMAT=MLN","Sort=A","Dates=H","DateFormat=P","Fill=—","Direction=H","UseDPDF=Y")</f>
        <v>20467.810000000001</v>
      </c>
      <c r="X58" s="13">
        <f>_xll.BDH("INDIGO IN Equity","BS_CURR_RENTAL_EXPENSE","FQ1 2023","FQ1 2023","Currency=INR","Period=FQ","BEST_FPERIOD_OVERRIDE=FQ","FILING_STATUS=MR","EQY_CONSOLIDATED=N","SCALING_FORMAT=MLN","Sort=A","Dates=H","DateFormat=P","Fill=—","Direction=H","UseDPDF=Y")</f>
        <v>652.65</v>
      </c>
      <c r="Y58" s="13">
        <f>_xll.BDH("INDIGO IN Equity","BS_CURR_RENTAL_EXPENSE","FQ2 2023","FQ2 2023","Currency=INR","Period=FQ","BEST_FPERIOD_OVERRIDE=FQ","FILING_STATUS=MR","EQY_CONSOLIDATED=N","SCALING_FORMAT=MLN","Sort=A","Dates=H","DateFormat=P","Fill=—","Direction=H","UseDPDF=Y")</f>
        <v>484.52</v>
      </c>
      <c r="Z58" s="13">
        <f>_xll.BDH("INDIGO IN Equity","BS_CURR_RENTAL_EXPENSE","FQ3 2023","FQ3 2023","Currency=INR","Period=FQ","BEST_FPERIOD_OVERRIDE=FQ","FILING_STATUS=MR","EQY_CONSOLIDATED=N","SCALING_FORMAT=MLN","Sort=A","Dates=H","DateFormat=P","Fill=—","Direction=H","UseDPDF=Y")</f>
        <v>700.03</v>
      </c>
      <c r="AA58" s="13">
        <f>_xll.BDH("INDIGO IN Equity","BS_CURR_RENTAL_EXPENSE","FQ4 2023","FQ4 2023","Currency=INR","Period=FQ","BEST_FPERIOD_OVERRIDE=FQ","FILING_STATUS=MR","EQY_CONSOLIDATED=N","SCALING_FORMAT=MLN","Sort=A","Dates=H","DateFormat=P","Fill=—","Direction=H","UseDPDF=Y")</f>
        <v>24771.08</v>
      </c>
      <c r="AB58" s="13">
        <f>_xll.BDH("INDIGO IN Equity","BS_CURR_RENTAL_EXPENSE","FQ1 2024","FQ1 2024","Currency=INR","Period=FQ","BEST_FPERIOD_OVERRIDE=FQ","FILING_STATUS=MR","EQY_CONSOLIDATED=N","SCALING_FORMAT=MLN","Sort=A","Dates=H","DateFormat=P","Fill=—","Direction=H","UseDPDF=Y")</f>
        <v>1945.87</v>
      </c>
      <c r="AC58" s="13">
        <f>_xll.BDH("INDIGO IN Equity","BS_CURR_RENTAL_EXPENSE","FQ2 2024","FQ2 2024","Currency=INR","Period=FQ","BEST_FPERIOD_OVERRIDE=FQ","FILING_STATUS=MR","EQY_CONSOLIDATED=N","SCALING_FORMAT=MLN","Sort=A","Dates=H","DateFormat=P","Fill=—","Direction=H","UseDPDF=Y")</f>
        <v>1955.57</v>
      </c>
      <c r="AD58" s="13">
        <f>_xll.BDH("INDIGO IN Equity","BS_CURR_RENTAL_EXPENSE","FQ3 2024","FQ3 2024","Currency=INR","Period=FQ","BEST_FPERIOD_OVERRIDE=FQ","FILING_STATUS=MR","EQY_CONSOLIDATED=N","SCALING_FORMAT=MLN","Sort=A","Dates=H","DateFormat=P","Fill=—","Direction=H","UseDPDF=Y")</f>
        <v>2990.74</v>
      </c>
      <c r="AE58" s="13">
        <f>_xll.BDH("INDIGO IN Equity","BS_CURR_RENTAL_EXPENSE","FQ4 2024","FQ4 2024","Currency=INR","Period=FQ","BEST_FPERIOD_OVERRIDE=FQ","FILING_STATUS=MR","EQY_CONSOLIDATED=N","SCALING_FORMAT=MLN","Sort=A","Dates=H","DateFormat=P","Fill=—","Direction=H","UseDPDF=Y")</f>
        <v>31446.84</v>
      </c>
      <c r="AF58" s="13">
        <f>_xll.BDH("INDIGO IN Equity","BS_CURR_RENTAL_EXPENSE","FQ1 2025","FQ1 2025","Currency=INR","Period=FQ","BEST_FPERIOD_OVERRIDE=FQ","FILING_STATUS=MR","EQY_CONSOLIDATED=N","SCALING_FORMAT=MLN","Sort=A","Dates=H","DateFormat=P","Fill=—","Direction=H","UseDPDF=Y")</f>
        <v>6241</v>
      </c>
      <c r="AG58" s="13">
        <f>_xll.BDH("INDIGO IN Equity","BS_CURR_RENTAL_EXPENSE","FQ2 2025","FQ2 2025","Currency=INR","Period=FQ","BEST_FPERIOD_OVERRIDE=FQ","FILING_STATUS=MR","EQY_CONSOLIDATED=N","SCALING_FORMAT=MLN","Sort=A","Dates=H","DateFormat=P","Fill=—","Direction=H","UseDPDF=Y")</f>
        <v>7636</v>
      </c>
      <c r="AH58" s="13">
        <f>_xll.BDH("INDIGO IN Equity","BS_CURR_RENTAL_EXPENSE","FQ3 2025","FQ3 2025","Currency=INR","Period=FQ","BEST_FPERIOD_OVERRIDE=FQ","FILING_STATUS=MR","EQY_CONSOLIDATED=N","SCALING_FORMAT=MLN","Sort=A","Dates=H","DateFormat=P","Fill=—","Direction=H","UseDPDF=Y")</f>
        <v>7585</v>
      </c>
      <c r="AI58" s="13">
        <f>_xll.BDH("INDIGO IN Equity","BS_CURR_RENTAL_EXPENSE","FQ4 2025","FQ4 2025","Currency=INR","Period=FQ","BEST_FPERIOD_OVERRIDE=FQ","FILING_STATUS=MR","EQY_CONSOLIDATED=N","SCALING_FORMAT=MLN","Sort=A","Dates=H","DateFormat=P","Fill=—","Direction=H","UseDPDF=Y")</f>
        <v>38809</v>
      </c>
      <c r="AJ58" s="13">
        <f>_xll.BDH("INDIGO IN Equity","BS_CURR_RENTAL_EXPENSE","FQ1 2026","FQ1 2026","Currency=INR","Period=FQ","BEST_FPERIOD_OVERRIDE=FQ","FILING_STATUS=MR","EQY_CONSOLIDATED=N","SCALING_FORMAT=MLN","Sort=A","Dates=H","DateFormat=P","Fill=—","Direction=H","UseDPDF=Y")</f>
        <v>4925</v>
      </c>
      <c r="AK58" s="13">
        <f>_xll.BDH("INDIGO IN Equity","BS_CURR_RENTAL_EXPENSE","FQ2 2026","FQ2 2026","Currency=INR","Period=FQ","BEST_FPERIOD_OVERRIDE=FQ","FILING_STATUS=MR","EQY_CONSOLIDATED=N","SCALING_FORMAT=MLN","Sort=A","Dates=H","DateFormat=P","Fill=—","Direction=H","UseDPDF=Y")</f>
        <v>3200</v>
      </c>
      <c r="AL58" s="13">
        <f>_xll.BDH("INDIGO IN Equity","BS_CURR_RENTAL_EXPENSE","FQ3 2026","FQ3 2026","Currency=INR","Period=FQ","BEST_FPERIOD_OVERRIDE=FQ","FILING_STATUS=MR","EQY_CONSOLIDATED=N","SCALING_FORMAT=MLN","Sort=A","Dates=H","DateFormat=P","Fill=—","Direction=H","UseDPDF=Y")</f>
        <v>5093</v>
      </c>
      <c r="AM58" s="13">
        <f>_xll.BDH("INDIGO IN Equity","BS_CURR_RENTAL_EXPENSE","FQ4 2026","FQ4 2026","Currency=INR","Period=FQ","BEST_FPERIOD_OVERRIDE=FQ","FILING_STATUS=MR","EQY_CONSOLIDATED=N","SCALING_FORMAT=MLN","Sort=A","Dates=H","DateFormat=P","Fill=—","Direction=H","UseDPDF=Y")</f>
        <v>39719</v>
      </c>
      <c r="AN58" s="13">
        <f>_xll.BDH("INDIGO IN Equity","BS_CURR_RENTAL_EXPENSE","FQ1 2027","FQ1 2027","Currency=INR","Period=FQ","BEST_FPERIOD_OVERRIDE=FQ","FILING_STATUS=MR","EQY_CONSOLIDATED=N","SCALING_FORMAT=MLN","Sort=A","Dates=H","DateFormat=P","Fill=—","Direction=H","UseDPDF=Y")</f>
        <v>5397</v>
      </c>
      <c r="AO58" s="13"/>
      <c r="AP58" s="13"/>
    </row>
    <row r="59" spans="1:42" x14ac:dyDescent="0.25">
      <c r="A59" s="18" t="s">
        <v>194</v>
      </c>
      <c r="B59" s="18"/>
      <c r="C59" s="18" t="s">
        <v>195</v>
      </c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  <c r="AA59" s="18"/>
      <c r="AB59" s="18"/>
      <c r="AC59" s="18"/>
      <c r="AD59" s="18"/>
      <c r="AE59" s="18"/>
      <c r="AF59" s="18"/>
      <c r="AG59" s="18"/>
      <c r="AH59" s="18"/>
      <c r="AI59" s="18"/>
      <c r="AJ59" s="18"/>
      <c r="AK59" s="18"/>
      <c r="AL59" s="18"/>
      <c r="AM59" s="18"/>
      <c r="AN59" s="18"/>
      <c r="AO59" s="18"/>
      <c r="AP59" s="1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BF4676-C55A-4BB0-B5F1-350B6E645042}">
  <dimension ref="A1:C149"/>
  <sheetViews>
    <sheetView workbookViewId="0">
      <selection activeCell="G21" sqref="G21"/>
    </sheetView>
  </sheetViews>
  <sheetFormatPr defaultRowHeight="15" x14ac:dyDescent="0.25"/>
  <cols>
    <col min="1" max="1" width="14" customWidth="1"/>
    <col min="2" max="2" width="16" bestFit="1" customWidth="1"/>
  </cols>
  <sheetData>
    <row r="1" spans="1:3" x14ac:dyDescent="0.25">
      <c r="A1" t="s">
        <v>0</v>
      </c>
      <c r="B1" t="s">
        <v>1</v>
      </c>
    </row>
    <row r="2" spans="1:3" x14ac:dyDescent="0.25">
      <c r="A2" t="s">
        <v>2</v>
      </c>
      <c r="B2" s="1">
        <v>42034</v>
      </c>
    </row>
    <row r="3" spans="1:3" x14ac:dyDescent="0.25">
      <c r="A3" t="s">
        <v>3</v>
      </c>
      <c r="B3" s="1">
        <v>46325</v>
      </c>
    </row>
    <row r="4" spans="1:3" x14ac:dyDescent="0.25">
      <c r="A4" t="s">
        <v>4</v>
      </c>
      <c r="B4" t="s">
        <v>5</v>
      </c>
    </row>
    <row r="5" spans="1:3" x14ac:dyDescent="0.25">
      <c r="A5" t="s">
        <v>6</v>
      </c>
      <c r="B5" t="s">
        <v>7</v>
      </c>
    </row>
    <row r="7" spans="1:3" x14ac:dyDescent="0.25">
      <c r="A7" t="s">
        <v>8</v>
      </c>
      <c r="B7" t="s">
        <v>9</v>
      </c>
      <c r="C7" t="s">
        <v>10</v>
      </c>
    </row>
    <row r="8" spans="1:3" x14ac:dyDescent="0.25">
      <c r="A8" s="2">
        <f>_xll.BDH(B1,B7:C7,B2,B3,"Dir=V","Dts=S","Sort=D","Quote=C","QtTyp=P","Days=T",CONCATENATE("Per=c",B4),"DtFmt=D","UseDPDF=Y",CONCATENATE("PCS=",B5),"cols=3;rows=142")</f>
        <v>46325</v>
      </c>
      <c r="B8">
        <v>94.926299999999998</v>
      </c>
      <c r="C8">
        <v>94.92</v>
      </c>
    </row>
    <row r="9" spans="1:3" x14ac:dyDescent="0.25">
      <c r="A9" s="2">
        <v>46295</v>
      </c>
      <c r="B9">
        <v>95.827500000000001</v>
      </c>
      <c r="C9">
        <v>95.822500000000005</v>
      </c>
    </row>
    <row r="10" spans="1:3" x14ac:dyDescent="0.25">
      <c r="A10" s="2">
        <v>46265</v>
      </c>
      <c r="B10">
        <v>95.1738</v>
      </c>
      <c r="C10">
        <v>95.17</v>
      </c>
    </row>
    <row r="11" spans="1:3" x14ac:dyDescent="0.25">
      <c r="A11" s="2">
        <v>46234</v>
      </c>
      <c r="B11">
        <v>95.392499999999998</v>
      </c>
      <c r="C11">
        <v>95.385000000000005</v>
      </c>
    </row>
    <row r="12" spans="1:3" x14ac:dyDescent="0.25">
      <c r="A12" s="2">
        <v>46203</v>
      </c>
      <c r="B12">
        <v>94.667500000000004</v>
      </c>
      <c r="C12">
        <v>94.662499999999994</v>
      </c>
    </row>
    <row r="13" spans="1:3" x14ac:dyDescent="0.25">
      <c r="A13" s="2">
        <v>46171</v>
      </c>
      <c r="B13">
        <v>95.003799999999998</v>
      </c>
      <c r="C13">
        <v>94.997500000000002</v>
      </c>
    </row>
    <row r="14" spans="1:3" x14ac:dyDescent="0.25">
      <c r="A14" s="2">
        <v>46142</v>
      </c>
      <c r="B14">
        <v>94.92</v>
      </c>
      <c r="C14">
        <v>94.907499999999999</v>
      </c>
    </row>
    <row r="15" spans="1:3" x14ac:dyDescent="0.25">
      <c r="A15" s="2">
        <v>46112</v>
      </c>
      <c r="B15">
        <v>94.832499999999996</v>
      </c>
      <c r="C15">
        <v>94.814999999999998</v>
      </c>
    </row>
    <row r="16" spans="1:3" x14ac:dyDescent="0.25">
      <c r="A16" s="2">
        <v>46080</v>
      </c>
      <c r="B16">
        <v>90.977500000000006</v>
      </c>
      <c r="C16">
        <v>90.974999999999994</v>
      </c>
    </row>
    <row r="17" spans="1:3" x14ac:dyDescent="0.25">
      <c r="A17" s="2">
        <v>46052</v>
      </c>
      <c r="B17">
        <v>91.99</v>
      </c>
      <c r="C17">
        <v>91.984999999999999</v>
      </c>
    </row>
    <row r="18" spans="1:3" x14ac:dyDescent="0.25">
      <c r="A18" s="2">
        <v>46022</v>
      </c>
      <c r="B18">
        <v>89.876300000000001</v>
      </c>
      <c r="C18">
        <v>89.872500000000002</v>
      </c>
    </row>
    <row r="19" spans="1:3" x14ac:dyDescent="0.25">
      <c r="A19" s="2">
        <v>45989</v>
      </c>
      <c r="B19">
        <v>89.456299999999999</v>
      </c>
      <c r="C19">
        <v>89.452500000000001</v>
      </c>
    </row>
    <row r="20" spans="1:3" x14ac:dyDescent="0.25">
      <c r="A20" s="2">
        <v>45961</v>
      </c>
      <c r="B20">
        <v>88.772499999999994</v>
      </c>
      <c r="C20">
        <v>88.77</v>
      </c>
    </row>
    <row r="21" spans="1:3" x14ac:dyDescent="0.25">
      <c r="A21" s="2">
        <v>45930</v>
      </c>
      <c r="B21">
        <v>88.788799999999995</v>
      </c>
      <c r="C21">
        <v>88.784999999999997</v>
      </c>
    </row>
    <row r="22" spans="1:3" x14ac:dyDescent="0.25">
      <c r="A22" s="2">
        <v>45898</v>
      </c>
      <c r="B22">
        <v>88.206299999999999</v>
      </c>
      <c r="C22">
        <v>88.2</v>
      </c>
    </row>
    <row r="23" spans="1:3" x14ac:dyDescent="0.25">
      <c r="A23" s="2">
        <v>45869</v>
      </c>
      <c r="B23">
        <v>87.6</v>
      </c>
      <c r="C23">
        <v>87.594999999999999</v>
      </c>
    </row>
    <row r="24" spans="1:3" x14ac:dyDescent="0.25">
      <c r="A24" s="2">
        <v>45838</v>
      </c>
      <c r="B24">
        <v>85.752499999999998</v>
      </c>
      <c r="C24">
        <v>85.74</v>
      </c>
    </row>
    <row r="25" spans="1:3" x14ac:dyDescent="0.25">
      <c r="A25" s="2">
        <v>45807</v>
      </c>
      <c r="B25">
        <v>85.581299999999999</v>
      </c>
      <c r="C25">
        <v>85.572500000000005</v>
      </c>
    </row>
    <row r="26" spans="1:3" x14ac:dyDescent="0.25">
      <c r="A26" s="2">
        <v>45777</v>
      </c>
      <c r="B26">
        <v>84.495000000000005</v>
      </c>
      <c r="C26">
        <v>84.48</v>
      </c>
    </row>
    <row r="27" spans="1:3" x14ac:dyDescent="0.25">
      <c r="A27" s="2">
        <v>45747</v>
      </c>
      <c r="B27">
        <v>85.462500000000006</v>
      </c>
      <c r="C27">
        <v>85.442499999999995</v>
      </c>
    </row>
    <row r="28" spans="1:3" x14ac:dyDescent="0.25">
      <c r="A28" s="2">
        <v>45716</v>
      </c>
      <c r="B28">
        <v>87.512500000000003</v>
      </c>
      <c r="C28">
        <v>87.482500000000002</v>
      </c>
    </row>
    <row r="29" spans="1:3" x14ac:dyDescent="0.25">
      <c r="A29" s="2">
        <v>45688</v>
      </c>
      <c r="B29">
        <v>86.616200000000006</v>
      </c>
      <c r="C29">
        <v>86.607500000000002</v>
      </c>
    </row>
    <row r="30" spans="1:3" x14ac:dyDescent="0.25">
      <c r="A30" s="2">
        <v>45657</v>
      </c>
      <c r="B30">
        <v>85.608699999999999</v>
      </c>
      <c r="C30">
        <v>85.597499999999997</v>
      </c>
    </row>
    <row r="31" spans="1:3" x14ac:dyDescent="0.25">
      <c r="A31" s="2">
        <v>45625</v>
      </c>
      <c r="B31">
        <v>84.492500000000007</v>
      </c>
      <c r="C31">
        <v>84.487499999999997</v>
      </c>
    </row>
    <row r="32" spans="1:3" x14ac:dyDescent="0.25">
      <c r="A32" s="2">
        <v>45596</v>
      </c>
      <c r="B32">
        <v>84.083699999999993</v>
      </c>
      <c r="C32">
        <v>84.075000000000003</v>
      </c>
    </row>
    <row r="33" spans="1:3" x14ac:dyDescent="0.25">
      <c r="A33" s="2">
        <v>45565</v>
      </c>
      <c r="B33">
        <v>83.801299999999998</v>
      </c>
      <c r="C33">
        <v>83.792500000000004</v>
      </c>
    </row>
    <row r="34" spans="1:3" x14ac:dyDescent="0.25">
      <c r="A34" s="2">
        <v>45534</v>
      </c>
      <c r="B34">
        <v>83.871200000000002</v>
      </c>
      <c r="C34">
        <v>83.864999999999995</v>
      </c>
    </row>
    <row r="35" spans="1:3" x14ac:dyDescent="0.25">
      <c r="A35" s="2">
        <v>45504</v>
      </c>
      <c r="B35">
        <v>83.727500000000006</v>
      </c>
      <c r="C35">
        <v>83.722499999999997</v>
      </c>
    </row>
    <row r="36" spans="1:3" x14ac:dyDescent="0.25">
      <c r="A36" s="2">
        <v>45471</v>
      </c>
      <c r="B36">
        <v>83.391300000000001</v>
      </c>
      <c r="C36">
        <v>83.385000000000005</v>
      </c>
    </row>
    <row r="37" spans="1:3" x14ac:dyDescent="0.25">
      <c r="A37" s="2">
        <v>45443</v>
      </c>
      <c r="B37">
        <v>83.465000000000003</v>
      </c>
      <c r="C37">
        <v>83.46</v>
      </c>
    </row>
    <row r="38" spans="1:3" x14ac:dyDescent="0.25">
      <c r="A38" s="2">
        <v>45412</v>
      </c>
      <c r="B38">
        <v>83.436199999999999</v>
      </c>
      <c r="C38">
        <v>83.43</v>
      </c>
    </row>
    <row r="39" spans="1:3" x14ac:dyDescent="0.25">
      <c r="A39" s="2">
        <v>45380</v>
      </c>
      <c r="B39">
        <v>83.403700000000001</v>
      </c>
      <c r="C39">
        <v>83.4</v>
      </c>
    </row>
    <row r="40" spans="1:3" x14ac:dyDescent="0.25">
      <c r="A40" s="2">
        <v>45351</v>
      </c>
      <c r="B40">
        <v>82.913799999999995</v>
      </c>
      <c r="C40">
        <v>82.91</v>
      </c>
    </row>
    <row r="41" spans="1:3" x14ac:dyDescent="0.25">
      <c r="A41" s="2">
        <v>45322</v>
      </c>
      <c r="B41">
        <v>83.041200000000003</v>
      </c>
      <c r="C41">
        <v>83.037499999999994</v>
      </c>
    </row>
    <row r="42" spans="1:3" x14ac:dyDescent="0.25">
      <c r="A42" s="2">
        <v>45289</v>
      </c>
      <c r="B42">
        <v>83.21</v>
      </c>
      <c r="C42">
        <v>83.204999999999998</v>
      </c>
    </row>
    <row r="43" spans="1:3" x14ac:dyDescent="0.25">
      <c r="A43" s="2">
        <v>45260</v>
      </c>
      <c r="B43">
        <v>83.394999999999996</v>
      </c>
      <c r="C43">
        <v>83.39</v>
      </c>
    </row>
    <row r="44" spans="1:3" x14ac:dyDescent="0.25">
      <c r="A44" s="2">
        <v>45230</v>
      </c>
      <c r="B44">
        <v>83.254999999999995</v>
      </c>
      <c r="C44">
        <v>83.25</v>
      </c>
    </row>
    <row r="45" spans="1:3" x14ac:dyDescent="0.25">
      <c r="A45" s="2">
        <v>45198</v>
      </c>
      <c r="B45">
        <v>83.04</v>
      </c>
      <c r="C45">
        <v>83.034999999999997</v>
      </c>
    </row>
    <row r="46" spans="1:3" x14ac:dyDescent="0.25">
      <c r="A46" s="2">
        <v>45169</v>
      </c>
      <c r="B46">
        <v>82.784999999999997</v>
      </c>
      <c r="C46">
        <v>82.78</v>
      </c>
    </row>
    <row r="47" spans="1:3" x14ac:dyDescent="0.25">
      <c r="A47" s="2">
        <v>45138</v>
      </c>
      <c r="B47">
        <v>82.253799999999998</v>
      </c>
      <c r="C47">
        <v>82.247500000000002</v>
      </c>
    </row>
    <row r="48" spans="1:3" x14ac:dyDescent="0.25">
      <c r="A48" s="2">
        <v>45107</v>
      </c>
      <c r="B48">
        <v>82.04</v>
      </c>
      <c r="C48">
        <v>82.037499999999994</v>
      </c>
    </row>
    <row r="49" spans="1:3" x14ac:dyDescent="0.25">
      <c r="A49" s="2">
        <v>45077</v>
      </c>
      <c r="B49">
        <v>82.727500000000006</v>
      </c>
      <c r="C49">
        <v>82.72</v>
      </c>
    </row>
    <row r="50" spans="1:3" x14ac:dyDescent="0.25">
      <c r="A50" s="2">
        <v>45044</v>
      </c>
      <c r="B50">
        <v>81.832499999999996</v>
      </c>
      <c r="C50">
        <v>81.83</v>
      </c>
    </row>
    <row r="51" spans="1:3" x14ac:dyDescent="0.25">
      <c r="A51" s="2">
        <v>45016</v>
      </c>
      <c r="B51">
        <v>82.182500000000005</v>
      </c>
      <c r="C51">
        <v>82.174999999999997</v>
      </c>
    </row>
    <row r="52" spans="1:3" x14ac:dyDescent="0.25">
      <c r="A52" s="2">
        <v>44985</v>
      </c>
      <c r="B52">
        <v>82.67</v>
      </c>
      <c r="C52">
        <v>82.665000000000006</v>
      </c>
    </row>
    <row r="53" spans="1:3" x14ac:dyDescent="0.25">
      <c r="A53" s="2">
        <v>44957</v>
      </c>
      <c r="B53">
        <v>81.9238</v>
      </c>
      <c r="C53">
        <v>81.917500000000004</v>
      </c>
    </row>
    <row r="54" spans="1:3" x14ac:dyDescent="0.25">
      <c r="A54" s="2">
        <v>44925</v>
      </c>
      <c r="B54">
        <v>82.734999999999999</v>
      </c>
      <c r="C54">
        <v>82.72</v>
      </c>
    </row>
    <row r="55" spans="1:3" x14ac:dyDescent="0.25">
      <c r="A55" s="2">
        <v>44895</v>
      </c>
      <c r="B55">
        <v>81.428700000000006</v>
      </c>
      <c r="C55">
        <v>81.422499999999999</v>
      </c>
    </row>
    <row r="56" spans="1:3" x14ac:dyDescent="0.25">
      <c r="A56" s="2">
        <v>44865</v>
      </c>
      <c r="B56">
        <v>82.784999999999997</v>
      </c>
      <c r="C56">
        <v>82.765000000000001</v>
      </c>
    </row>
    <row r="57" spans="1:3" x14ac:dyDescent="0.25">
      <c r="A57" s="2">
        <v>44834</v>
      </c>
      <c r="B57">
        <v>81.348799999999997</v>
      </c>
      <c r="C57">
        <v>81.342500000000001</v>
      </c>
    </row>
    <row r="58" spans="1:3" x14ac:dyDescent="0.25">
      <c r="A58" s="2">
        <v>44804</v>
      </c>
      <c r="B58">
        <v>79.459999999999994</v>
      </c>
      <c r="C58">
        <v>79.457499999999996</v>
      </c>
    </row>
    <row r="59" spans="1:3" x14ac:dyDescent="0.25">
      <c r="A59" s="2">
        <v>44771</v>
      </c>
      <c r="B59">
        <v>79.268799999999999</v>
      </c>
      <c r="C59">
        <v>79.262500000000003</v>
      </c>
    </row>
    <row r="60" spans="1:3" x14ac:dyDescent="0.25">
      <c r="A60" s="2">
        <v>44742</v>
      </c>
      <c r="B60">
        <v>78.972499999999997</v>
      </c>
      <c r="C60">
        <v>78.967500000000001</v>
      </c>
    </row>
    <row r="61" spans="1:3" x14ac:dyDescent="0.25">
      <c r="A61" s="2">
        <v>44712</v>
      </c>
      <c r="B61">
        <v>77.637500000000003</v>
      </c>
      <c r="C61">
        <v>77.635000000000005</v>
      </c>
    </row>
    <row r="62" spans="1:3" x14ac:dyDescent="0.25">
      <c r="A62" s="2">
        <v>44680</v>
      </c>
      <c r="B62">
        <v>76.432500000000005</v>
      </c>
      <c r="C62">
        <v>76.427499999999995</v>
      </c>
    </row>
    <row r="63" spans="1:3" x14ac:dyDescent="0.25">
      <c r="A63" s="2">
        <v>44651</v>
      </c>
      <c r="B63">
        <v>75.786199999999994</v>
      </c>
      <c r="C63">
        <v>75.777500000000003</v>
      </c>
    </row>
    <row r="64" spans="1:3" x14ac:dyDescent="0.25">
      <c r="A64" s="2">
        <v>44620</v>
      </c>
      <c r="B64">
        <v>75.342500000000001</v>
      </c>
      <c r="C64">
        <v>75.334999999999994</v>
      </c>
    </row>
    <row r="65" spans="1:3" x14ac:dyDescent="0.25">
      <c r="A65" s="2">
        <v>44592</v>
      </c>
      <c r="B65">
        <v>74.622500000000002</v>
      </c>
      <c r="C65">
        <v>74.617500000000007</v>
      </c>
    </row>
    <row r="66" spans="1:3" x14ac:dyDescent="0.25">
      <c r="A66" s="2">
        <v>44561</v>
      </c>
      <c r="B66">
        <v>74.337500000000006</v>
      </c>
      <c r="C66">
        <v>74.332499999999996</v>
      </c>
    </row>
    <row r="67" spans="1:3" x14ac:dyDescent="0.25">
      <c r="A67" s="2">
        <v>44530</v>
      </c>
      <c r="B67">
        <v>75.168700000000001</v>
      </c>
      <c r="C67">
        <v>75.162499999999994</v>
      </c>
    </row>
    <row r="68" spans="1:3" x14ac:dyDescent="0.25">
      <c r="A68" s="2">
        <v>44498</v>
      </c>
      <c r="B68">
        <v>74.877499999999998</v>
      </c>
      <c r="C68">
        <v>74.872500000000002</v>
      </c>
    </row>
    <row r="69" spans="1:3" x14ac:dyDescent="0.25">
      <c r="A69" s="2">
        <v>44469</v>
      </c>
      <c r="B69">
        <v>74.238799999999998</v>
      </c>
      <c r="C69">
        <v>74.23</v>
      </c>
    </row>
    <row r="70" spans="1:3" x14ac:dyDescent="0.25">
      <c r="A70" s="2">
        <v>44439</v>
      </c>
      <c r="B70">
        <v>73.006299999999996</v>
      </c>
      <c r="C70">
        <v>73.002499999999998</v>
      </c>
    </row>
    <row r="71" spans="1:3" x14ac:dyDescent="0.25">
      <c r="A71" s="2">
        <v>44407</v>
      </c>
      <c r="B71">
        <v>74.417500000000004</v>
      </c>
      <c r="C71">
        <v>74.415000000000006</v>
      </c>
    </row>
    <row r="72" spans="1:3" x14ac:dyDescent="0.25">
      <c r="A72" s="2">
        <v>44377</v>
      </c>
      <c r="B72">
        <v>74.331299999999999</v>
      </c>
      <c r="C72">
        <v>74.325000000000003</v>
      </c>
    </row>
    <row r="73" spans="1:3" x14ac:dyDescent="0.25">
      <c r="A73" s="2">
        <v>44347</v>
      </c>
      <c r="B73">
        <v>72.614999999999995</v>
      </c>
      <c r="C73">
        <v>72.605000000000004</v>
      </c>
    </row>
    <row r="74" spans="1:3" x14ac:dyDescent="0.25">
      <c r="A74" s="2">
        <v>44316</v>
      </c>
      <c r="B74">
        <v>74.087500000000006</v>
      </c>
      <c r="C74">
        <v>74.064999999999998</v>
      </c>
    </row>
    <row r="75" spans="1:3" x14ac:dyDescent="0.25">
      <c r="A75" s="2">
        <v>44286</v>
      </c>
      <c r="B75">
        <v>73.112499999999997</v>
      </c>
      <c r="C75">
        <v>73.105000000000004</v>
      </c>
    </row>
    <row r="76" spans="1:3" x14ac:dyDescent="0.25">
      <c r="A76" s="2">
        <v>44253</v>
      </c>
      <c r="B76">
        <v>73.465000000000003</v>
      </c>
      <c r="C76">
        <v>73.459999999999994</v>
      </c>
    </row>
    <row r="77" spans="1:3" x14ac:dyDescent="0.25">
      <c r="A77" s="2">
        <v>44225</v>
      </c>
      <c r="B77">
        <v>72.953800000000001</v>
      </c>
      <c r="C77">
        <v>72.947500000000005</v>
      </c>
    </row>
    <row r="78" spans="1:3" x14ac:dyDescent="0.25">
      <c r="A78" s="2">
        <v>44196</v>
      </c>
      <c r="B78">
        <v>73.064999999999998</v>
      </c>
      <c r="C78">
        <v>73.06</v>
      </c>
    </row>
    <row r="79" spans="1:3" x14ac:dyDescent="0.25">
      <c r="A79" s="2">
        <v>44165</v>
      </c>
      <c r="B79">
        <v>74.040000000000006</v>
      </c>
      <c r="C79">
        <v>74.03</v>
      </c>
    </row>
    <row r="80" spans="1:3" x14ac:dyDescent="0.25">
      <c r="A80" s="2">
        <v>44134</v>
      </c>
      <c r="B80">
        <v>74.11</v>
      </c>
      <c r="C80">
        <v>74.105000000000004</v>
      </c>
    </row>
    <row r="81" spans="1:3" x14ac:dyDescent="0.25">
      <c r="A81" s="2">
        <v>44104</v>
      </c>
      <c r="B81">
        <v>73.7637</v>
      </c>
      <c r="C81">
        <v>73.75</v>
      </c>
    </row>
    <row r="82" spans="1:3" x14ac:dyDescent="0.25">
      <c r="A82" s="2">
        <v>44074</v>
      </c>
      <c r="B82">
        <v>73.62</v>
      </c>
      <c r="C82">
        <v>73.614999999999995</v>
      </c>
    </row>
    <row r="83" spans="1:3" x14ac:dyDescent="0.25">
      <c r="A83" s="2">
        <v>44043</v>
      </c>
      <c r="B83">
        <v>74.8125</v>
      </c>
      <c r="C83">
        <v>74.81</v>
      </c>
    </row>
    <row r="84" spans="1:3" x14ac:dyDescent="0.25">
      <c r="A84" s="2">
        <v>44012</v>
      </c>
      <c r="B84">
        <v>75.508700000000005</v>
      </c>
      <c r="C84">
        <v>75.504999999999995</v>
      </c>
    </row>
    <row r="85" spans="1:3" x14ac:dyDescent="0.25">
      <c r="A85" s="2">
        <v>43980</v>
      </c>
      <c r="B85">
        <v>75.617500000000007</v>
      </c>
      <c r="C85">
        <v>75.614999999999995</v>
      </c>
    </row>
    <row r="86" spans="1:3" x14ac:dyDescent="0.25">
      <c r="A86" s="2">
        <v>43951</v>
      </c>
      <c r="B86">
        <v>75.099999999999994</v>
      </c>
      <c r="C86">
        <v>75.09</v>
      </c>
    </row>
    <row r="87" spans="1:3" x14ac:dyDescent="0.25">
      <c r="A87" s="2">
        <v>43921</v>
      </c>
      <c r="B87">
        <v>75.542500000000004</v>
      </c>
      <c r="C87">
        <v>75.504999999999995</v>
      </c>
    </row>
    <row r="88" spans="1:3" x14ac:dyDescent="0.25">
      <c r="A88" s="2">
        <v>43889</v>
      </c>
      <c r="B88">
        <v>72.176299999999998</v>
      </c>
      <c r="C88">
        <v>72.17</v>
      </c>
    </row>
    <row r="89" spans="1:3" x14ac:dyDescent="0.25">
      <c r="A89" s="2">
        <v>43861</v>
      </c>
      <c r="B89">
        <v>71.352500000000006</v>
      </c>
      <c r="C89">
        <v>71.349999999999994</v>
      </c>
    </row>
    <row r="90" spans="1:3" x14ac:dyDescent="0.25">
      <c r="A90" s="2">
        <v>43830</v>
      </c>
      <c r="B90">
        <v>71.378799999999998</v>
      </c>
      <c r="C90">
        <v>71.372500000000002</v>
      </c>
    </row>
    <row r="91" spans="1:3" x14ac:dyDescent="0.25">
      <c r="A91" s="2">
        <v>43798</v>
      </c>
      <c r="B91">
        <v>71.737499999999997</v>
      </c>
      <c r="C91">
        <v>71.732500000000002</v>
      </c>
    </row>
    <row r="92" spans="1:3" x14ac:dyDescent="0.25">
      <c r="A92" s="2">
        <v>43769</v>
      </c>
      <c r="B92">
        <v>70.927499999999995</v>
      </c>
      <c r="C92">
        <v>70.922499999999999</v>
      </c>
    </row>
    <row r="93" spans="1:3" x14ac:dyDescent="0.25">
      <c r="A93" s="2">
        <v>43738</v>
      </c>
      <c r="B93">
        <v>70.867500000000007</v>
      </c>
      <c r="C93">
        <v>70.862499999999997</v>
      </c>
    </row>
    <row r="94" spans="1:3" x14ac:dyDescent="0.25">
      <c r="A94" s="2">
        <v>43707</v>
      </c>
      <c r="B94">
        <v>71.405000000000001</v>
      </c>
      <c r="C94">
        <v>71.400000000000006</v>
      </c>
    </row>
    <row r="95" spans="1:3" x14ac:dyDescent="0.25">
      <c r="A95" s="2">
        <v>43677</v>
      </c>
      <c r="B95">
        <v>68.8</v>
      </c>
      <c r="C95">
        <v>68.792500000000004</v>
      </c>
    </row>
    <row r="96" spans="1:3" x14ac:dyDescent="0.25">
      <c r="A96" s="2">
        <v>43644</v>
      </c>
      <c r="B96">
        <v>69.027500000000003</v>
      </c>
      <c r="C96">
        <v>69.02</v>
      </c>
    </row>
    <row r="97" spans="1:3" x14ac:dyDescent="0.25">
      <c r="A97" s="2">
        <v>43616</v>
      </c>
      <c r="B97">
        <v>69.697500000000005</v>
      </c>
      <c r="C97">
        <v>69.692499999999995</v>
      </c>
    </row>
    <row r="98" spans="1:3" x14ac:dyDescent="0.25">
      <c r="A98" s="2">
        <v>43585</v>
      </c>
      <c r="B98">
        <v>69.556299999999993</v>
      </c>
      <c r="C98">
        <v>69.55</v>
      </c>
    </row>
    <row r="99" spans="1:3" x14ac:dyDescent="0.25">
      <c r="A99" s="2">
        <v>43553</v>
      </c>
      <c r="B99">
        <v>69.148799999999994</v>
      </c>
      <c r="C99">
        <v>69.14</v>
      </c>
    </row>
    <row r="100" spans="1:3" x14ac:dyDescent="0.25">
      <c r="A100" s="2">
        <v>43524</v>
      </c>
      <c r="B100">
        <v>70.745000000000005</v>
      </c>
      <c r="C100">
        <v>70.739999999999995</v>
      </c>
    </row>
    <row r="101" spans="1:3" x14ac:dyDescent="0.25">
      <c r="A101" s="2">
        <v>43496</v>
      </c>
      <c r="B101">
        <v>71.084999999999994</v>
      </c>
      <c r="C101">
        <v>71.08</v>
      </c>
    </row>
    <row r="102" spans="1:3" x14ac:dyDescent="0.25">
      <c r="A102" s="2">
        <v>43465</v>
      </c>
      <c r="B102">
        <v>69.771199999999993</v>
      </c>
      <c r="C102">
        <v>69.765000000000001</v>
      </c>
    </row>
    <row r="103" spans="1:3" x14ac:dyDescent="0.25">
      <c r="A103" s="2">
        <v>43434</v>
      </c>
      <c r="B103">
        <v>69.583699999999993</v>
      </c>
      <c r="C103">
        <v>69.577500000000001</v>
      </c>
    </row>
    <row r="104" spans="1:3" x14ac:dyDescent="0.25">
      <c r="A104" s="2">
        <v>43404</v>
      </c>
      <c r="B104">
        <v>73.954999999999998</v>
      </c>
      <c r="C104">
        <v>73.95</v>
      </c>
    </row>
    <row r="105" spans="1:3" x14ac:dyDescent="0.25">
      <c r="A105" s="2">
        <v>43371</v>
      </c>
      <c r="B105">
        <v>72.489999999999995</v>
      </c>
      <c r="C105">
        <v>72.484999999999999</v>
      </c>
    </row>
    <row r="106" spans="1:3" x14ac:dyDescent="0.25">
      <c r="A106" s="2">
        <v>43343</v>
      </c>
      <c r="B106">
        <v>70.996200000000002</v>
      </c>
      <c r="C106">
        <v>70.992500000000007</v>
      </c>
    </row>
    <row r="107" spans="1:3" x14ac:dyDescent="0.25">
      <c r="A107" s="2">
        <v>43312</v>
      </c>
      <c r="B107">
        <v>68.547499999999999</v>
      </c>
      <c r="C107">
        <v>68.542500000000004</v>
      </c>
    </row>
    <row r="108" spans="1:3" x14ac:dyDescent="0.25">
      <c r="A108" s="2">
        <v>43280</v>
      </c>
      <c r="B108">
        <v>68.47</v>
      </c>
      <c r="C108">
        <v>68.465000000000003</v>
      </c>
    </row>
    <row r="109" spans="1:3" x14ac:dyDescent="0.25">
      <c r="A109" s="2">
        <v>43251</v>
      </c>
      <c r="B109">
        <v>67.396299999999997</v>
      </c>
      <c r="C109">
        <v>67.377499999999998</v>
      </c>
    </row>
    <row r="110" spans="1:3" x14ac:dyDescent="0.25">
      <c r="A110" s="2">
        <v>43220</v>
      </c>
      <c r="B110">
        <v>66.661299999999997</v>
      </c>
      <c r="C110">
        <v>66.655000000000001</v>
      </c>
    </row>
    <row r="111" spans="1:3" x14ac:dyDescent="0.25">
      <c r="A111" s="2">
        <v>43189</v>
      </c>
      <c r="B111">
        <v>65.177499999999995</v>
      </c>
      <c r="C111">
        <v>65.172499999999999</v>
      </c>
    </row>
    <row r="112" spans="1:3" x14ac:dyDescent="0.25">
      <c r="A112" s="2">
        <v>43159</v>
      </c>
      <c r="B112">
        <v>65.177499999999995</v>
      </c>
      <c r="C112">
        <v>65.174999999999997</v>
      </c>
    </row>
    <row r="113" spans="1:3" x14ac:dyDescent="0.25">
      <c r="A113" s="2">
        <v>43131</v>
      </c>
      <c r="B113">
        <v>63.586300000000001</v>
      </c>
      <c r="C113">
        <v>63.582500000000003</v>
      </c>
    </row>
    <row r="114" spans="1:3" x14ac:dyDescent="0.25">
      <c r="A114" s="2">
        <v>43098</v>
      </c>
      <c r="B114">
        <v>63.871299999999998</v>
      </c>
      <c r="C114">
        <v>63.8675</v>
      </c>
    </row>
    <row r="115" spans="1:3" x14ac:dyDescent="0.25">
      <c r="A115" s="2">
        <v>43069</v>
      </c>
      <c r="B115">
        <v>64.458799999999997</v>
      </c>
      <c r="C115">
        <v>64.447500000000005</v>
      </c>
    </row>
    <row r="116" spans="1:3" x14ac:dyDescent="0.25">
      <c r="A116" s="2">
        <v>43039</v>
      </c>
      <c r="B116">
        <v>64.746200000000002</v>
      </c>
      <c r="C116">
        <v>64.739999999999995</v>
      </c>
    </row>
    <row r="117" spans="1:3" x14ac:dyDescent="0.25">
      <c r="A117" s="2">
        <v>43007</v>
      </c>
      <c r="B117">
        <v>65.276200000000003</v>
      </c>
      <c r="C117">
        <v>65.27</v>
      </c>
    </row>
    <row r="118" spans="1:3" x14ac:dyDescent="0.25">
      <c r="A118" s="2">
        <v>42978</v>
      </c>
      <c r="B118">
        <v>63.906300000000002</v>
      </c>
      <c r="C118">
        <v>63.902500000000003</v>
      </c>
    </row>
    <row r="119" spans="1:3" x14ac:dyDescent="0.25">
      <c r="A119" s="2">
        <v>42947</v>
      </c>
      <c r="B119">
        <v>64.1875</v>
      </c>
      <c r="C119">
        <v>64.182500000000005</v>
      </c>
    </row>
    <row r="120" spans="1:3" x14ac:dyDescent="0.25">
      <c r="A120" s="2">
        <v>42916</v>
      </c>
      <c r="B120">
        <v>64.578800000000001</v>
      </c>
      <c r="C120">
        <v>64.575000000000003</v>
      </c>
    </row>
    <row r="121" spans="1:3" x14ac:dyDescent="0.25">
      <c r="A121" s="2">
        <v>42886</v>
      </c>
      <c r="B121">
        <v>64.511200000000002</v>
      </c>
      <c r="C121">
        <v>64.504999999999995</v>
      </c>
    </row>
    <row r="122" spans="1:3" x14ac:dyDescent="0.25">
      <c r="A122" s="2">
        <v>42853</v>
      </c>
      <c r="B122">
        <v>64.245000000000005</v>
      </c>
      <c r="C122">
        <v>64.239999999999995</v>
      </c>
    </row>
    <row r="123" spans="1:3" x14ac:dyDescent="0.25">
      <c r="A123" s="2">
        <v>42825</v>
      </c>
      <c r="B123">
        <v>64.849999999999994</v>
      </c>
      <c r="C123">
        <v>64.844999999999999</v>
      </c>
    </row>
    <row r="124" spans="1:3" x14ac:dyDescent="0.25">
      <c r="A124" s="2">
        <v>42794</v>
      </c>
      <c r="B124">
        <v>66.69</v>
      </c>
      <c r="C124">
        <v>66.685000000000002</v>
      </c>
    </row>
    <row r="125" spans="1:3" x14ac:dyDescent="0.25">
      <c r="A125" s="2">
        <v>42766</v>
      </c>
      <c r="B125">
        <v>67.864999999999995</v>
      </c>
      <c r="C125">
        <v>67.86</v>
      </c>
    </row>
    <row r="126" spans="1:3" x14ac:dyDescent="0.25">
      <c r="A126" s="2">
        <v>42734</v>
      </c>
      <c r="B126">
        <v>67.924999999999997</v>
      </c>
      <c r="C126">
        <v>67.92</v>
      </c>
    </row>
    <row r="127" spans="1:3" x14ac:dyDescent="0.25">
      <c r="A127" s="2">
        <v>42704</v>
      </c>
      <c r="B127">
        <v>68.3887</v>
      </c>
      <c r="C127">
        <v>68.382499999999993</v>
      </c>
    </row>
    <row r="128" spans="1:3" x14ac:dyDescent="0.25">
      <c r="A128" s="2">
        <v>42674</v>
      </c>
      <c r="B128">
        <v>66.778700000000001</v>
      </c>
      <c r="C128">
        <v>66.777500000000003</v>
      </c>
    </row>
    <row r="129" spans="1:3" x14ac:dyDescent="0.25">
      <c r="A129" s="2">
        <v>42643</v>
      </c>
      <c r="B129">
        <v>66.614999999999995</v>
      </c>
      <c r="C129">
        <v>66.61</v>
      </c>
    </row>
    <row r="130" spans="1:3" x14ac:dyDescent="0.25">
      <c r="A130" s="2">
        <v>42613</v>
      </c>
      <c r="B130">
        <v>66.963700000000003</v>
      </c>
      <c r="C130">
        <v>66.959999999999994</v>
      </c>
    </row>
    <row r="131" spans="1:3" x14ac:dyDescent="0.25">
      <c r="A131" s="2">
        <v>42580</v>
      </c>
      <c r="B131">
        <v>66.995000000000005</v>
      </c>
      <c r="C131">
        <v>66.989999999999995</v>
      </c>
    </row>
    <row r="132" spans="1:3" x14ac:dyDescent="0.25">
      <c r="A132" s="2">
        <v>42551</v>
      </c>
      <c r="B132">
        <v>67.525000000000006</v>
      </c>
      <c r="C132">
        <v>67.52</v>
      </c>
    </row>
    <row r="133" spans="1:3" x14ac:dyDescent="0.25">
      <c r="A133" s="2">
        <v>42521</v>
      </c>
      <c r="B133">
        <v>67.260000000000005</v>
      </c>
      <c r="C133">
        <v>67.254999999999995</v>
      </c>
    </row>
    <row r="134" spans="1:3" x14ac:dyDescent="0.25">
      <c r="A134" s="2">
        <v>42489</v>
      </c>
      <c r="B134">
        <v>66.33</v>
      </c>
      <c r="C134">
        <v>66.325000000000003</v>
      </c>
    </row>
    <row r="135" spans="1:3" x14ac:dyDescent="0.25">
      <c r="A135" s="2">
        <v>42460</v>
      </c>
      <c r="B135">
        <v>66.247500000000002</v>
      </c>
      <c r="C135">
        <v>66.242500000000007</v>
      </c>
    </row>
    <row r="136" spans="1:3" x14ac:dyDescent="0.25">
      <c r="A136" s="2">
        <v>42429</v>
      </c>
      <c r="B136">
        <v>68.42</v>
      </c>
      <c r="C136">
        <v>68.415000000000006</v>
      </c>
    </row>
    <row r="137" spans="1:3" x14ac:dyDescent="0.25">
      <c r="A137" s="2">
        <v>42398</v>
      </c>
      <c r="B137">
        <v>67.792500000000004</v>
      </c>
      <c r="C137">
        <v>67.790000000000006</v>
      </c>
    </row>
    <row r="138" spans="1:3" x14ac:dyDescent="0.25">
      <c r="A138" s="2">
        <v>42369</v>
      </c>
      <c r="B138">
        <v>66.153700000000001</v>
      </c>
      <c r="C138">
        <v>66.150000000000006</v>
      </c>
    </row>
    <row r="139" spans="1:3" x14ac:dyDescent="0.25">
      <c r="A139" s="2">
        <v>42338</v>
      </c>
      <c r="B139">
        <v>66.667500000000004</v>
      </c>
      <c r="C139">
        <v>66.665000000000006</v>
      </c>
    </row>
    <row r="140" spans="1:3" x14ac:dyDescent="0.25">
      <c r="A140" s="2">
        <v>42307</v>
      </c>
      <c r="B140">
        <v>65.265000000000001</v>
      </c>
      <c r="C140">
        <v>65.260000000000005</v>
      </c>
    </row>
    <row r="141" spans="1:3" x14ac:dyDescent="0.25">
      <c r="A141" s="2">
        <v>42277</v>
      </c>
      <c r="B141">
        <v>65.59</v>
      </c>
      <c r="C141">
        <v>65.584999999999994</v>
      </c>
    </row>
    <row r="142" spans="1:3" x14ac:dyDescent="0.25">
      <c r="A142" s="2">
        <v>42247</v>
      </c>
      <c r="B142">
        <v>66.482500000000002</v>
      </c>
      <c r="C142">
        <v>66.48</v>
      </c>
    </row>
    <row r="143" spans="1:3" x14ac:dyDescent="0.25">
      <c r="A143" s="2">
        <v>42216</v>
      </c>
      <c r="B143">
        <v>64.136200000000002</v>
      </c>
      <c r="C143">
        <v>64.132499999999993</v>
      </c>
    </row>
    <row r="144" spans="1:3" x14ac:dyDescent="0.25">
      <c r="A144" s="2">
        <v>42185</v>
      </c>
      <c r="B144">
        <v>63.651299999999999</v>
      </c>
      <c r="C144">
        <v>63.65</v>
      </c>
    </row>
    <row r="145" spans="1:3" x14ac:dyDescent="0.25">
      <c r="A145" s="2">
        <v>42153</v>
      </c>
      <c r="B145">
        <v>63.825000000000003</v>
      </c>
      <c r="C145">
        <v>63.82</v>
      </c>
    </row>
    <row r="146" spans="1:3" x14ac:dyDescent="0.25">
      <c r="A146" s="2">
        <v>42124</v>
      </c>
      <c r="B146">
        <v>63.422499999999999</v>
      </c>
      <c r="C146">
        <v>63.42</v>
      </c>
    </row>
    <row r="147" spans="1:3" x14ac:dyDescent="0.25">
      <c r="A147" s="2">
        <v>42094</v>
      </c>
      <c r="B147">
        <v>62.497500000000002</v>
      </c>
      <c r="C147">
        <v>62.494999999999997</v>
      </c>
    </row>
    <row r="148" spans="1:3" x14ac:dyDescent="0.25">
      <c r="A148" s="2">
        <v>42062</v>
      </c>
      <c r="B148">
        <v>61.844999999999999</v>
      </c>
      <c r="C148">
        <v>61.84</v>
      </c>
    </row>
    <row r="149" spans="1:3" x14ac:dyDescent="0.25">
      <c r="A149" s="2">
        <v>42034</v>
      </c>
      <c r="B149">
        <v>61.872500000000002</v>
      </c>
      <c r="C149">
        <v>61.8675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7E4B9B-B9BD-4D29-B5F3-41E18A97E02E}">
  <dimension ref="A1:C147"/>
  <sheetViews>
    <sheetView workbookViewId="0">
      <selection activeCell="L30" sqref="L30"/>
    </sheetView>
  </sheetViews>
  <sheetFormatPr defaultRowHeight="15" x14ac:dyDescent="0.25"/>
  <cols>
    <col min="1" max="1" width="10.42578125" bestFit="1" customWidth="1"/>
    <col min="2" max="2" width="16" bestFit="1" customWidth="1"/>
    <col min="3" max="3" width="23.5703125" customWidth="1"/>
  </cols>
  <sheetData>
    <row r="1" spans="1:3" x14ac:dyDescent="0.25">
      <c r="A1" t="s">
        <v>0</v>
      </c>
      <c r="B1" t="s">
        <v>15</v>
      </c>
    </row>
    <row r="2" spans="1:3" x14ac:dyDescent="0.25">
      <c r="A2" t="s">
        <v>2</v>
      </c>
      <c r="B2" s="1">
        <v>42006</v>
      </c>
    </row>
    <row r="3" spans="1:3" x14ac:dyDescent="0.25">
      <c r="A3" t="s">
        <v>3</v>
      </c>
      <c r="B3" s="1">
        <v>46326</v>
      </c>
    </row>
    <row r="4" spans="1:3" x14ac:dyDescent="0.25">
      <c r="A4" t="s">
        <v>4</v>
      </c>
      <c r="B4" t="s">
        <v>5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s="2">
        <f>_xll.BDH(B1,B6:C6,B2,B3,"Dir=V","Dts=S","Sort=D","Quote=C","QtTyp=P","Days=T",CONCATENATE("Per=c",B4),"DtFmt=D","UseDPDF=Y","cols=3;rows=141")</f>
        <v>46295</v>
      </c>
      <c r="B7">
        <v>5.54</v>
      </c>
      <c r="C7" t="s">
        <v>14</v>
      </c>
    </row>
    <row r="8" spans="1:3" x14ac:dyDescent="0.25">
      <c r="A8" s="2">
        <v>46265</v>
      </c>
      <c r="B8">
        <v>4.83</v>
      </c>
      <c r="C8" t="s">
        <v>14</v>
      </c>
    </row>
    <row r="9" spans="1:3" x14ac:dyDescent="0.25">
      <c r="A9" s="2">
        <v>46234</v>
      </c>
      <c r="B9">
        <v>4.45</v>
      </c>
      <c r="C9" t="s">
        <v>14</v>
      </c>
    </row>
    <row r="10" spans="1:3" x14ac:dyDescent="0.25">
      <c r="A10" s="2">
        <v>46203</v>
      </c>
      <c r="B10">
        <v>4.38</v>
      </c>
      <c r="C10" t="s">
        <v>14</v>
      </c>
    </row>
    <row r="11" spans="1:3" x14ac:dyDescent="0.25">
      <c r="A11" s="2">
        <v>46173</v>
      </c>
      <c r="B11">
        <v>3.93</v>
      </c>
      <c r="C11" t="s">
        <v>14</v>
      </c>
    </row>
    <row r="12" spans="1:3" x14ac:dyDescent="0.25">
      <c r="A12" s="2">
        <v>46142</v>
      </c>
      <c r="B12">
        <v>3.48</v>
      </c>
      <c r="C12" t="s">
        <v>14</v>
      </c>
    </row>
    <row r="13" spans="1:3" x14ac:dyDescent="0.25">
      <c r="A13" s="2">
        <v>46112</v>
      </c>
      <c r="B13">
        <v>3.4</v>
      </c>
      <c r="C13" t="s">
        <v>14</v>
      </c>
    </row>
    <row r="14" spans="1:3" x14ac:dyDescent="0.25">
      <c r="A14" s="2">
        <v>46081</v>
      </c>
      <c r="B14">
        <v>3.21</v>
      </c>
      <c r="C14" t="s">
        <v>14</v>
      </c>
    </row>
    <row r="15" spans="1:3" x14ac:dyDescent="0.25">
      <c r="A15" s="2">
        <v>46053</v>
      </c>
      <c r="B15">
        <v>2.74</v>
      </c>
      <c r="C15" t="s">
        <v>14</v>
      </c>
    </row>
    <row r="16" spans="1:3" x14ac:dyDescent="0.25">
      <c r="A16" s="2">
        <v>46022</v>
      </c>
      <c r="B16">
        <v>1.17</v>
      </c>
      <c r="C16" t="s">
        <v>14</v>
      </c>
    </row>
    <row r="17" spans="1:3" x14ac:dyDescent="0.25">
      <c r="A17" s="2">
        <v>45991</v>
      </c>
      <c r="B17">
        <v>0.49</v>
      </c>
      <c r="C17" t="s">
        <v>14</v>
      </c>
    </row>
    <row r="18" spans="1:3" x14ac:dyDescent="0.25">
      <c r="A18" s="2">
        <v>45961</v>
      </c>
      <c r="B18">
        <v>0.04</v>
      </c>
      <c r="C18" t="s">
        <v>14</v>
      </c>
    </row>
    <row r="19" spans="1:3" x14ac:dyDescent="0.25">
      <c r="A19" s="2">
        <v>45930</v>
      </c>
      <c r="B19">
        <v>1.41</v>
      </c>
      <c r="C19" t="s">
        <v>14</v>
      </c>
    </row>
    <row r="20" spans="1:3" x14ac:dyDescent="0.25">
      <c r="A20" s="2">
        <v>45900</v>
      </c>
      <c r="B20">
        <v>2.0099999999999998</v>
      </c>
      <c r="C20" t="s">
        <v>14</v>
      </c>
    </row>
    <row r="21" spans="1:3" x14ac:dyDescent="0.25">
      <c r="A21" s="2">
        <v>45869</v>
      </c>
      <c r="B21">
        <v>1.62</v>
      </c>
      <c r="C21" t="s">
        <v>14</v>
      </c>
    </row>
    <row r="22" spans="1:3" x14ac:dyDescent="0.25">
      <c r="A22" s="2">
        <v>45838</v>
      </c>
      <c r="B22">
        <v>2.31</v>
      </c>
      <c r="C22" t="s">
        <v>14</v>
      </c>
    </row>
    <row r="23" spans="1:3" x14ac:dyDescent="0.25">
      <c r="A23" s="2">
        <v>45808</v>
      </c>
      <c r="B23">
        <v>3.03</v>
      </c>
      <c r="C23" t="s">
        <v>14</v>
      </c>
    </row>
    <row r="24" spans="1:3" x14ac:dyDescent="0.25">
      <c r="A24" s="2">
        <v>45777</v>
      </c>
      <c r="B24">
        <v>3.34</v>
      </c>
      <c r="C24" t="s">
        <v>14</v>
      </c>
    </row>
    <row r="25" spans="1:3" x14ac:dyDescent="0.25">
      <c r="A25" s="2">
        <v>45747</v>
      </c>
      <c r="B25">
        <v>3.56</v>
      </c>
      <c r="C25" t="s">
        <v>14</v>
      </c>
    </row>
    <row r="26" spans="1:3" x14ac:dyDescent="0.25">
      <c r="A26" s="2">
        <v>45716</v>
      </c>
      <c r="B26">
        <v>3.49</v>
      </c>
      <c r="C26" t="s">
        <v>14</v>
      </c>
    </row>
    <row r="27" spans="1:3" x14ac:dyDescent="0.25">
      <c r="A27" s="2">
        <v>45688</v>
      </c>
      <c r="B27">
        <v>4.0599999999999996</v>
      </c>
      <c r="C27" t="s">
        <v>14</v>
      </c>
    </row>
    <row r="28" spans="1:3" x14ac:dyDescent="0.25">
      <c r="A28" s="2">
        <v>45657</v>
      </c>
      <c r="B28">
        <v>5.22</v>
      </c>
      <c r="C28" t="s">
        <v>14</v>
      </c>
    </row>
    <row r="29" spans="1:3" x14ac:dyDescent="0.25">
      <c r="A29" s="2">
        <v>45626</v>
      </c>
      <c r="B29">
        <v>5.48</v>
      </c>
      <c r="C29" t="s">
        <v>14</v>
      </c>
    </row>
    <row r="30" spans="1:3" x14ac:dyDescent="0.25">
      <c r="A30" s="2">
        <v>45596</v>
      </c>
      <c r="B30">
        <v>6.21</v>
      </c>
      <c r="C30" t="s">
        <v>14</v>
      </c>
    </row>
    <row r="31" spans="1:3" x14ac:dyDescent="0.25">
      <c r="A31" s="2">
        <v>45565</v>
      </c>
      <c r="B31">
        <v>5.49</v>
      </c>
      <c r="C31" t="s">
        <v>14</v>
      </c>
    </row>
    <row r="32" spans="1:3" x14ac:dyDescent="0.25">
      <c r="A32" s="2">
        <v>45535</v>
      </c>
      <c r="B32">
        <v>3.65</v>
      </c>
      <c r="C32" t="s">
        <v>14</v>
      </c>
    </row>
    <row r="33" spans="1:3" x14ac:dyDescent="0.25">
      <c r="A33" s="2">
        <v>45504</v>
      </c>
      <c r="B33">
        <v>3.6</v>
      </c>
      <c r="C33" t="s">
        <v>14</v>
      </c>
    </row>
    <row r="34" spans="1:3" x14ac:dyDescent="0.25">
      <c r="A34" s="2">
        <v>45473</v>
      </c>
      <c r="B34">
        <v>5.08</v>
      </c>
      <c r="C34" t="s">
        <v>14</v>
      </c>
    </row>
    <row r="35" spans="1:3" x14ac:dyDescent="0.25">
      <c r="A35" s="2">
        <v>45443</v>
      </c>
      <c r="B35">
        <v>4.8</v>
      </c>
      <c r="C35" t="s">
        <v>14</v>
      </c>
    </row>
    <row r="36" spans="1:3" x14ac:dyDescent="0.25">
      <c r="A36" s="2">
        <v>45412</v>
      </c>
      <c r="B36">
        <v>4.83</v>
      </c>
      <c r="C36" t="s">
        <v>14</v>
      </c>
    </row>
    <row r="37" spans="1:3" x14ac:dyDescent="0.25">
      <c r="A37" s="2">
        <v>45382</v>
      </c>
      <c r="B37">
        <v>4.8499999999999996</v>
      </c>
      <c r="C37" t="s">
        <v>14</v>
      </c>
    </row>
    <row r="38" spans="1:3" x14ac:dyDescent="0.25">
      <c r="A38" s="2">
        <v>45351</v>
      </c>
      <c r="B38">
        <v>5.09</v>
      </c>
      <c r="C38" t="s">
        <v>14</v>
      </c>
    </row>
    <row r="39" spans="1:3" x14ac:dyDescent="0.25">
      <c r="A39" s="2">
        <v>45322</v>
      </c>
      <c r="B39">
        <v>5.0999999999999996</v>
      </c>
      <c r="C39" t="s">
        <v>14</v>
      </c>
    </row>
    <row r="40" spans="1:3" x14ac:dyDescent="0.25">
      <c r="A40" s="2">
        <v>45291</v>
      </c>
      <c r="B40">
        <v>5.69</v>
      </c>
      <c r="C40" t="s">
        <v>14</v>
      </c>
    </row>
    <row r="41" spans="1:3" x14ac:dyDescent="0.25">
      <c r="A41" s="2">
        <v>45260</v>
      </c>
      <c r="B41">
        <v>5.55</v>
      </c>
      <c r="C41" t="s">
        <v>14</v>
      </c>
    </row>
    <row r="42" spans="1:3" x14ac:dyDescent="0.25">
      <c r="A42" s="2">
        <v>45230</v>
      </c>
      <c r="B42">
        <v>4.87</v>
      </c>
      <c r="C42" t="s">
        <v>14</v>
      </c>
    </row>
    <row r="43" spans="1:3" x14ac:dyDescent="0.25">
      <c r="A43" s="2">
        <v>45199</v>
      </c>
      <c r="B43">
        <v>5.0199999999999996</v>
      </c>
      <c r="C43" t="s">
        <v>14</v>
      </c>
    </row>
    <row r="44" spans="1:3" x14ac:dyDescent="0.25">
      <c r="A44" s="2">
        <v>45169</v>
      </c>
      <c r="B44">
        <v>6.83</v>
      </c>
      <c r="C44" t="s">
        <v>14</v>
      </c>
    </row>
    <row r="45" spans="1:3" x14ac:dyDescent="0.25">
      <c r="A45" s="2">
        <v>45138</v>
      </c>
      <c r="B45">
        <v>7.44</v>
      </c>
      <c r="C45" t="s">
        <v>14</v>
      </c>
    </row>
    <row r="46" spans="1:3" x14ac:dyDescent="0.25">
      <c r="A46" s="2">
        <v>45107</v>
      </c>
      <c r="B46">
        <v>4.87</v>
      </c>
      <c r="C46" t="s">
        <v>14</v>
      </c>
    </row>
    <row r="47" spans="1:3" x14ac:dyDescent="0.25">
      <c r="A47" s="2">
        <v>45077</v>
      </c>
      <c r="B47">
        <v>4.3099999999999996</v>
      </c>
      <c r="C47" t="s">
        <v>14</v>
      </c>
    </row>
    <row r="48" spans="1:3" x14ac:dyDescent="0.25">
      <c r="A48" s="2">
        <v>45046</v>
      </c>
      <c r="B48">
        <v>4.7</v>
      </c>
      <c r="C48" t="s">
        <v>14</v>
      </c>
    </row>
    <row r="49" spans="1:3" x14ac:dyDescent="0.25">
      <c r="A49" s="2">
        <v>45016</v>
      </c>
      <c r="B49">
        <v>5.66</v>
      </c>
      <c r="C49" t="s">
        <v>14</v>
      </c>
    </row>
    <row r="50" spans="1:3" x14ac:dyDescent="0.25">
      <c r="A50" s="2">
        <v>44985</v>
      </c>
      <c r="B50">
        <v>6.44</v>
      </c>
      <c r="C50" t="s">
        <v>14</v>
      </c>
    </row>
    <row r="51" spans="1:3" x14ac:dyDescent="0.25">
      <c r="A51" s="2">
        <v>44957</v>
      </c>
      <c r="B51">
        <v>6.52</v>
      </c>
      <c r="C51" t="s">
        <v>14</v>
      </c>
    </row>
    <row r="52" spans="1:3" x14ac:dyDescent="0.25">
      <c r="A52" s="2">
        <v>44926</v>
      </c>
      <c r="B52">
        <v>5.72</v>
      </c>
      <c r="C52" t="s">
        <v>14</v>
      </c>
    </row>
    <row r="53" spans="1:3" x14ac:dyDescent="0.25">
      <c r="A53" s="2">
        <v>44895</v>
      </c>
      <c r="B53">
        <v>5.88</v>
      </c>
      <c r="C53" t="s">
        <v>14</v>
      </c>
    </row>
    <row r="54" spans="1:3" x14ac:dyDescent="0.25">
      <c r="A54" s="2">
        <v>44865</v>
      </c>
      <c r="B54">
        <v>6.77</v>
      </c>
      <c r="C54" t="s">
        <v>14</v>
      </c>
    </row>
    <row r="55" spans="1:3" x14ac:dyDescent="0.25">
      <c r="A55" s="2">
        <v>44834</v>
      </c>
      <c r="B55">
        <v>7.41</v>
      </c>
      <c r="C55" t="s">
        <v>14</v>
      </c>
    </row>
    <row r="56" spans="1:3" x14ac:dyDescent="0.25">
      <c r="A56" s="2">
        <v>44804</v>
      </c>
      <c r="B56">
        <v>7</v>
      </c>
      <c r="C56" t="s">
        <v>14</v>
      </c>
    </row>
    <row r="57" spans="1:3" x14ac:dyDescent="0.25">
      <c r="A57" s="2">
        <v>44773</v>
      </c>
      <c r="B57">
        <v>6.71</v>
      </c>
      <c r="C57" t="s">
        <v>14</v>
      </c>
    </row>
    <row r="58" spans="1:3" x14ac:dyDescent="0.25">
      <c r="A58" s="2">
        <v>44742</v>
      </c>
      <c r="B58">
        <v>7.01</v>
      </c>
      <c r="C58" t="s">
        <v>14</v>
      </c>
    </row>
    <row r="59" spans="1:3" x14ac:dyDescent="0.25">
      <c r="A59" s="2">
        <v>44712</v>
      </c>
      <c r="B59">
        <v>7.04</v>
      </c>
      <c r="C59" t="s">
        <v>14</v>
      </c>
    </row>
    <row r="60" spans="1:3" x14ac:dyDescent="0.25">
      <c r="A60" s="2">
        <v>44681</v>
      </c>
      <c r="B60">
        <v>7.79</v>
      </c>
      <c r="C60" t="s">
        <v>14</v>
      </c>
    </row>
    <row r="61" spans="1:3" x14ac:dyDescent="0.25">
      <c r="A61" s="2">
        <v>44651</v>
      </c>
      <c r="B61">
        <v>6.95</v>
      </c>
      <c r="C61" t="s">
        <v>14</v>
      </c>
    </row>
    <row r="62" spans="1:3" x14ac:dyDescent="0.25">
      <c r="A62" s="2">
        <v>44620</v>
      </c>
      <c r="B62">
        <v>6.07</v>
      </c>
      <c r="C62" t="s">
        <v>14</v>
      </c>
    </row>
    <row r="63" spans="1:3" x14ac:dyDescent="0.25">
      <c r="A63" s="2">
        <v>44592</v>
      </c>
      <c r="B63">
        <v>6.01</v>
      </c>
      <c r="C63" t="s">
        <v>14</v>
      </c>
    </row>
    <row r="64" spans="1:3" x14ac:dyDescent="0.25">
      <c r="A64" s="2">
        <v>44561</v>
      </c>
      <c r="B64">
        <v>5.66</v>
      </c>
      <c r="C64" t="s">
        <v>14</v>
      </c>
    </row>
    <row r="65" spans="1:3" x14ac:dyDescent="0.25">
      <c r="A65" s="2">
        <v>44530</v>
      </c>
      <c r="B65">
        <v>4.91</v>
      </c>
      <c r="C65" t="s">
        <v>14</v>
      </c>
    </row>
    <row r="66" spans="1:3" x14ac:dyDescent="0.25">
      <c r="A66" s="2">
        <v>44500</v>
      </c>
      <c r="B66">
        <v>4.4800000000000004</v>
      </c>
      <c r="C66" t="s">
        <v>14</v>
      </c>
    </row>
    <row r="67" spans="1:3" x14ac:dyDescent="0.25">
      <c r="A67" s="2">
        <v>44469</v>
      </c>
      <c r="B67">
        <v>4.3499999999999996</v>
      </c>
      <c r="C67" t="s">
        <v>14</v>
      </c>
    </row>
    <row r="68" spans="1:3" x14ac:dyDescent="0.25">
      <c r="A68" s="2">
        <v>44439</v>
      </c>
      <c r="B68">
        <v>5.3</v>
      </c>
      <c r="C68" t="s">
        <v>14</v>
      </c>
    </row>
    <row r="69" spans="1:3" x14ac:dyDescent="0.25">
      <c r="A69" s="2">
        <v>44408</v>
      </c>
      <c r="B69">
        <v>5.59</v>
      </c>
      <c r="C69" t="s">
        <v>14</v>
      </c>
    </row>
    <row r="70" spans="1:3" x14ac:dyDescent="0.25">
      <c r="A70" s="2">
        <v>44377</v>
      </c>
      <c r="B70">
        <v>6.26</v>
      </c>
      <c r="C70" t="s">
        <v>14</v>
      </c>
    </row>
    <row r="71" spans="1:3" x14ac:dyDescent="0.25">
      <c r="A71" s="2">
        <v>44347</v>
      </c>
      <c r="B71">
        <v>6.3</v>
      </c>
      <c r="C71" t="s">
        <v>14</v>
      </c>
    </row>
    <row r="72" spans="1:3" x14ac:dyDescent="0.25">
      <c r="A72" s="2">
        <v>44316</v>
      </c>
      <c r="B72">
        <v>4.2300000000000004</v>
      </c>
      <c r="C72" t="s">
        <v>14</v>
      </c>
    </row>
    <row r="73" spans="1:3" x14ac:dyDescent="0.25">
      <c r="A73" s="2">
        <v>44286</v>
      </c>
      <c r="B73">
        <v>5.52</v>
      </c>
      <c r="C73" t="s">
        <v>14</v>
      </c>
    </row>
    <row r="74" spans="1:3" x14ac:dyDescent="0.25">
      <c r="A74" s="2">
        <v>44255</v>
      </c>
      <c r="B74">
        <v>5.03</v>
      </c>
      <c r="C74" t="s">
        <v>14</v>
      </c>
    </row>
    <row r="75" spans="1:3" x14ac:dyDescent="0.25">
      <c r="A75" s="2">
        <v>44227</v>
      </c>
      <c r="B75">
        <v>4.0599999999999996</v>
      </c>
      <c r="C75" t="s">
        <v>14</v>
      </c>
    </row>
    <row r="76" spans="1:3" x14ac:dyDescent="0.25">
      <c r="A76" s="2">
        <v>44196</v>
      </c>
      <c r="B76">
        <v>4.59</v>
      </c>
      <c r="C76" t="s">
        <v>14</v>
      </c>
    </row>
    <row r="77" spans="1:3" x14ac:dyDescent="0.25">
      <c r="A77" s="2">
        <v>44165</v>
      </c>
      <c r="B77">
        <v>6.93</v>
      </c>
      <c r="C77" t="s">
        <v>14</v>
      </c>
    </row>
    <row r="78" spans="1:3" x14ac:dyDescent="0.25">
      <c r="A78" s="2">
        <v>44135</v>
      </c>
      <c r="B78">
        <v>7.61</v>
      </c>
      <c r="C78" t="s">
        <v>14</v>
      </c>
    </row>
    <row r="79" spans="1:3" x14ac:dyDescent="0.25">
      <c r="A79" s="2">
        <v>44104</v>
      </c>
      <c r="B79">
        <v>7.27</v>
      </c>
      <c r="C79" t="s">
        <v>14</v>
      </c>
    </row>
    <row r="80" spans="1:3" x14ac:dyDescent="0.25">
      <c r="A80" s="2">
        <v>44074</v>
      </c>
      <c r="B80">
        <v>6.69</v>
      </c>
      <c r="C80" t="s">
        <v>14</v>
      </c>
    </row>
    <row r="81" spans="1:3" x14ac:dyDescent="0.25">
      <c r="A81" s="2">
        <v>44043</v>
      </c>
      <c r="B81">
        <v>6.73</v>
      </c>
      <c r="C81" t="s">
        <v>14</v>
      </c>
    </row>
    <row r="82" spans="1:3" x14ac:dyDescent="0.25">
      <c r="A82" s="2">
        <v>44012</v>
      </c>
      <c r="B82">
        <v>6.23</v>
      </c>
      <c r="C82" t="s">
        <v>14</v>
      </c>
    </row>
    <row r="83" spans="1:3" x14ac:dyDescent="0.25">
      <c r="A83" s="2">
        <v>43982</v>
      </c>
      <c r="B83">
        <v>6.27</v>
      </c>
      <c r="C83" t="s">
        <v>14</v>
      </c>
    </row>
    <row r="84" spans="1:3" x14ac:dyDescent="0.25">
      <c r="A84" s="2">
        <v>43951</v>
      </c>
      <c r="B84">
        <v>7.22</v>
      </c>
      <c r="C84" t="s">
        <v>14</v>
      </c>
    </row>
    <row r="85" spans="1:3" x14ac:dyDescent="0.25">
      <c r="A85" s="2">
        <v>43921</v>
      </c>
      <c r="B85">
        <v>5.84</v>
      </c>
      <c r="C85" t="s">
        <v>14</v>
      </c>
    </row>
    <row r="86" spans="1:3" x14ac:dyDescent="0.25">
      <c r="A86" s="2">
        <v>43890</v>
      </c>
      <c r="B86">
        <v>6.58</v>
      </c>
      <c r="C86" t="s">
        <v>14</v>
      </c>
    </row>
    <row r="87" spans="1:3" x14ac:dyDescent="0.25">
      <c r="A87" s="2">
        <v>43861</v>
      </c>
      <c r="B87">
        <v>7.59</v>
      </c>
      <c r="C87" t="s">
        <v>14</v>
      </c>
    </row>
    <row r="88" spans="1:3" x14ac:dyDescent="0.25">
      <c r="A88" s="2">
        <v>43830</v>
      </c>
      <c r="B88">
        <v>7.35</v>
      </c>
      <c r="C88" t="s">
        <v>14</v>
      </c>
    </row>
    <row r="89" spans="1:3" x14ac:dyDescent="0.25">
      <c r="A89" s="2">
        <v>43799</v>
      </c>
      <c r="B89">
        <v>5.54</v>
      </c>
      <c r="C89" t="s">
        <v>14</v>
      </c>
    </row>
    <row r="90" spans="1:3" x14ac:dyDescent="0.25">
      <c r="A90" s="2">
        <v>43769</v>
      </c>
      <c r="B90">
        <v>4.62</v>
      </c>
      <c r="C90" t="s">
        <v>14</v>
      </c>
    </row>
    <row r="91" spans="1:3" x14ac:dyDescent="0.25">
      <c r="A91" s="2">
        <v>43738</v>
      </c>
      <c r="B91">
        <v>3.99</v>
      </c>
      <c r="C91" t="s">
        <v>14</v>
      </c>
    </row>
    <row r="92" spans="1:3" x14ac:dyDescent="0.25">
      <c r="A92" s="2">
        <v>43708</v>
      </c>
      <c r="B92">
        <v>3.28</v>
      </c>
      <c r="C92" t="s">
        <v>14</v>
      </c>
    </row>
    <row r="93" spans="1:3" x14ac:dyDescent="0.25">
      <c r="A93" s="2">
        <v>43677</v>
      </c>
      <c r="B93">
        <v>3.15</v>
      </c>
      <c r="C93" t="s">
        <v>14</v>
      </c>
    </row>
    <row r="94" spans="1:3" x14ac:dyDescent="0.25">
      <c r="A94" s="2">
        <v>43646</v>
      </c>
      <c r="B94">
        <v>3.18</v>
      </c>
      <c r="C94" t="s">
        <v>14</v>
      </c>
    </row>
    <row r="95" spans="1:3" x14ac:dyDescent="0.25">
      <c r="A95" s="2">
        <v>43616</v>
      </c>
      <c r="B95">
        <v>3.05</v>
      </c>
      <c r="C95" t="s">
        <v>14</v>
      </c>
    </row>
    <row r="96" spans="1:3" x14ac:dyDescent="0.25">
      <c r="A96" s="2">
        <v>43585</v>
      </c>
      <c r="B96">
        <v>2.99</v>
      </c>
      <c r="C96" t="s">
        <v>14</v>
      </c>
    </row>
    <row r="97" spans="1:3" x14ac:dyDescent="0.25">
      <c r="A97" s="2">
        <v>43555</v>
      </c>
      <c r="B97">
        <v>2.86</v>
      </c>
      <c r="C97" t="s">
        <v>14</v>
      </c>
    </row>
    <row r="98" spans="1:3" x14ac:dyDescent="0.25">
      <c r="A98" s="2">
        <v>43524</v>
      </c>
      <c r="B98">
        <v>2.57</v>
      </c>
      <c r="C98" t="s">
        <v>14</v>
      </c>
    </row>
    <row r="99" spans="1:3" x14ac:dyDescent="0.25">
      <c r="A99" s="2">
        <v>43496</v>
      </c>
      <c r="B99">
        <v>1.97</v>
      </c>
      <c r="C99" t="s">
        <v>14</v>
      </c>
    </row>
    <row r="100" spans="1:3" x14ac:dyDescent="0.25">
      <c r="A100" s="2">
        <v>43465</v>
      </c>
      <c r="B100">
        <v>2.11</v>
      </c>
      <c r="C100" t="s">
        <v>14</v>
      </c>
    </row>
    <row r="101" spans="1:3" x14ac:dyDescent="0.25">
      <c r="A101" s="2">
        <v>43434</v>
      </c>
      <c r="B101">
        <v>2.33</v>
      </c>
      <c r="C101" t="s">
        <v>14</v>
      </c>
    </row>
    <row r="102" spans="1:3" x14ac:dyDescent="0.25">
      <c r="A102" s="2">
        <v>43404</v>
      </c>
      <c r="B102">
        <v>3.38</v>
      </c>
      <c r="C102" t="s">
        <v>14</v>
      </c>
    </row>
    <row r="103" spans="1:3" x14ac:dyDescent="0.25">
      <c r="A103" s="2">
        <v>43373</v>
      </c>
      <c r="B103">
        <v>3.7</v>
      </c>
      <c r="C103" t="s">
        <v>14</v>
      </c>
    </row>
    <row r="104" spans="1:3" x14ac:dyDescent="0.25">
      <c r="A104" s="2">
        <v>43343</v>
      </c>
      <c r="B104">
        <v>3.69</v>
      </c>
      <c r="C104" t="s">
        <v>14</v>
      </c>
    </row>
    <row r="105" spans="1:3" x14ac:dyDescent="0.25">
      <c r="A105" s="2">
        <v>43312</v>
      </c>
      <c r="B105">
        <v>4.17</v>
      </c>
      <c r="C105" t="s">
        <v>14</v>
      </c>
    </row>
    <row r="106" spans="1:3" x14ac:dyDescent="0.25">
      <c r="A106" s="2">
        <v>43281</v>
      </c>
      <c r="B106">
        <v>4.92</v>
      </c>
      <c r="C106" t="s">
        <v>14</v>
      </c>
    </row>
    <row r="107" spans="1:3" x14ac:dyDescent="0.25">
      <c r="A107" s="2">
        <v>43251</v>
      </c>
      <c r="B107">
        <v>4.87</v>
      </c>
      <c r="C107" t="s">
        <v>14</v>
      </c>
    </row>
    <row r="108" spans="1:3" x14ac:dyDescent="0.25">
      <c r="A108" s="2">
        <v>43220</v>
      </c>
      <c r="B108">
        <v>4.58</v>
      </c>
      <c r="C108" t="s">
        <v>14</v>
      </c>
    </row>
    <row r="109" spans="1:3" x14ac:dyDescent="0.25">
      <c r="A109" s="2">
        <v>43190</v>
      </c>
      <c r="B109">
        <v>4.28</v>
      </c>
      <c r="C109" t="s">
        <v>14</v>
      </c>
    </row>
    <row r="110" spans="1:3" x14ac:dyDescent="0.25">
      <c r="A110" s="2">
        <v>43159</v>
      </c>
      <c r="B110">
        <v>4.4400000000000004</v>
      </c>
      <c r="C110" t="s">
        <v>14</v>
      </c>
    </row>
    <row r="111" spans="1:3" x14ac:dyDescent="0.25">
      <c r="A111" s="2">
        <v>43131</v>
      </c>
      <c r="B111">
        <v>5.07</v>
      </c>
      <c r="C111" t="s">
        <v>14</v>
      </c>
    </row>
    <row r="112" spans="1:3" x14ac:dyDescent="0.25">
      <c r="A112" s="2">
        <v>43100</v>
      </c>
      <c r="B112">
        <v>5.21</v>
      </c>
      <c r="C112" t="s">
        <v>14</v>
      </c>
    </row>
    <row r="113" spans="1:3" x14ac:dyDescent="0.25">
      <c r="A113" s="2">
        <v>43069</v>
      </c>
      <c r="B113">
        <v>4.88</v>
      </c>
      <c r="C113" t="s">
        <v>14</v>
      </c>
    </row>
    <row r="114" spans="1:3" x14ac:dyDescent="0.25">
      <c r="A114" s="2">
        <v>43039</v>
      </c>
      <c r="B114">
        <v>3.58</v>
      </c>
      <c r="C114" t="s">
        <v>14</v>
      </c>
    </row>
    <row r="115" spans="1:3" x14ac:dyDescent="0.25">
      <c r="A115" s="2">
        <v>43008</v>
      </c>
      <c r="B115">
        <v>3.28</v>
      </c>
      <c r="C115" t="s">
        <v>14</v>
      </c>
    </row>
    <row r="116" spans="1:3" x14ac:dyDescent="0.25">
      <c r="A116" s="2">
        <v>42978</v>
      </c>
      <c r="B116">
        <v>3.28</v>
      </c>
      <c r="C116" t="s">
        <v>14</v>
      </c>
    </row>
    <row r="117" spans="1:3" x14ac:dyDescent="0.25">
      <c r="A117" s="2">
        <v>42947</v>
      </c>
      <c r="B117">
        <v>2.36</v>
      </c>
      <c r="C117" t="s">
        <v>14</v>
      </c>
    </row>
    <row r="118" spans="1:3" x14ac:dyDescent="0.25">
      <c r="A118" s="2">
        <v>42916</v>
      </c>
      <c r="B118">
        <v>1.46</v>
      </c>
      <c r="C118" t="s">
        <v>14</v>
      </c>
    </row>
    <row r="119" spans="1:3" x14ac:dyDescent="0.25">
      <c r="A119" s="2">
        <v>42886</v>
      </c>
      <c r="B119">
        <v>2.1800000000000002</v>
      </c>
      <c r="C119" t="s">
        <v>14</v>
      </c>
    </row>
    <row r="120" spans="1:3" x14ac:dyDescent="0.25">
      <c r="A120" s="2">
        <v>42855</v>
      </c>
      <c r="B120">
        <v>2.99</v>
      </c>
      <c r="C120" t="s">
        <v>14</v>
      </c>
    </row>
    <row r="121" spans="1:3" x14ac:dyDescent="0.25">
      <c r="A121" s="2">
        <v>42825</v>
      </c>
      <c r="B121">
        <v>3.89</v>
      </c>
      <c r="C121" t="s">
        <v>14</v>
      </c>
    </row>
    <row r="122" spans="1:3" x14ac:dyDescent="0.25">
      <c r="A122" s="2">
        <v>42794</v>
      </c>
      <c r="B122">
        <v>3.65</v>
      </c>
      <c r="C122" t="s">
        <v>14</v>
      </c>
    </row>
    <row r="123" spans="1:3" x14ac:dyDescent="0.25">
      <c r="A123" s="2">
        <v>42766</v>
      </c>
      <c r="B123">
        <v>3.17</v>
      </c>
      <c r="C123" t="s">
        <v>14</v>
      </c>
    </row>
    <row r="124" spans="1:3" x14ac:dyDescent="0.25">
      <c r="A124" s="2">
        <v>42735</v>
      </c>
      <c r="B124">
        <v>3.41</v>
      </c>
      <c r="C124" t="s">
        <v>14</v>
      </c>
    </row>
    <row r="125" spans="1:3" x14ac:dyDescent="0.25">
      <c r="A125" s="2">
        <v>42704</v>
      </c>
      <c r="B125">
        <v>3.63</v>
      </c>
      <c r="C125" t="s">
        <v>14</v>
      </c>
    </row>
    <row r="126" spans="1:3" x14ac:dyDescent="0.25">
      <c r="A126" s="2">
        <v>42674</v>
      </c>
      <c r="B126">
        <v>4.2</v>
      </c>
      <c r="C126" t="s">
        <v>14</v>
      </c>
    </row>
    <row r="127" spans="1:3" x14ac:dyDescent="0.25">
      <c r="A127" s="2">
        <v>42643</v>
      </c>
      <c r="B127">
        <v>4.3899999999999997</v>
      </c>
      <c r="C127" t="s">
        <v>14</v>
      </c>
    </row>
    <row r="128" spans="1:3" x14ac:dyDescent="0.25">
      <c r="A128" s="2">
        <v>42613</v>
      </c>
      <c r="B128">
        <v>5.05</v>
      </c>
      <c r="C128" t="s">
        <v>14</v>
      </c>
    </row>
    <row r="129" spans="1:3" x14ac:dyDescent="0.25">
      <c r="A129" s="2">
        <v>42582</v>
      </c>
      <c r="B129">
        <v>6.07</v>
      </c>
      <c r="C129" t="s">
        <v>14</v>
      </c>
    </row>
    <row r="130" spans="1:3" x14ac:dyDescent="0.25">
      <c r="A130" s="2">
        <v>42551</v>
      </c>
      <c r="B130">
        <v>5.77</v>
      </c>
      <c r="C130" t="s">
        <v>14</v>
      </c>
    </row>
    <row r="131" spans="1:3" x14ac:dyDescent="0.25">
      <c r="A131" s="2">
        <v>42521</v>
      </c>
      <c r="B131">
        <v>5.76</v>
      </c>
      <c r="C131" t="s">
        <v>14</v>
      </c>
    </row>
    <row r="132" spans="1:3" x14ac:dyDescent="0.25">
      <c r="A132" s="2">
        <v>42490</v>
      </c>
      <c r="B132">
        <v>5.47</v>
      </c>
      <c r="C132" t="s">
        <v>14</v>
      </c>
    </row>
    <row r="133" spans="1:3" x14ac:dyDescent="0.25">
      <c r="A133" s="2">
        <v>42460</v>
      </c>
      <c r="B133">
        <v>4.83</v>
      </c>
      <c r="C133" t="s">
        <v>14</v>
      </c>
    </row>
    <row r="134" spans="1:3" x14ac:dyDescent="0.25">
      <c r="A134" s="2">
        <v>42429</v>
      </c>
      <c r="B134">
        <v>5.26</v>
      </c>
      <c r="C134" t="s">
        <v>14</v>
      </c>
    </row>
    <row r="135" spans="1:3" x14ac:dyDescent="0.25">
      <c r="A135" s="2">
        <v>42400</v>
      </c>
      <c r="B135">
        <v>5.69</v>
      </c>
      <c r="C135" t="s">
        <v>14</v>
      </c>
    </row>
    <row r="136" spans="1:3" x14ac:dyDescent="0.25">
      <c r="A136" s="2">
        <v>42369</v>
      </c>
      <c r="B136">
        <v>5.61</v>
      </c>
      <c r="C136" t="s">
        <v>14</v>
      </c>
    </row>
    <row r="137" spans="1:3" x14ac:dyDescent="0.25">
      <c r="A137" s="2">
        <v>42338</v>
      </c>
      <c r="B137">
        <v>5.41</v>
      </c>
      <c r="C137" t="s">
        <v>14</v>
      </c>
    </row>
    <row r="138" spans="1:3" x14ac:dyDescent="0.25">
      <c r="A138" s="2">
        <v>42308</v>
      </c>
      <c r="B138">
        <v>5</v>
      </c>
      <c r="C138" t="s">
        <v>14</v>
      </c>
    </row>
    <row r="139" spans="1:3" x14ac:dyDescent="0.25">
      <c r="A139" s="2">
        <v>42277</v>
      </c>
      <c r="B139">
        <v>4.41</v>
      </c>
      <c r="C139" t="s">
        <v>14</v>
      </c>
    </row>
    <row r="140" spans="1:3" x14ac:dyDescent="0.25">
      <c r="A140" s="2">
        <v>42247</v>
      </c>
      <c r="B140">
        <v>3.74</v>
      </c>
      <c r="C140" t="s">
        <v>14</v>
      </c>
    </row>
    <row r="141" spans="1:3" x14ac:dyDescent="0.25">
      <c r="A141" s="2">
        <v>42216</v>
      </c>
      <c r="B141">
        <v>3.69</v>
      </c>
      <c r="C141" t="s">
        <v>14</v>
      </c>
    </row>
    <row r="142" spans="1:3" x14ac:dyDescent="0.25">
      <c r="A142" s="2">
        <v>42185</v>
      </c>
      <c r="B142">
        <v>5.4</v>
      </c>
      <c r="C142" t="s">
        <v>14</v>
      </c>
    </row>
    <row r="143" spans="1:3" x14ac:dyDescent="0.25">
      <c r="A143" s="2">
        <v>42155</v>
      </c>
      <c r="B143">
        <v>5.01</v>
      </c>
      <c r="C143" t="s">
        <v>14</v>
      </c>
    </row>
    <row r="144" spans="1:3" x14ac:dyDescent="0.25">
      <c r="A144" s="2">
        <v>42124</v>
      </c>
      <c r="B144">
        <v>4.87</v>
      </c>
      <c r="C144" t="s">
        <v>14</v>
      </c>
    </row>
    <row r="145" spans="1:3" x14ac:dyDescent="0.25">
      <c r="A145" s="2">
        <v>42094</v>
      </c>
      <c r="B145">
        <v>5.25</v>
      </c>
      <c r="C145" t="s">
        <v>14</v>
      </c>
    </row>
    <row r="146" spans="1:3" x14ac:dyDescent="0.25">
      <c r="A146" s="2">
        <v>42063</v>
      </c>
      <c r="B146">
        <v>5.37</v>
      </c>
      <c r="C146" t="s">
        <v>14</v>
      </c>
    </row>
    <row r="147" spans="1:3" x14ac:dyDescent="0.25">
      <c r="A147" s="2">
        <v>42035</v>
      </c>
      <c r="B147">
        <v>5.19</v>
      </c>
      <c r="C147" t="s">
        <v>14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0E5464-FB24-4342-99BE-FEEF235A93EE}">
  <dimension ref="A1:C246"/>
  <sheetViews>
    <sheetView workbookViewId="0">
      <selection activeCell="L37" sqref="L37"/>
    </sheetView>
  </sheetViews>
  <sheetFormatPr defaultRowHeight="15" x14ac:dyDescent="0.25"/>
  <cols>
    <col min="1" max="1" width="10.42578125" bestFit="1" customWidth="1"/>
    <col min="2" max="2" width="16" bestFit="1" customWidth="1"/>
  </cols>
  <sheetData>
    <row r="1" spans="1:3" x14ac:dyDescent="0.25">
      <c r="A1" t="s">
        <v>0</v>
      </c>
      <c r="B1" t="s">
        <v>16</v>
      </c>
    </row>
    <row r="2" spans="1:3" x14ac:dyDescent="0.25">
      <c r="A2" t="s">
        <v>2</v>
      </c>
      <c r="B2" s="1">
        <v>39021</v>
      </c>
    </row>
    <row r="3" spans="1:3" x14ac:dyDescent="0.25">
      <c r="A3" t="s">
        <v>3</v>
      </c>
      <c r="B3" s="1">
        <v>46295</v>
      </c>
    </row>
    <row r="4" spans="1:3" x14ac:dyDescent="0.25">
      <c r="A4" t="s">
        <v>4</v>
      </c>
      <c r="B4" t="s">
        <v>5</v>
      </c>
    </row>
    <row r="6" spans="1:3" x14ac:dyDescent="0.25">
      <c r="A6" t="s">
        <v>8</v>
      </c>
      <c r="B6" t="s">
        <v>9</v>
      </c>
      <c r="C6" t="s">
        <v>10</v>
      </c>
    </row>
    <row r="7" spans="1:3" x14ac:dyDescent="0.25">
      <c r="A7" s="2">
        <f>_xll.BDH(B1,B6:C6,B2,B3,"Dir=V","Dts=S","Sort=D","Quote=C","QtTyp=P","Days=T",CONCATENATE("Per=c",B4),"DtFmt=D","UseDPDF=Y","cols=3;rows=240")</f>
        <v>46295</v>
      </c>
      <c r="B7">
        <v>11.39</v>
      </c>
      <c r="C7" t="s">
        <v>14</v>
      </c>
    </row>
    <row r="8" spans="1:3" x14ac:dyDescent="0.25">
      <c r="A8" s="2">
        <v>46265</v>
      </c>
      <c r="B8">
        <v>9.92</v>
      </c>
      <c r="C8" t="s">
        <v>14</v>
      </c>
    </row>
    <row r="9" spans="1:3" x14ac:dyDescent="0.25">
      <c r="A9" s="2">
        <v>46234</v>
      </c>
      <c r="B9">
        <v>9.7799999999999994</v>
      </c>
      <c r="C9" t="s">
        <v>14</v>
      </c>
    </row>
    <row r="10" spans="1:3" x14ac:dyDescent="0.25">
      <c r="A10" s="2">
        <v>46203</v>
      </c>
      <c r="B10">
        <v>9.9700000000000006</v>
      </c>
      <c r="C10" t="s">
        <v>14</v>
      </c>
    </row>
    <row r="11" spans="1:3" x14ac:dyDescent="0.25">
      <c r="A11" s="2">
        <v>46173</v>
      </c>
      <c r="B11">
        <v>9.8800000000000008</v>
      </c>
      <c r="C11" t="s">
        <v>14</v>
      </c>
    </row>
    <row r="12" spans="1:3" x14ac:dyDescent="0.25">
      <c r="A12" s="2">
        <v>46142</v>
      </c>
      <c r="B12">
        <v>8.36</v>
      </c>
      <c r="C12" t="s">
        <v>14</v>
      </c>
    </row>
    <row r="13" spans="1:3" x14ac:dyDescent="0.25">
      <c r="A13" s="2">
        <v>46112</v>
      </c>
      <c r="B13">
        <v>3.98</v>
      </c>
      <c r="C13" t="s">
        <v>14</v>
      </c>
    </row>
    <row r="14" spans="1:3" x14ac:dyDescent="0.25">
      <c r="A14" s="2">
        <v>46081</v>
      </c>
      <c r="B14">
        <v>2.1800000000000002</v>
      </c>
      <c r="C14" t="s">
        <v>14</v>
      </c>
    </row>
    <row r="15" spans="1:3" x14ac:dyDescent="0.25">
      <c r="A15" s="2">
        <v>46053</v>
      </c>
      <c r="B15">
        <v>1.19</v>
      </c>
      <c r="C15" t="s">
        <v>14</v>
      </c>
    </row>
    <row r="16" spans="1:3" x14ac:dyDescent="0.25">
      <c r="A16" s="2">
        <v>46022</v>
      </c>
      <c r="B16">
        <v>0.3</v>
      </c>
      <c r="C16" t="s">
        <v>14</v>
      </c>
    </row>
    <row r="17" spans="1:3" x14ac:dyDescent="0.25">
      <c r="A17" s="2">
        <v>45991</v>
      </c>
      <c r="B17">
        <v>-0.59</v>
      </c>
      <c r="C17" t="s">
        <v>14</v>
      </c>
    </row>
    <row r="18" spans="1:3" x14ac:dyDescent="0.25">
      <c r="A18" s="2">
        <v>45961</v>
      </c>
      <c r="B18">
        <v>-1.18</v>
      </c>
      <c r="C18" t="s">
        <v>14</v>
      </c>
    </row>
    <row r="19" spans="1:3" x14ac:dyDescent="0.25">
      <c r="A19" s="2">
        <v>45930</v>
      </c>
      <c r="B19">
        <v>-0.2</v>
      </c>
      <c r="C19" t="s">
        <v>14</v>
      </c>
    </row>
    <row r="20" spans="1:3" x14ac:dyDescent="0.25">
      <c r="A20" s="2">
        <v>45900</v>
      </c>
      <c r="B20">
        <v>0</v>
      </c>
      <c r="C20" t="s">
        <v>14</v>
      </c>
    </row>
    <row r="21" spans="1:3" x14ac:dyDescent="0.25">
      <c r="A21" s="2">
        <v>45869</v>
      </c>
      <c r="B21">
        <v>-0.79</v>
      </c>
      <c r="C21" t="s">
        <v>14</v>
      </c>
    </row>
    <row r="22" spans="1:3" x14ac:dyDescent="0.25">
      <c r="A22" s="2">
        <v>45838</v>
      </c>
      <c r="B22">
        <v>-0.4</v>
      </c>
      <c r="C22" t="s">
        <v>14</v>
      </c>
    </row>
    <row r="23" spans="1:3" x14ac:dyDescent="0.25">
      <c r="A23" s="2">
        <v>45808</v>
      </c>
      <c r="B23">
        <v>-0.2</v>
      </c>
      <c r="C23" t="s">
        <v>14</v>
      </c>
    </row>
    <row r="24" spans="1:3" x14ac:dyDescent="0.25">
      <c r="A24" s="2">
        <v>45777</v>
      </c>
      <c r="B24">
        <v>0.6</v>
      </c>
      <c r="C24" t="s">
        <v>14</v>
      </c>
    </row>
    <row r="25" spans="1:3" x14ac:dyDescent="0.25">
      <c r="A25" s="2">
        <v>45747</v>
      </c>
      <c r="B25">
        <v>1.21</v>
      </c>
      <c r="C25" t="s">
        <v>14</v>
      </c>
    </row>
    <row r="26" spans="1:3" x14ac:dyDescent="0.25">
      <c r="A26" s="2">
        <v>45716</v>
      </c>
      <c r="B26">
        <v>1.61</v>
      </c>
      <c r="C26" t="s">
        <v>14</v>
      </c>
    </row>
    <row r="27" spans="1:3" x14ac:dyDescent="0.25">
      <c r="A27" s="2">
        <v>45688</v>
      </c>
      <c r="B27">
        <v>1.81</v>
      </c>
      <c r="C27" t="s">
        <v>14</v>
      </c>
    </row>
    <row r="28" spans="1:3" x14ac:dyDescent="0.25">
      <c r="A28" s="2">
        <v>45657</v>
      </c>
      <c r="B28">
        <v>2.21</v>
      </c>
      <c r="C28" t="s">
        <v>14</v>
      </c>
    </row>
    <row r="29" spans="1:3" x14ac:dyDescent="0.25">
      <c r="A29" s="2">
        <v>45626</v>
      </c>
      <c r="B29">
        <v>2</v>
      </c>
      <c r="C29" t="s">
        <v>14</v>
      </c>
    </row>
    <row r="30" spans="1:3" x14ac:dyDescent="0.25">
      <c r="A30" s="2">
        <v>45596</v>
      </c>
      <c r="B30">
        <v>2</v>
      </c>
      <c r="C30" t="s">
        <v>14</v>
      </c>
    </row>
    <row r="31" spans="1:3" x14ac:dyDescent="0.25">
      <c r="A31" s="2">
        <v>45565</v>
      </c>
      <c r="B31">
        <v>1.61</v>
      </c>
      <c r="C31" t="s">
        <v>14</v>
      </c>
    </row>
    <row r="32" spans="1:3" x14ac:dyDescent="0.25">
      <c r="A32" s="2">
        <v>45535</v>
      </c>
      <c r="B32">
        <v>1.31</v>
      </c>
      <c r="C32" t="s">
        <v>14</v>
      </c>
    </row>
    <row r="33" spans="1:3" x14ac:dyDescent="0.25">
      <c r="A33" s="2">
        <v>45504</v>
      </c>
      <c r="B33">
        <v>1.92</v>
      </c>
      <c r="C33" t="s">
        <v>14</v>
      </c>
    </row>
    <row r="34" spans="1:3" x14ac:dyDescent="0.25">
      <c r="A34" s="2">
        <v>45473</v>
      </c>
      <c r="B34">
        <v>2.44</v>
      </c>
      <c r="C34" t="s">
        <v>14</v>
      </c>
    </row>
    <row r="35" spans="1:3" x14ac:dyDescent="0.25">
      <c r="A35" s="2">
        <v>45443</v>
      </c>
      <c r="B35">
        <v>1.83</v>
      </c>
      <c r="C35" t="s">
        <v>14</v>
      </c>
    </row>
    <row r="36" spans="1:3" x14ac:dyDescent="0.25">
      <c r="A36" s="2">
        <v>45412</v>
      </c>
      <c r="B36">
        <v>0.91</v>
      </c>
      <c r="C36" t="s">
        <v>14</v>
      </c>
    </row>
    <row r="37" spans="1:3" x14ac:dyDescent="0.25">
      <c r="A37" s="2">
        <v>45382</v>
      </c>
      <c r="B37">
        <v>0.26</v>
      </c>
      <c r="C37" t="s">
        <v>14</v>
      </c>
    </row>
    <row r="38" spans="1:3" x14ac:dyDescent="0.25">
      <c r="A38" s="2">
        <v>45351</v>
      </c>
      <c r="B38">
        <v>0.2</v>
      </c>
      <c r="C38" t="s">
        <v>14</v>
      </c>
    </row>
    <row r="39" spans="1:3" x14ac:dyDescent="0.25">
      <c r="A39" s="2">
        <v>45322</v>
      </c>
      <c r="B39">
        <v>0.33</v>
      </c>
      <c r="C39" t="s">
        <v>14</v>
      </c>
    </row>
    <row r="40" spans="1:3" x14ac:dyDescent="0.25">
      <c r="A40" s="2">
        <v>45291</v>
      </c>
      <c r="B40">
        <v>0.86</v>
      </c>
      <c r="C40" t="s">
        <v>14</v>
      </c>
    </row>
    <row r="41" spans="1:3" x14ac:dyDescent="0.25">
      <c r="A41" s="2">
        <v>45260</v>
      </c>
      <c r="B41">
        <v>0.39</v>
      </c>
      <c r="C41" t="s">
        <v>14</v>
      </c>
    </row>
    <row r="42" spans="1:3" x14ac:dyDescent="0.25">
      <c r="A42" s="2">
        <v>45230</v>
      </c>
      <c r="B42">
        <v>-0.26</v>
      </c>
      <c r="C42" t="s">
        <v>14</v>
      </c>
    </row>
    <row r="43" spans="1:3" x14ac:dyDescent="0.25">
      <c r="A43" s="2">
        <v>45199</v>
      </c>
      <c r="B43">
        <v>-7.0000000000000007E-2</v>
      </c>
      <c r="C43" t="s">
        <v>14</v>
      </c>
    </row>
    <row r="44" spans="1:3" x14ac:dyDescent="0.25">
      <c r="A44" s="2">
        <v>45169</v>
      </c>
      <c r="B44">
        <v>-0.46</v>
      </c>
      <c r="C44" t="s">
        <v>14</v>
      </c>
    </row>
    <row r="45" spans="1:3" x14ac:dyDescent="0.25">
      <c r="A45" s="2">
        <v>45138</v>
      </c>
      <c r="B45">
        <v>-1.23</v>
      </c>
      <c r="C45" t="s">
        <v>14</v>
      </c>
    </row>
    <row r="46" spans="1:3" x14ac:dyDescent="0.25">
      <c r="A46" s="2">
        <v>45107</v>
      </c>
      <c r="B46">
        <v>-4.18</v>
      </c>
      <c r="C46" t="s">
        <v>14</v>
      </c>
    </row>
    <row r="47" spans="1:3" x14ac:dyDescent="0.25">
      <c r="A47" s="2">
        <v>45077</v>
      </c>
      <c r="B47">
        <v>-3.61</v>
      </c>
      <c r="C47" t="s">
        <v>14</v>
      </c>
    </row>
    <row r="48" spans="1:3" x14ac:dyDescent="0.25">
      <c r="A48" s="2">
        <v>45046</v>
      </c>
      <c r="B48">
        <v>-0.79</v>
      </c>
      <c r="C48" t="s">
        <v>14</v>
      </c>
    </row>
    <row r="49" spans="1:3" x14ac:dyDescent="0.25">
      <c r="A49" s="2">
        <v>45016</v>
      </c>
      <c r="B49">
        <v>1.41</v>
      </c>
      <c r="C49" t="s">
        <v>14</v>
      </c>
    </row>
    <row r="50" spans="1:3" x14ac:dyDescent="0.25">
      <c r="A50" s="2">
        <v>44985</v>
      </c>
      <c r="B50">
        <v>3.85</v>
      </c>
      <c r="C50" t="s">
        <v>14</v>
      </c>
    </row>
    <row r="51" spans="1:3" x14ac:dyDescent="0.25">
      <c r="A51" s="2">
        <v>44957</v>
      </c>
      <c r="B51">
        <v>4.8</v>
      </c>
      <c r="C51" t="s">
        <v>14</v>
      </c>
    </row>
    <row r="52" spans="1:3" x14ac:dyDescent="0.25">
      <c r="A52" s="2">
        <v>44926</v>
      </c>
      <c r="B52">
        <v>5.0199999999999996</v>
      </c>
      <c r="C52" t="s">
        <v>14</v>
      </c>
    </row>
    <row r="53" spans="1:3" x14ac:dyDescent="0.25">
      <c r="A53" s="2">
        <v>44895</v>
      </c>
      <c r="B53">
        <v>6.12</v>
      </c>
      <c r="C53" t="s">
        <v>14</v>
      </c>
    </row>
    <row r="54" spans="1:3" x14ac:dyDescent="0.25">
      <c r="A54" s="2">
        <v>44865</v>
      </c>
      <c r="B54">
        <v>8.67</v>
      </c>
      <c r="C54" t="s">
        <v>14</v>
      </c>
    </row>
    <row r="55" spans="1:3" x14ac:dyDescent="0.25">
      <c r="A55" s="2">
        <v>44834</v>
      </c>
      <c r="B55">
        <v>10.55</v>
      </c>
      <c r="C55" t="s">
        <v>14</v>
      </c>
    </row>
    <row r="56" spans="1:3" x14ac:dyDescent="0.25">
      <c r="A56" s="2">
        <v>44804</v>
      </c>
      <c r="B56">
        <v>12.48</v>
      </c>
      <c r="C56" t="s">
        <v>14</v>
      </c>
    </row>
    <row r="57" spans="1:3" x14ac:dyDescent="0.25">
      <c r="A57" s="2">
        <v>44773</v>
      </c>
      <c r="B57">
        <v>14.07</v>
      </c>
      <c r="C57" t="s">
        <v>14</v>
      </c>
    </row>
    <row r="58" spans="1:3" x14ac:dyDescent="0.25">
      <c r="A58" s="2">
        <v>44742</v>
      </c>
      <c r="B58">
        <v>16.23</v>
      </c>
      <c r="C58" t="s">
        <v>14</v>
      </c>
    </row>
    <row r="59" spans="1:3" x14ac:dyDescent="0.25">
      <c r="A59" s="2">
        <v>44712</v>
      </c>
      <c r="B59">
        <v>16.63</v>
      </c>
      <c r="C59" t="s">
        <v>14</v>
      </c>
    </row>
    <row r="60" spans="1:3" x14ac:dyDescent="0.25">
      <c r="A60" s="2">
        <v>44681</v>
      </c>
      <c r="B60">
        <v>15.38</v>
      </c>
      <c r="C60" t="s">
        <v>14</v>
      </c>
    </row>
    <row r="61" spans="1:3" x14ac:dyDescent="0.25">
      <c r="A61" s="2">
        <v>44651</v>
      </c>
      <c r="B61">
        <v>14.63</v>
      </c>
      <c r="C61" t="s">
        <v>14</v>
      </c>
    </row>
    <row r="62" spans="1:3" x14ac:dyDescent="0.25">
      <c r="A62" s="2">
        <v>44620</v>
      </c>
      <c r="B62">
        <v>13.43</v>
      </c>
      <c r="C62" t="s">
        <v>14</v>
      </c>
    </row>
    <row r="63" spans="1:3" x14ac:dyDescent="0.25">
      <c r="A63" s="2">
        <v>44592</v>
      </c>
      <c r="B63">
        <v>13.68</v>
      </c>
      <c r="C63" t="s">
        <v>14</v>
      </c>
    </row>
    <row r="64" spans="1:3" x14ac:dyDescent="0.25">
      <c r="A64" s="2">
        <v>44561</v>
      </c>
      <c r="B64">
        <v>14.27</v>
      </c>
      <c r="C64" t="s">
        <v>14</v>
      </c>
    </row>
    <row r="65" spans="1:3" x14ac:dyDescent="0.25">
      <c r="A65" s="2">
        <v>44530</v>
      </c>
      <c r="B65">
        <v>14.87</v>
      </c>
      <c r="C65" t="s">
        <v>14</v>
      </c>
    </row>
    <row r="66" spans="1:3" x14ac:dyDescent="0.25">
      <c r="A66" s="2">
        <v>44500</v>
      </c>
      <c r="B66">
        <v>13.83</v>
      </c>
      <c r="C66" t="s">
        <v>14</v>
      </c>
    </row>
    <row r="67" spans="1:3" x14ac:dyDescent="0.25">
      <c r="A67" s="2">
        <v>44469</v>
      </c>
      <c r="B67">
        <v>11.8</v>
      </c>
      <c r="C67" t="s">
        <v>14</v>
      </c>
    </row>
    <row r="68" spans="1:3" x14ac:dyDescent="0.25">
      <c r="A68" s="2">
        <v>44439</v>
      </c>
      <c r="B68">
        <v>11.64</v>
      </c>
      <c r="C68" t="s">
        <v>14</v>
      </c>
    </row>
    <row r="69" spans="1:3" x14ac:dyDescent="0.25">
      <c r="A69" s="2">
        <v>44408</v>
      </c>
      <c r="B69">
        <v>11.57</v>
      </c>
      <c r="C69" t="s">
        <v>14</v>
      </c>
    </row>
    <row r="70" spans="1:3" x14ac:dyDescent="0.25">
      <c r="A70" s="2">
        <v>44377</v>
      </c>
      <c r="B70">
        <v>12.07</v>
      </c>
      <c r="C70" t="s">
        <v>14</v>
      </c>
    </row>
    <row r="71" spans="1:3" x14ac:dyDescent="0.25">
      <c r="A71" s="2">
        <v>44347</v>
      </c>
      <c r="B71">
        <v>13.11</v>
      </c>
      <c r="C71" t="s">
        <v>14</v>
      </c>
    </row>
    <row r="72" spans="1:3" x14ac:dyDescent="0.25">
      <c r="A72" s="2">
        <v>44316</v>
      </c>
      <c r="B72">
        <v>10.74</v>
      </c>
      <c r="C72" t="s">
        <v>14</v>
      </c>
    </row>
    <row r="73" spans="1:3" x14ac:dyDescent="0.25">
      <c r="A73" s="2">
        <v>44286</v>
      </c>
      <c r="B73">
        <v>7.89</v>
      </c>
      <c r="C73" t="s">
        <v>14</v>
      </c>
    </row>
    <row r="74" spans="1:3" x14ac:dyDescent="0.25">
      <c r="A74" s="2">
        <v>44255</v>
      </c>
      <c r="B74">
        <v>4.83</v>
      </c>
      <c r="C74" t="s">
        <v>14</v>
      </c>
    </row>
    <row r="75" spans="1:3" x14ac:dyDescent="0.25">
      <c r="A75" s="2">
        <v>44227</v>
      </c>
      <c r="B75">
        <v>2.5099999999999998</v>
      </c>
      <c r="C75" t="s">
        <v>14</v>
      </c>
    </row>
    <row r="76" spans="1:3" x14ac:dyDescent="0.25">
      <c r="A76" s="2">
        <v>44196</v>
      </c>
      <c r="B76">
        <v>1.95</v>
      </c>
      <c r="C76" t="s">
        <v>14</v>
      </c>
    </row>
    <row r="77" spans="1:3" x14ac:dyDescent="0.25">
      <c r="A77" s="2">
        <v>44165</v>
      </c>
      <c r="B77">
        <v>2.29</v>
      </c>
      <c r="C77" t="s">
        <v>14</v>
      </c>
    </row>
    <row r="78" spans="1:3" x14ac:dyDescent="0.25">
      <c r="A78" s="2">
        <v>44135</v>
      </c>
      <c r="B78">
        <v>1.31</v>
      </c>
      <c r="C78" t="s">
        <v>14</v>
      </c>
    </row>
    <row r="79" spans="1:3" x14ac:dyDescent="0.25">
      <c r="A79" s="2">
        <v>44104</v>
      </c>
      <c r="B79">
        <v>1.32</v>
      </c>
      <c r="C79" t="s">
        <v>14</v>
      </c>
    </row>
    <row r="80" spans="1:3" x14ac:dyDescent="0.25">
      <c r="A80" s="2">
        <v>44074</v>
      </c>
      <c r="B80">
        <v>0.41</v>
      </c>
      <c r="C80" t="s">
        <v>14</v>
      </c>
    </row>
    <row r="81" spans="1:3" x14ac:dyDescent="0.25">
      <c r="A81" s="2">
        <v>44043</v>
      </c>
      <c r="B81">
        <v>-0.25</v>
      </c>
      <c r="C81" t="s">
        <v>14</v>
      </c>
    </row>
    <row r="82" spans="1:3" x14ac:dyDescent="0.25">
      <c r="A82" s="2">
        <v>44012</v>
      </c>
      <c r="B82">
        <v>-1.81</v>
      </c>
      <c r="C82" t="s">
        <v>14</v>
      </c>
    </row>
    <row r="83" spans="1:3" x14ac:dyDescent="0.25">
      <c r="A83" s="2">
        <v>43982</v>
      </c>
      <c r="B83">
        <v>-3.37</v>
      </c>
      <c r="C83" t="s">
        <v>14</v>
      </c>
    </row>
    <row r="84" spans="1:3" x14ac:dyDescent="0.25">
      <c r="A84" s="2">
        <v>43951</v>
      </c>
      <c r="B84">
        <v>-1.57</v>
      </c>
      <c r="C84" t="s">
        <v>14</v>
      </c>
    </row>
    <row r="85" spans="1:3" x14ac:dyDescent="0.25">
      <c r="A85" s="2">
        <v>43921</v>
      </c>
      <c r="B85">
        <v>0.42</v>
      </c>
      <c r="C85" t="s">
        <v>14</v>
      </c>
    </row>
    <row r="86" spans="1:3" x14ac:dyDescent="0.25">
      <c r="A86" s="2">
        <v>43890</v>
      </c>
      <c r="B86">
        <v>2.2599999999999998</v>
      </c>
      <c r="C86" t="s">
        <v>14</v>
      </c>
    </row>
    <row r="87" spans="1:3" x14ac:dyDescent="0.25">
      <c r="A87" s="2">
        <v>43861</v>
      </c>
      <c r="B87">
        <v>3.52</v>
      </c>
      <c r="C87" t="s">
        <v>14</v>
      </c>
    </row>
    <row r="88" spans="1:3" x14ac:dyDescent="0.25">
      <c r="A88" s="2">
        <v>43830</v>
      </c>
      <c r="B88">
        <v>2.76</v>
      </c>
      <c r="C88" t="s">
        <v>14</v>
      </c>
    </row>
    <row r="89" spans="1:3" x14ac:dyDescent="0.25">
      <c r="A89" s="2">
        <v>43799</v>
      </c>
      <c r="B89">
        <v>0.57999999999999996</v>
      </c>
      <c r="C89" t="s">
        <v>14</v>
      </c>
    </row>
    <row r="90" spans="1:3" x14ac:dyDescent="0.25">
      <c r="A90" s="2">
        <v>43769</v>
      </c>
      <c r="B90">
        <v>0</v>
      </c>
      <c r="C90" t="s">
        <v>14</v>
      </c>
    </row>
    <row r="91" spans="1:3" x14ac:dyDescent="0.25">
      <c r="A91" s="2">
        <v>43738</v>
      </c>
      <c r="B91">
        <v>0.33</v>
      </c>
      <c r="C91" t="s">
        <v>14</v>
      </c>
    </row>
    <row r="92" spans="1:3" x14ac:dyDescent="0.25">
      <c r="A92" s="2">
        <v>43708</v>
      </c>
      <c r="B92">
        <v>1.17</v>
      </c>
      <c r="C92" t="s">
        <v>14</v>
      </c>
    </row>
    <row r="93" spans="1:3" x14ac:dyDescent="0.25">
      <c r="A93" s="2">
        <v>43677</v>
      </c>
      <c r="B93">
        <v>1.17</v>
      </c>
      <c r="C93" t="s">
        <v>14</v>
      </c>
    </row>
    <row r="94" spans="1:3" x14ac:dyDescent="0.25">
      <c r="A94" s="2">
        <v>43646</v>
      </c>
      <c r="B94">
        <v>2.02</v>
      </c>
      <c r="C94" t="s">
        <v>14</v>
      </c>
    </row>
    <row r="95" spans="1:3" x14ac:dyDescent="0.25">
      <c r="A95" s="2">
        <v>43616</v>
      </c>
      <c r="B95">
        <v>2.79</v>
      </c>
      <c r="C95" t="s">
        <v>14</v>
      </c>
    </row>
    <row r="96" spans="1:3" x14ac:dyDescent="0.25">
      <c r="A96" s="2">
        <v>43585</v>
      </c>
      <c r="B96">
        <v>3.24</v>
      </c>
      <c r="C96" t="s">
        <v>14</v>
      </c>
    </row>
    <row r="97" spans="1:3" x14ac:dyDescent="0.25">
      <c r="A97" s="2">
        <v>43555</v>
      </c>
      <c r="B97">
        <v>3.1</v>
      </c>
      <c r="C97" t="s">
        <v>14</v>
      </c>
    </row>
    <row r="98" spans="1:3" x14ac:dyDescent="0.25">
      <c r="A98" s="2">
        <v>43524</v>
      </c>
      <c r="B98">
        <v>2.93</v>
      </c>
      <c r="C98" t="s">
        <v>14</v>
      </c>
    </row>
    <row r="99" spans="1:3" x14ac:dyDescent="0.25">
      <c r="A99" s="2">
        <v>43496</v>
      </c>
      <c r="B99">
        <v>2.76</v>
      </c>
      <c r="C99" t="s">
        <v>14</v>
      </c>
    </row>
    <row r="100" spans="1:3" x14ac:dyDescent="0.25">
      <c r="A100" s="2">
        <v>43465</v>
      </c>
      <c r="B100">
        <v>3.46</v>
      </c>
      <c r="C100" t="s">
        <v>14</v>
      </c>
    </row>
    <row r="101" spans="1:3" x14ac:dyDescent="0.25">
      <c r="A101" s="2">
        <v>43434</v>
      </c>
      <c r="B101">
        <v>4.47</v>
      </c>
      <c r="C101" t="s">
        <v>14</v>
      </c>
    </row>
    <row r="102" spans="1:3" x14ac:dyDescent="0.25">
      <c r="A102" s="2">
        <v>43404</v>
      </c>
      <c r="B102">
        <v>5.54</v>
      </c>
      <c r="C102" t="s">
        <v>14</v>
      </c>
    </row>
    <row r="103" spans="1:3" x14ac:dyDescent="0.25">
      <c r="A103" s="2">
        <v>43373</v>
      </c>
      <c r="B103">
        <v>5.22</v>
      </c>
      <c r="C103" t="s">
        <v>14</v>
      </c>
    </row>
    <row r="104" spans="1:3" x14ac:dyDescent="0.25">
      <c r="A104" s="2">
        <v>43343</v>
      </c>
      <c r="B104">
        <v>4.62</v>
      </c>
      <c r="C104" t="s">
        <v>14</v>
      </c>
    </row>
    <row r="105" spans="1:3" x14ac:dyDescent="0.25">
      <c r="A105" s="2">
        <v>43312</v>
      </c>
      <c r="B105">
        <v>5.27</v>
      </c>
      <c r="C105" t="s">
        <v>14</v>
      </c>
    </row>
    <row r="106" spans="1:3" x14ac:dyDescent="0.25">
      <c r="A106" s="2">
        <v>43281</v>
      </c>
      <c r="B106">
        <v>5.68</v>
      </c>
      <c r="C106" t="s">
        <v>14</v>
      </c>
    </row>
    <row r="107" spans="1:3" x14ac:dyDescent="0.25">
      <c r="A107" s="2">
        <v>43251</v>
      </c>
      <c r="B107">
        <v>4.78</v>
      </c>
      <c r="C107" t="s">
        <v>14</v>
      </c>
    </row>
    <row r="108" spans="1:3" x14ac:dyDescent="0.25">
      <c r="A108" s="2">
        <v>43220</v>
      </c>
      <c r="B108">
        <v>3.62</v>
      </c>
      <c r="C108" t="s">
        <v>14</v>
      </c>
    </row>
    <row r="109" spans="1:3" x14ac:dyDescent="0.25">
      <c r="A109" s="2">
        <v>43190</v>
      </c>
      <c r="B109">
        <v>2.74</v>
      </c>
      <c r="C109" t="s">
        <v>14</v>
      </c>
    </row>
    <row r="110" spans="1:3" x14ac:dyDescent="0.25">
      <c r="A110" s="2">
        <v>43159</v>
      </c>
      <c r="B110">
        <v>2.74</v>
      </c>
      <c r="C110" t="s">
        <v>14</v>
      </c>
    </row>
    <row r="111" spans="1:3" x14ac:dyDescent="0.25">
      <c r="A111" s="2">
        <v>43131</v>
      </c>
      <c r="B111">
        <v>3.02</v>
      </c>
      <c r="C111" t="s">
        <v>14</v>
      </c>
    </row>
    <row r="112" spans="1:3" x14ac:dyDescent="0.25">
      <c r="A112" s="2">
        <v>43100</v>
      </c>
      <c r="B112">
        <v>3.58</v>
      </c>
      <c r="C112" t="s">
        <v>14</v>
      </c>
    </row>
    <row r="113" spans="1:3" x14ac:dyDescent="0.25">
      <c r="A113" s="2">
        <v>43069</v>
      </c>
      <c r="B113">
        <v>4.0199999999999996</v>
      </c>
      <c r="C113" t="s">
        <v>14</v>
      </c>
    </row>
    <row r="114" spans="1:3" x14ac:dyDescent="0.25">
      <c r="A114" s="2">
        <v>43039</v>
      </c>
      <c r="B114">
        <v>3.68</v>
      </c>
      <c r="C114" t="s">
        <v>14</v>
      </c>
    </row>
    <row r="115" spans="1:3" x14ac:dyDescent="0.25">
      <c r="A115" s="2">
        <v>43008</v>
      </c>
      <c r="B115">
        <v>3.14</v>
      </c>
      <c r="C115" t="s">
        <v>14</v>
      </c>
    </row>
    <row r="116" spans="1:3" x14ac:dyDescent="0.25">
      <c r="A116" s="2">
        <v>42978</v>
      </c>
      <c r="B116">
        <v>3.24</v>
      </c>
      <c r="C116" t="s">
        <v>14</v>
      </c>
    </row>
    <row r="117" spans="1:3" x14ac:dyDescent="0.25">
      <c r="A117" s="2">
        <v>42947</v>
      </c>
      <c r="B117">
        <v>1.88</v>
      </c>
      <c r="C117" t="s">
        <v>14</v>
      </c>
    </row>
    <row r="118" spans="1:3" x14ac:dyDescent="0.25">
      <c r="A118" s="2">
        <v>42916</v>
      </c>
      <c r="B118">
        <v>0.9</v>
      </c>
      <c r="C118" t="s">
        <v>14</v>
      </c>
    </row>
    <row r="119" spans="1:3" x14ac:dyDescent="0.25">
      <c r="A119" s="2">
        <v>42886</v>
      </c>
      <c r="B119">
        <v>2.2599999999999998</v>
      </c>
      <c r="C119" t="s">
        <v>14</v>
      </c>
    </row>
    <row r="120" spans="1:3" x14ac:dyDescent="0.25">
      <c r="A120" s="2">
        <v>42855</v>
      </c>
      <c r="B120">
        <v>3.85</v>
      </c>
      <c r="C120" t="s">
        <v>14</v>
      </c>
    </row>
    <row r="121" spans="1:3" x14ac:dyDescent="0.25">
      <c r="A121" s="2">
        <v>42825</v>
      </c>
      <c r="B121">
        <v>5.1100000000000003</v>
      </c>
      <c r="C121" t="s">
        <v>14</v>
      </c>
    </row>
    <row r="122" spans="1:3" x14ac:dyDescent="0.25">
      <c r="A122" s="2">
        <v>42794</v>
      </c>
      <c r="B122">
        <v>5.51</v>
      </c>
      <c r="C122" t="s">
        <v>14</v>
      </c>
    </row>
    <row r="123" spans="1:3" x14ac:dyDescent="0.25">
      <c r="A123" s="2">
        <v>42766</v>
      </c>
      <c r="B123">
        <v>4.26</v>
      </c>
      <c r="C123" t="s">
        <v>14</v>
      </c>
    </row>
    <row r="124" spans="1:3" x14ac:dyDescent="0.25">
      <c r="A124" s="2">
        <v>42735</v>
      </c>
      <c r="B124">
        <v>2.1</v>
      </c>
      <c r="C124" t="s">
        <v>14</v>
      </c>
    </row>
    <row r="125" spans="1:3" x14ac:dyDescent="0.25">
      <c r="A125" s="2">
        <v>42704</v>
      </c>
      <c r="B125">
        <v>1.82</v>
      </c>
      <c r="C125" t="s">
        <v>14</v>
      </c>
    </row>
    <row r="126" spans="1:3" x14ac:dyDescent="0.25">
      <c r="A126" s="2">
        <v>42674</v>
      </c>
      <c r="B126">
        <v>1.27</v>
      </c>
      <c r="C126" t="s">
        <v>14</v>
      </c>
    </row>
    <row r="127" spans="1:3" x14ac:dyDescent="0.25">
      <c r="A127" s="2">
        <v>42643</v>
      </c>
      <c r="B127">
        <v>1.36</v>
      </c>
      <c r="C127" t="s">
        <v>14</v>
      </c>
    </row>
    <row r="128" spans="1:3" x14ac:dyDescent="0.25">
      <c r="A128" s="2">
        <v>42613</v>
      </c>
      <c r="B128">
        <v>1.0900000000000001</v>
      </c>
      <c r="C128" t="s">
        <v>14</v>
      </c>
    </row>
    <row r="129" spans="1:3" x14ac:dyDescent="0.25">
      <c r="A129" s="2">
        <v>42582</v>
      </c>
      <c r="B129">
        <v>0.63</v>
      </c>
      <c r="C129" t="s">
        <v>14</v>
      </c>
    </row>
    <row r="130" spans="1:3" x14ac:dyDescent="0.25">
      <c r="A130" s="2">
        <v>42551</v>
      </c>
      <c r="B130">
        <v>-0.09</v>
      </c>
      <c r="C130" t="s">
        <v>14</v>
      </c>
    </row>
    <row r="131" spans="1:3" x14ac:dyDescent="0.25">
      <c r="A131" s="2">
        <v>42521</v>
      </c>
      <c r="B131">
        <v>-0.9</v>
      </c>
      <c r="C131" t="s">
        <v>14</v>
      </c>
    </row>
    <row r="132" spans="1:3" x14ac:dyDescent="0.25">
      <c r="A132" s="2">
        <v>42490</v>
      </c>
      <c r="B132">
        <v>-1.0900000000000001</v>
      </c>
      <c r="C132" t="s">
        <v>14</v>
      </c>
    </row>
    <row r="133" spans="1:3" x14ac:dyDescent="0.25">
      <c r="A133" s="2">
        <v>42460</v>
      </c>
      <c r="B133">
        <v>-2</v>
      </c>
      <c r="C133" t="s">
        <v>14</v>
      </c>
    </row>
    <row r="134" spans="1:3" x14ac:dyDescent="0.25">
      <c r="A134" s="2">
        <v>42429</v>
      </c>
      <c r="B134">
        <v>-2.2799999999999998</v>
      </c>
      <c r="C134" t="s">
        <v>14</v>
      </c>
    </row>
    <row r="135" spans="1:3" x14ac:dyDescent="0.25">
      <c r="A135" s="2">
        <v>42400</v>
      </c>
      <c r="B135">
        <v>-2.5299999999999998</v>
      </c>
      <c r="C135" t="s">
        <v>14</v>
      </c>
    </row>
    <row r="136" spans="1:3" x14ac:dyDescent="0.25">
      <c r="A136" s="2">
        <v>42369</v>
      </c>
      <c r="B136">
        <v>-2.41</v>
      </c>
      <c r="C136" t="s">
        <v>14</v>
      </c>
    </row>
    <row r="137" spans="1:3" x14ac:dyDescent="0.25">
      <c r="A137" s="2">
        <v>42338</v>
      </c>
      <c r="B137">
        <v>-3.68</v>
      </c>
      <c r="C137" t="s">
        <v>14</v>
      </c>
    </row>
    <row r="138" spans="1:3" x14ac:dyDescent="0.25">
      <c r="A138" s="2">
        <v>42308</v>
      </c>
      <c r="B138">
        <v>-4.76</v>
      </c>
      <c r="C138" t="s">
        <v>14</v>
      </c>
    </row>
    <row r="139" spans="1:3" x14ac:dyDescent="0.25">
      <c r="A139" s="2">
        <v>42277</v>
      </c>
      <c r="B139">
        <v>-5.58</v>
      </c>
      <c r="C139" t="s">
        <v>14</v>
      </c>
    </row>
    <row r="140" spans="1:3" x14ac:dyDescent="0.25">
      <c r="A140" s="2">
        <v>42247</v>
      </c>
      <c r="B140">
        <v>-6.14</v>
      </c>
      <c r="C140" t="s">
        <v>14</v>
      </c>
    </row>
    <row r="141" spans="1:3" x14ac:dyDescent="0.25">
      <c r="A141" s="2">
        <v>42216</v>
      </c>
      <c r="B141">
        <v>-4.8</v>
      </c>
      <c r="C141" t="s">
        <v>14</v>
      </c>
    </row>
    <row r="142" spans="1:3" x14ac:dyDescent="0.25">
      <c r="A142" s="2">
        <v>42185</v>
      </c>
      <c r="B142">
        <v>-2.95</v>
      </c>
      <c r="C142" t="s">
        <v>14</v>
      </c>
    </row>
    <row r="143" spans="1:3" x14ac:dyDescent="0.25">
      <c r="A143" s="2">
        <v>42155</v>
      </c>
      <c r="B143">
        <v>-2.96</v>
      </c>
      <c r="C143" t="s">
        <v>14</v>
      </c>
    </row>
    <row r="144" spans="1:3" x14ac:dyDescent="0.25">
      <c r="A144" s="2">
        <v>42124</v>
      </c>
      <c r="B144">
        <v>-3.42</v>
      </c>
      <c r="C144" t="s">
        <v>14</v>
      </c>
    </row>
    <row r="145" spans="1:3" x14ac:dyDescent="0.25">
      <c r="A145" s="2">
        <v>42094</v>
      </c>
      <c r="B145">
        <v>-3.85</v>
      </c>
      <c r="C145" t="s">
        <v>14</v>
      </c>
    </row>
    <row r="146" spans="1:3" x14ac:dyDescent="0.25">
      <c r="A146" s="2">
        <v>42063</v>
      </c>
      <c r="B146">
        <v>-3.52</v>
      </c>
      <c r="C146" t="s">
        <v>14</v>
      </c>
    </row>
    <row r="147" spans="1:3" x14ac:dyDescent="0.25">
      <c r="A147" s="2">
        <v>42035</v>
      </c>
      <c r="B147">
        <v>-2.46</v>
      </c>
      <c r="C147" t="s">
        <v>14</v>
      </c>
    </row>
    <row r="148" spans="1:3" x14ac:dyDescent="0.25">
      <c r="A148" s="2">
        <v>42004</v>
      </c>
      <c r="B148">
        <v>-1.1499999999999999</v>
      </c>
      <c r="C148" t="s">
        <v>14</v>
      </c>
    </row>
    <row r="149" spans="1:3" x14ac:dyDescent="0.25">
      <c r="A149" s="2">
        <v>41973</v>
      </c>
      <c r="B149">
        <v>-0.17</v>
      </c>
      <c r="C149" t="s">
        <v>14</v>
      </c>
    </row>
    <row r="150" spans="1:3" x14ac:dyDescent="0.25">
      <c r="A150" s="2">
        <v>41943</v>
      </c>
      <c r="B150">
        <v>0.87</v>
      </c>
      <c r="C150" t="s">
        <v>14</v>
      </c>
    </row>
    <row r="151" spans="1:3" x14ac:dyDescent="0.25">
      <c r="A151" s="2">
        <v>41912</v>
      </c>
      <c r="B151">
        <v>1.84</v>
      </c>
      <c r="C151" t="s">
        <v>14</v>
      </c>
    </row>
    <row r="152" spans="1:3" x14ac:dyDescent="0.25">
      <c r="A152" s="2">
        <v>41882</v>
      </c>
      <c r="B152">
        <v>3.81</v>
      </c>
      <c r="C152" t="s">
        <v>14</v>
      </c>
    </row>
    <row r="153" spans="1:3" x14ac:dyDescent="0.25">
      <c r="A153" s="2">
        <v>41851</v>
      </c>
      <c r="B153">
        <v>4.95</v>
      </c>
      <c r="C153" t="s">
        <v>14</v>
      </c>
    </row>
    <row r="154" spans="1:3" x14ac:dyDescent="0.25">
      <c r="A154" s="2">
        <v>41820</v>
      </c>
      <c r="B154">
        <v>4.63</v>
      </c>
      <c r="C154" t="s">
        <v>14</v>
      </c>
    </row>
    <row r="155" spans="1:3" x14ac:dyDescent="0.25">
      <c r="A155" s="2">
        <v>41790</v>
      </c>
      <c r="B155">
        <v>5.71</v>
      </c>
      <c r="C155" t="s">
        <v>14</v>
      </c>
    </row>
    <row r="156" spans="1:3" x14ac:dyDescent="0.25">
      <c r="A156" s="2">
        <v>41759</v>
      </c>
      <c r="B156">
        <v>5.0599999999999996</v>
      </c>
      <c r="C156" t="s">
        <v>14</v>
      </c>
    </row>
    <row r="157" spans="1:3" x14ac:dyDescent="0.25">
      <c r="A157" s="2">
        <v>41729</v>
      </c>
      <c r="B157">
        <v>5.25</v>
      </c>
      <c r="C157" t="s">
        <v>14</v>
      </c>
    </row>
    <row r="158" spans="1:3" x14ac:dyDescent="0.25">
      <c r="A158" s="2">
        <v>41698</v>
      </c>
      <c r="B158">
        <v>4.8</v>
      </c>
      <c r="C158" t="s">
        <v>14</v>
      </c>
    </row>
    <row r="159" spans="1:3" x14ac:dyDescent="0.25">
      <c r="A159" s="2">
        <v>41670</v>
      </c>
      <c r="B159">
        <v>5.19</v>
      </c>
      <c r="C159" t="s">
        <v>14</v>
      </c>
    </row>
    <row r="160" spans="1:3" x14ac:dyDescent="0.25">
      <c r="A160" s="2">
        <v>41639</v>
      </c>
      <c r="B160">
        <v>5.88</v>
      </c>
      <c r="C160" t="s">
        <v>14</v>
      </c>
    </row>
    <row r="161" spans="1:3" x14ac:dyDescent="0.25">
      <c r="A161" s="2">
        <v>41608</v>
      </c>
      <c r="B161">
        <v>6.52</v>
      </c>
      <c r="C161" t="s">
        <v>14</v>
      </c>
    </row>
    <row r="162" spans="1:3" x14ac:dyDescent="0.25">
      <c r="A162" s="2">
        <v>41578</v>
      </c>
      <c r="B162">
        <v>6.7</v>
      </c>
      <c r="C162" t="s">
        <v>14</v>
      </c>
    </row>
    <row r="163" spans="1:3" x14ac:dyDescent="0.25">
      <c r="A163" s="2">
        <v>41547</v>
      </c>
      <c r="B163">
        <v>6.23</v>
      </c>
      <c r="C163" t="s">
        <v>14</v>
      </c>
    </row>
    <row r="164" spans="1:3" x14ac:dyDescent="0.25">
      <c r="A164" s="2">
        <v>41517</v>
      </c>
      <c r="B164">
        <v>5.61</v>
      </c>
      <c r="C164" t="s">
        <v>14</v>
      </c>
    </row>
    <row r="165" spans="1:3" x14ac:dyDescent="0.25">
      <c r="A165" s="2">
        <v>41486</v>
      </c>
      <c r="B165">
        <v>4.71</v>
      </c>
      <c r="C165" t="s">
        <v>14</v>
      </c>
    </row>
    <row r="166" spans="1:3" x14ac:dyDescent="0.25">
      <c r="A166" s="2">
        <v>41455</v>
      </c>
      <c r="B166">
        <v>4.5599999999999996</v>
      </c>
      <c r="C166" t="s">
        <v>14</v>
      </c>
    </row>
    <row r="167" spans="1:3" x14ac:dyDescent="0.25">
      <c r="A167" s="2">
        <v>41425</v>
      </c>
      <c r="B167">
        <v>3.13</v>
      </c>
      <c r="C167" t="s">
        <v>14</v>
      </c>
    </row>
    <row r="168" spans="1:3" x14ac:dyDescent="0.25">
      <c r="A168" s="2">
        <v>41394</v>
      </c>
      <c r="B168">
        <v>3.72</v>
      </c>
      <c r="C168" t="s">
        <v>14</v>
      </c>
    </row>
    <row r="169" spans="1:3" x14ac:dyDescent="0.25">
      <c r="A169" s="2">
        <v>41364</v>
      </c>
      <c r="B169">
        <v>5.65</v>
      </c>
      <c r="C169" t="s">
        <v>14</v>
      </c>
    </row>
    <row r="170" spans="1:3" x14ac:dyDescent="0.25">
      <c r="A170" s="2">
        <v>41333</v>
      </c>
      <c r="B170">
        <v>7.28</v>
      </c>
      <c r="C170" t="s">
        <v>14</v>
      </c>
    </row>
    <row r="171" spans="1:3" x14ac:dyDescent="0.25">
      <c r="A171" s="2">
        <v>41305</v>
      </c>
      <c r="B171">
        <v>7.31</v>
      </c>
      <c r="C171" t="s">
        <v>14</v>
      </c>
    </row>
    <row r="172" spans="1:3" x14ac:dyDescent="0.25">
      <c r="A172" s="2">
        <v>41274</v>
      </c>
      <c r="B172">
        <v>7.31</v>
      </c>
      <c r="C172" t="s">
        <v>14</v>
      </c>
    </row>
    <row r="173" spans="1:3" x14ac:dyDescent="0.25">
      <c r="A173" s="2">
        <v>41243</v>
      </c>
      <c r="B173">
        <v>7.24</v>
      </c>
      <c r="C173" t="s">
        <v>14</v>
      </c>
    </row>
    <row r="174" spans="1:3" x14ac:dyDescent="0.25">
      <c r="A174" s="2">
        <v>41213</v>
      </c>
      <c r="B174">
        <v>7.32</v>
      </c>
      <c r="C174" t="s">
        <v>14</v>
      </c>
    </row>
    <row r="175" spans="1:3" x14ac:dyDescent="0.25">
      <c r="A175" s="2">
        <v>41182</v>
      </c>
      <c r="B175">
        <v>8.07</v>
      </c>
      <c r="C175" t="s">
        <v>14</v>
      </c>
    </row>
    <row r="176" spans="1:3" x14ac:dyDescent="0.25">
      <c r="A176" s="2">
        <v>41152</v>
      </c>
      <c r="B176">
        <v>8.01</v>
      </c>
      <c r="C176" t="s">
        <v>14</v>
      </c>
    </row>
    <row r="177" spans="1:3" x14ac:dyDescent="0.25">
      <c r="A177" s="2">
        <v>41121</v>
      </c>
      <c r="B177">
        <v>7.52</v>
      </c>
      <c r="C177" t="s">
        <v>14</v>
      </c>
    </row>
    <row r="178" spans="1:3" x14ac:dyDescent="0.25">
      <c r="A178" s="2">
        <v>41090</v>
      </c>
      <c r="B178">
        <v>7.58</v>
      </c>
      <c r="C178" t="s">
        <v>14</v>
      </c>
    </row>
    <row r="179" spans="1:3" x14ac:dyDescent="0.25">
      <c r="A179" s="2">
        <v>41060</v>
      </c>
      <c r="B179">
        <v>7.55</v>
      </c>
      <c r="C179" t="s">
        <v>14</v>
      </c>
    </row>
    <row r="180" spans="1:3" x14ac:dyDescent="0.25">
      <c r="A180" s="2">
        <v>41029</v>
      </c>
      <c r="B180">
        <v>7.5</v>
      </c>
      <c r="C180" t="s">
        <v>14</v>
      </c>
    </row>
    <row r="181" spans="1:3" x14ac:dyDescent="0.25">
      <c r="A181" s="2">
        <v>40999</v>
      </c>
      <c r="B181">
        <v>7.69</v>
      </c>
      <c r="C181" t="s">
        <v>14</v>
      </c>
    </row>
    <row r="182" spans="1:3" x14ac:dyDescent="0.25">
      <c r="A182" s="2">
        <v>40968</v>
      </c>
      <c r="B182">
        <v>7.56</v>
      </c>
      <c r="C182" t="s">
        <v>14</v>
      </c>
    </row>
    <row r="183" spans="1:3" x14ac:dyDescent="0.25">
      <c r="A183" s="2">
        <v>40939</v>
      </c>
      <c r="B183">
        <v>7.23</v>
      </c>
      <c r="C183" t="s">
        <v>14</v>
      </c>
    </row>
    <row r="184" spans="1:3" x14ac:dyDescent="0.25">
      <c r="A184" s="2">
        <v>40908</v>
      </c>
      <c r="B184">
        <v>7.74</v>
      </c>
      <c r="C184" t="s">
        <v>14</v>
      </c>
    </row>
    <row r="185" spans="1:3" x14ac:dyDescent="0.25">
      <c r="A185" s="2">
        <v>40877</v>
      </c>
      <c r="B185">
        <v>9.4600000000000009</v>
      </c>
      <c r="C185" t="s">
        <v>14</v>
      </c>
    </row>
    <row r="186" spans="1:3" x14ac:dyDescent="0.25">
      <c r="A186" s="2">
        <v>40847</v>
      </c>
      <c r="B186">
        <v>9.8699999999999992</v>
      </c>
      <c r="C186" t="s">
        <v>14</v>
      </c>
    </row>
    <row r="187" spans="1:3" x14ac:dyDescent="0.25">
      <c r="A187" s="2">
        <v>40816</v>
      </c>
      <c r="B187">
        <v>10</v>
      </c>
      <c r="C187" t="s">
        <v>14</v>
      </c>
    </row>
    <row r="188" spans="1:3" x14ac:dyDescent="0.25">
      <c r="A188" s="2">
        <v>40786</v>
      </c>
      <c r="B188">
        <v>9.7799999999999994</v>
      </c>
      <c r="C188" t="s">
        <v>14</v>
      </c>
    </row>
    <row r="189" spans="1:3" x14ac:dyDescent="0.25">
      <c r="A189" s="2">
        <v>40755</v>
      </c>
      <c r="B189">
        <v>9.36</v>
      </c>
      <c r="C189" t="s">
        <v>14</v>
      </c>
    </row>
    <row r="190" spans="1:3" x14ac:dyDescent="0.25">
      <c r="A190" s="2">
        <v>40724</v>
      </c>
      <c r="B190">
        <v>9.51</v>
      </c>
      <c r="C190" t="s">
        <v>14</v>
      </c>
    </row>
    <row r="191" spans="1:3" x14ac:dyDescent="0.25">
      <c r="A191" s="2">
        <v>40694</v>
      </c>
      <c r="B191">
        <v>9.56</v>
      </c>
      <c r="C191" t="s">
        <v>14</v>
      </c>
    </row>
    <row r="192" spans="1:3" x14ac:dyDescent="0.25">
      <c r="A192" s="2">
        <v>40663</v>
      </c>
      <c r="B192">
        <v>9.74</v>
      </c>
      <c r="C192" t="s">
        <v>14</v>
      </c>
    </row>
    <row r="193" spans="1:3" x14ac:dyDescent="0.25">
      <c r="A193" s="2">
        <v>40633</v>
      </c>
      <c r="B193">
        <v>9.68</v>
      </c>
      <c r="C193" t="s">
        <v>14</v>
      </c>
    </row>
    <row r="194" spans="1:3" x14ac:dyDescent="0.25">
      <c r="A194" s="2">
        <v>40602</v>
      </c>
      <c r="B194">
        <v>9.5399999999999991</v>
      </c>
      <c r="C194" t="s">
        <v>14</v>
      </c>
    </row>
    <row r="195" spans="1:3" x14ac:dyDescent="0.25">
      <c r="A195" s="2">
        <v>40574</v>
      </c>
      <c r="B195">
        <v>9.4700000000000006</v>
      </c>
      <c r="C195" t="s">
        <v>14</v>
      </c>
    </row>
    <row r="196" spans="1:3" x14ac:dyDescent="0.25">
      <c r="A196" s="2">
        <v>40543</v>
      </c>
      <c r="B196">
        <v>9.4499999999999993</v>
      </c>
      <c r="C196" t="s">
        <v>14</v>
      </c>
    </row>
    <row r="197" spans="1:3" x14ac:dyDescent="0.25">
      <c r="A197" s="2">
        <v>40512</v>
      </c>
      <c r="B197">
        <v>8.1999999999999993</v>
      </c>
      <c r="C197" t="s">
        <v>14</v>
      </c>
    </row>
    <row r="198" spans="1:3" x14ac:dyDescent="0.25">
      <c r="A198" s="2">
        <v>40482</v>
      </c>
      <c r="B198">
        <v>9.08</v>
      </c>
      <c r="C198" t="s">
        <v>14</v>
      </c>
    </row>
    <row r="199" spans="1:3" x14ac:dyDescent="0.25">
      <c r="A199" s="2">
        <v>40451</v>
      </c>
      <c r="B199">
        <v>8.98</v>
      </c>
      <c r="C199" t="s">
        <v>14</v>
      </c>
    </row>
    <row r="200" spans="1:3" x14ac:dyDescent="0.25">
      <c r="A200" s="2">
        <v>40421</v>
      </c>
      <c r="B200">
        <v>8.8699999999999992</v>
      </c>
      <c r="C200" t="s">
        <v>14</v>
      </c>
    </row>
    <row r="201" spans="1:3" x14ac:dyDescent="0.25">
      <c r="A201" s="2">
        <v>40390</v>
      </c>
      <c r="B201">
        <v>9.98</v>
      </c>
      <c r="C201" t="s">
        <v>14</v>
      </c>
    </row>
    <row r="202" spans="1:3" x14ac:dyDescent="0.25">
      <c r="A202" s="2">
        <v>40359</v>
      </c>
      <c r="B202">
        <v>10.25</v>
      </c>
      <c r="C202" t="s">
        <v>14</v>
      </c>
    </row>
    <row r="203" spans="1:3" x14ac:dyDescent="0.25">
      <c r="A203" s="2">
        <v>40329</v>
      </c>
      <c r="B203">
        <v>10.48</v>
      </c>
      <c r="C203" t="s">
        <v>14</v>
      </c>
    </row>
    <row r="204" spans="1:3" x14ac:dyDescent="0.25">
      <c r="A204" s="2">
        <v>40298</v>
      </c>
      <c r="B204">
        <v>10.88</v>
      </c>
      <c r="C204" t="s">
        <v>14</v>
      </c>
    </row>
    <row r="205" spans="1:3" x14ac:dyDescent="0.25">
      <c r="A205" s="2">
        <v>40268</v>
      </c>
      <c r="B205">
        <v>10.36</v>
      </c>
      <c r="C205" t="s">
        <v>14</v>
      </c>
    </row>
    <row r="206" spans="1:3" x14ac:dyDescent="0.25">
      <c r="A206" s="2">
        <v>40237</v>
      </c>
      <c r="B206">
        <v>9.65</v>
      </c>
      <c r="C206" t="s">
        <v>14</v>
      </c>
    </row>
    <row r="207" spans="1:3" x14ac:dyDescent="0.25">
      <c r="A207" s="2">
        <v>40209</v>
      </c>
      <c r="B207">
        <v>8.68</v>
      </c>
      <c r="C207" t="s">
        <v>14</v>
      </c>
    </row>
    <row r="208" spans="1:3" x14ac:dyDescent="0.25">
      <c r="A208" s="2">
        <v>40178</v>
      </c>
      <c r="B208">
        <v>7.15</v>
      </c>
      <c r="C208" t="s">
        <v>14</v>
      </c>
    </row>
    <row r="209" spans="1:3" x14ac:dyDescent="0.25">
      <c r="A209" s="2">
        <v>40147</v>
      </c>
      <c r="B209">
        <v>4.7300000000000004</v>
      </c>
      <c r="C209" t="s">
        <v>14</v>
      </c>
    </row>
    <row r="210" spans="1:3" x14ac:dyDescent="0.25">
      <c r="A210" s="2">
        <v>40117</v>
      </c>
      <c r="B210">
        <v>1.79</v>
      </c>
      <c r="C210" t="s">
        <v>14</v>
      </c>
    </row>
    <row r="211" spans="1:3" x14ac:dyDescent="0.25">
      <c r="A211" s="2">
        <v>40086</v>
      </c>
      <c r="B211">
        <v>1.4</v>
      </c>
      <c r="C211" t="s">
        <v>14</v>
      </c>
    </row>
    <row r="212" spans="1:3" x14ac:dyDescent="0.25">
      <c r="A212" s="2">
        <v>40056</v>
      </c>
      <c r="B212">
        <v>0.54</v>
      </c>
      <c r="C212" t="s">
        <v>14</v>
      </c>
    </row>
    <row r="213" spans="1:3" x14ac:dyDescent="0.25">
      <c r="A213" s="2">
        <v>40025</v>
      </c>
      <c r="B213">
        <v>-0.31</v>
      </c>
      <c r="C213" t="s">
        <v>14</v>
      </c>
    </row>
    <row r="214" spans="1:3" x14ac:dyDescent="0.25">
      <c r="A214" s="2">
        <v>39994</v>
      </c>
      <c r="B214">
        <v>-0.39</v>
      </c>
      <c r="C214" t="s">
        <v>14</v>
      </c>
    </row>
    <row r="215" spans="1:3" x14ac:dyDescent="0.25">
      <c r="A215" s="2">
        <v>39964</v>
      </c>
      <c r="B215">
        <v>1.45</v>
      </c>
      <c r="C215" t="s">
        <v>14</v>
      </c>
    </row>
    <row r="216" spans="1:3" x14ac:dyDescent="0.25">
      <c r="A216" s="2">
        <v>39933</v>
      </c>
      <c r="B216">
        <v>1.21</v>
      </c>
      <c r="C216" t="s">
        <v>14</v>
      </c>
    </row>
    <row r="217" spans="1:3" x14ac:dyDescent="0.25">
      <c r="A217" s="2">
        <v>39903</v>
      </c>
      <c r="B217">
        <v>1.65</v>
      </c>
      <c r="C217" t="s">
        <v>14</v>
      </c>
    </row>
    <row r="218" spans="1:3" x14ac:dyDescent="0.25">
      <c r="A218" s="2">
        <v>39872</v>
      </c>
      <c r="B218">
        <v>3.61</v>
      </c>
      <c r="C218" t="s">
        <v>14</v>
      </c>
    </row>
    <row r="219" spans="1:3" x14ac:dyDescent="0.25">
      <c r="A219" s="2">
        <v>39844</v>
      </c>
      <c r="B219">
        <v>5.87</v>
      </c>
      <c r="C219" t="s">
        <v>14</v>
      </c>
    </row>
    <row r="220" spans="1:3" x14ac:dyDescent="0.25">
      <c r="A220" s="2">
        <v>39813</v>
      </c>
      <c r="B220">
        <v>6.68</v>
      </c>
      <c r="C220" t="s">
        <v>14</v>
      </c>
    </row>
    <row r="221" spans="1:3" x14ac:dyDescent="0.25">
      <c r="A221" s="2">
        <v>39782</v>
      </c>
      <c r="B221">
        <v>8.65</v>
      </c>
      <c r="C221" t="s">
        <v>14</v>
      </c>
    </row>
    <row r="222" spans="1:3" x14ac:dyDescent="0.25">
      <c r="A222" s="2">
        <v>39752</v>
      </c>
      <c r="B222">
        <v>10.66</v>
      </c>
      <c r="C222" t="s">
        <v>14</v>
      </c>
    </row>
    <row r="223" spans="1:3" x14ac:dyDescent="0.25">
      <c r="A223" s="2">
        <v>39721</v>
      </c>
      <c r="B223">
        <v>10.78</v>
      </c>
      <c r="C223" t="s">
        <v>14</v>
      </c>
    </row>
    <row r="224" spans="1:3" x14ac:dyDescent="0.25">
      <c r="A224" s="2">
        <v>39691</v>
      </c>
      <c r="B224">
        <v>11.12</v>
      </c>
      <c r="C224" t="s">
        <v>14</v>
      </c>
    </row>
    <row r="225" spans="1:3" x14ac:dyDescent="0.25">
      <c r="A225" s="2">
        <v>39660</v>
      </c>
      <c r="B225">
        <v>11.15</v>
      </c>
      <c r="C225" t="s">
        <v>14</v>
      </c>
    </row>
    <row r="226" spans="1:3" x14ac:dyDescent="0.25">
      <c r="A226" s="2">
        <v>39629</v>
      </c>
      <c r="B226">
        <v>10.89</v>
      </c>
      <c r="C226" t="s">
        <v>14</v>
      </c>
    </row>
    <row r="227" spans="1:3" x14ac:dyDescent="0.25">
      <c r="A227" s="2">
        <v>39599</v>
      </c>
      <c r="B227">
        <v>8.1999999999999993</v>
      </c>
      <c r="C227" t="s">
        <v>14</v>
      </c>
    </row>
    <row r="228" spans="1:3" x14ac:dyDescent="0.25">
      <c r="A228" s="2">
        <v>39568</v>
      </c>
      <c r="B228">
        <v>7.86</v>
      </c>
      <c r="C228" t="s">
        <v>14</v>
      </c>
    </row>
    <row r="229" spans="1:3" x14ac:dyDescent="0.25">
      <c r="A229" s="2">
        <v>39538</v>
      </c>
      <c r="B229">
        <v>7.71</v>
      </c>
      <c r="C229" t="s">
        <v>14</v>
      </c>
    </row>
    <row r="230" spans="1:3" x14ac:dyDescent="0.25">
      <c r="A230" s="2">
        <v>39507</v>
      </c>
      <c r="B230">
        <v>5.68</v>
      </c>
      <c r="C230" t="s">
        <v>14</v>
      </c>
    </row>
    <row r="231" spans="1:3" x14ac:dyDescent="0.25">
      <c r="A231" s="2">
        <v>39478</v>
      </c>
      <c r="B231">
        <v>4.54</v>
      </c>
      <c r="C231" t="s">
        <v>14</v>
      </c>
    </row>
    <row r="232" spans="1:3" x14ac:dyDescent="0.25">
      <c r="A232" s="2">
        <v>39447</v>
      </c>
      <c r="B232">
        <v>4.01</v>
      </c>
      <c r="C232" t="s">
        <v>14</v>
      </c>
    </row>
    <row r="233" spans="1:3" x14ac:dyDescent="0.25">
      <c r="A233" s="2">
        <v>39416</v>
      </c>
      <c r="B233">
        <v>3.73</v>
      </c>
      <c r="C233" t="s">
        <v>14</v>
      </c>
    </row>
    <row r="234" spans="1:3" x14ac:dyDescent="0.25">
      <c r="A234" s="2">
        <v>39386</v>
      </c>
      <c r="B234">
        <v>3.19</v>
      </c>
      <c r="C234" t="s">
        <v>14</v>
      </c>
    </row>
    <row r="235" spans="1:3" x14ac:dyDescent="0.25">
      <c r="A235" s="2">
        <v>39355</v>
      </c>
      <c r="B235">
        <v>3.39</v>
      </c>
      <c r="C235" t="s">
        <v>14</v>
      </c>
    </row>
    <row r="236" spans="1:3" x14ac:dyDescent="0.25">
      <c r="A236" s="2">
        <v>39325</v>
      </c>
      <c r="B236">
        <v>4.04</v>
      </c>
      <c r="C236" t="s">
        <v>14</v>
      </c>
    </row>
    <row r="237" spans="1:3" x14ac:dyDescent="0.25">
      <c r="A237" s="2">
        <v>39294</v>
      </c>
      <c r="B237">
        <v>4.42</v>
      </c>
      <c r="C237" t="s">
        <v>14</v>
      </c>
    </row>
    <row r="238" spans="1:3" x14ac:dyDescent="0.25">
      <c r="A238" s="2">
        <v>39263</v>
      </c>
      <c r="B238">
        <v>4.46</v>
      </c>
      <c r="C238" t="s">
        <v>14</v>
      </c>
    </row>
    <row r="239" spans="1:3" x14ac:dyDescent="0.25">
      <c r="A239" s="2">
        <v>39233</v>
      </c>
      <c r="B239">
        <v>5.52</v>
      </c>
      <c r="C239" t="s">
        <v>14</v>
      </c>
    </row>
    <row r="240" spans="1:3" x14ac:dyDescent="0.25">
      <c r="A240" s="2">
        <v>39202</v>
      </c>
      <c r="B240">
        <v>6.22</v>
      </c>
      <c r="C240" t="s">
        <v>14</v>
      </c>
    </row>
    <row r="241" spans="1:3" x14ac:dyDescent="0.25">
      <c r="A241" s="2">
        <v>39172</v>
      </c>
      <c r="B241">
        <v>6.72</v>
      </c>
      <c r="C241" t="s">
        <v>14</v>
      </c>
    </row>
    <row r="242" spans="1:3" x14ac:dyDescent="0.25">
      <c r="A242" s="2">
        <v>39141</v>
      </c>
      <c r="B242">
        <v>6.63</v>
      </c>
      <c r="C242" t="s">
        <v>14</v>
      </c>
    </row>
    <row r="243" spans="1:3" x14ac:dyDescent="0.25">
      <c r="A243" s="2">
        <v>39113</v>
      </c>
      <c r="B243">
        <v>6.64</v>
      </c>
      <c r="C243" t="s">
        <v>14</v>
      </c>
    </row>
    <row r="244" spans="1:3" x14ac:dyDescent="0.25">
      <c r="A244" s="2">
        <v>39082</v>
      </c>
      <c r="B244">
        <v>6.96</v>
      </c>
      <c r="C244" t="s">
        <v>14</v>
      </c>
    </row>
    <row r="245" spans="1:3" x14ac:dyDescent="0.25">
      <c r="A245" s="2">
        <v>39051</v>
      </c>
      <c r="B245">
        <v>6.73</v>
      </c>
      <c r="C245" t="s">
        <v>14</v>
      </c>
    </row>
    <row r="246" spans="1:3" x14ac:dyDescent="0.25">
      <c r="A246" s="2">
        <v>39021</v>
      </c>
      <c r="B246">
        <v>6.93</v>
      </c>
      <c r="C246" t="s">
        <v>14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532401-0EED-4704-B0F1-2F5C563D3F94}">
  <dimension ref="A1:C3000"/>
  <sheetViews>
    <sheetView workbookViewId="0">
      <selection activeCell="A8" sqref="A8"/>
    </sheetView>
  </sheetViews>
  <sheetFormatPr defaultRowHeight="15" x14ac:dyDescent="0.25"/>
  <cols>
    <col min="1" max="1" width="10.42578125" bestFit="1" customWidth="1"/>
    <col min="2" max="2" width="15.7109375" bestFit="1" customWidth="1"/>
  </cols>
  <sheetData>
    <row r="1" spans="1:3" x14ac:dyDescent="0.25">
      <c r="A1" t="s">
        <v>0</v>
      </c>
      <c r="B1" t="s">
        <v>196</v>
      </c>
    </row>
    <row r="2" spans="1:3" x14ac:dyDescent="0.25">
      <c r="A2" t="s">
        <v>2</v>
      </c>
      <c r="B2" s="1">
        <v>42006</v>
      </c>
    </row>
    <row r="3" spans="1:3" x14ac:dyDescent="0.25">
      <c r="A3" t="s">
        <v>3</v>
      </c>
      <c r="B3" s="1">
        <v>46314</v>
      </c>
    </row>
    <row r="4" spans="1:3" x14ac:dyDescent="0.25">
      <c r="A4" t="s">
        <v>4</v>
      </c>
      <c r="B4" t="s">
        <v>11</v>
      </c>
    </row>
    <row r="5" spans="1:3" x14ac:dyDescent="0.25">
      <c r="A5" t="s">
        <v>12</v>
      </c>
      <c r="B5" t="s">
        <v>13</v>
      </c>
    </row>
    <row r="7" spans="1:3" x14ac:dyDescent="0.25">
      <c r="A7" t="s">
        <v>8</v>
      </c>
      <c r="B7" t="s">
        <v>10</v>
      </c>
      <c r="C7" t="s">
        <v>9</v>
      </c>
    </row>
    <row r="8" spans="1:3" x14ac:dyDescent="0.25">
      <c r="A8" s="2">
        <f>_xll.BDH(B1,B7:C7,B2,B3,"Dir=V","Dts=S","Sort=D","Quote=C","QtTyp=P","Days=T",CONCATENATE("Per=c",B4),"DtFmt=D","UseDPDF=Y",CONCATENATE("FX=",B5),"cols=3;rows=2993")</f>
        <v>46314</v>
      </c>
      <c r="B8" t="s">
        <v>14</v>
      </c>
      <c r="C8">
        <v>117.735</v>
      </c>
    </row>
    <row r="9" spans="1:3" x14ac:dyDescent="0.25">
      <c r="A9" s="2">
        <v>46311</v>
      </c>
      <c r="B9" t="s">
        <v>14</v>
      </c>
      <c r="C9">
        <v>116.605</v>
      </c>
    </row>
    <row r="10" spans="1:3" x14ac:dyDescent="0.25">
      <c r="A10" s="2">
        <v>46310</v>
      </c>
      <c r="B10" t="s">
        <v>14</v>
      </c>
      <c r="C10">
        <v>126.405</v>
      </c>
    </row>
    <row r="11" spans="1:3" x14ac:dyDescent="0.25">
      <c r="A11" s="2">
        <v>46309</v>
      </c>
      <c r="B11" t="s">
        <v>14</v>
      </c>
      <c r="C11">
        <v>127.345</v>
      </c>
    </row>
    <row r="12" spans="1:3" x14ac:dyDescent="0.25">
      <c r="A12" s="2">
        <v>46308</v>
      </c>
      <c r="B12" t="s">
        <v>14</v>
      </c>
      <c r="C12">
        <v>130.04</v>
      </c>
    </row>
    <row r="13" spans="1:3" x14ac:dyDescent="0.25">
      <c r="A13" s="2">
        <v>46307</v>
      </c>
      <c r="B13" t="s">
        <v>14</v>
      </c>
      <c r="C13">
        <v>134.13999999999999</v>
      </c>
    </row>
    <row r="14" spans="1:3" x14ac:dyDescent="0.25">
      <c r="A14" s="2">
        <v>46304</v>
      </c>
      <c r="B14" t="s">
        <v>14</v>
      </c>
      <c r="C14">
        <v>132.78</v>
      </c>
    </row>
    <row r="15" spans="1:3" x14ac:dyDescent="0.25">
      <c r="A15" s="2">
        <v>46303</v>
      </c>
      <c r="B15" t="s">
        <v>14</v>
      </c>
      <c r="C15">
        <v>135.66</v>
      </c>
    </row>
    <row r="16" spans="1:3" x14ac:dyDescent="0.25">
      <c r="A16" s="2">
        <v>46302</v>
      </c>
      <c r="B16" t="s">
        <v>14</v>
      </c>
      <c r="C16">
        <v>129.18</v>
      </c>
    </row>
    <row r="17" spans="1:3" x14ac:dyDescent="0.25">
      <c r="A17" s="2">
        <v>46301</v>
      </c>
      <c r="B17" t="s">
        <v>14</v>
      </c>
      <c r="C17">
        <v>125.185</v>
      </c>
    </row>
    <row r="18" spans="1:3" x14ac:dyDescent="0.25">
      <c r="A18" s="2">
        <v>46300</v>
      </c>
      <c r="B18" t="s">
        <v>14</v>
      </c>
      <c r="C18">
        <v>128.46</v>
      </c>
    </row>
    <row r="19" spans="1:3" x14ac:dyDescent="0.25">
      <c r="A19" s="2">
        <v>46297</v>
      </c>
      <c r="B19" t="s">
        <v>14</v>
      </c>
      <c r="C19">
        <v>126.625</v>
      </c>
    </row>
    <row r="20" spans="1:3" x14ac:dyDescent="0.25">
      <c r="A20" s="2">
        <v>46296</v>
      </c>
      <c r="B20" t="s">
        <v>14</v>
      </c>
      <c r="C20">
        <v>126.895</v>
      </c>
    </row>
    <row r="21" spans="1:3" x14ac:dyDescent="0.25">
      <c r="A21" s="2">
        <v>46295</v>
      </c>
      <c r="B21" t="s">
        <v>14</v>
      </c>
      <c r="C21">
        <v>120.17</v>
      </c>
    </row>
    <row r="22" spans="1:3" x14ac:dyDescent="0.25">
      <c r="A22" s="2">
        <v>46294</v>
      </c>
      <c r="B22" t="s">
        <v>14</v>
      </c>
      <c r="C22">
        <v>119.245</v>
      </c>
    </row>
    <row r="23" spans="1:3" x14ac:dyDescent="0.25">
      <c r="A23" s="2">
        <v>46293</v>
      </c>
      <c r="B23" t="s">
        <v>14</v>
      </c>
      <c r="C23">
        <v>123.78</v>
      </c>
    </row>
    <row r="24" spans="1:3" x14ac:dyDescent="0.25">
      <c r="A24" s="2">
        <v>46290</v>
      </c>
      <c r="B24" t="s">
        <v>14</v>
      </c>
      <c r="C24">
        <v>123.02500000000001</v>
      </c>
    </row>
    <row r="25" spans="1:3" x14ac:dyDescent="0.25">
      <c r="A25" s="2">
        <v>46289</v>
      </c>
      <c r="B25" t="s">
        <v>14</v>
      </c>
      <c r="C25">
        <v>125.52500000000001</v>
      </c>
    </row>
    <row r="26" spans="1:3" x14ac:dyDescent="0.25">
      <c r="A26" s="2">
        <v>46288</v>
      </c>
      <c r="B26" t="s">
        <v>14</v>
      </c>
      <c r="C26">
        <v>119.855</v>
      </c>
    </row>
    <row r="27" spans="1:3" x14ac:dyDescent="0.25">
      <c r="A27" s="2">
        <v>46287</v>
      </c>
      <c r="B27" t="s">
        <v>14</v>
      </c>
      <c r="C27">
        <v>116.45</v>
      </c>
    </row>
    <row r="28" spans="1:3" x14ac:dyDescent="0.25">
      <c r="A28" s="2">
        <v>46286</v>
      </c>
      <c r="B28" t="s">
        <v>14</v>
      </c>
      <c r="C28">
        <v>118.38500000000001</v>
      </c>
    </row>
    <row r="29" spans="1:3" x14ac:dyDescent="0.25">
      <c r="A29" s="2">
        <v>46283</v>
      </c>
      <c r="B29" t="s">
        <v>14</v>
      </c>
      <c r="C29">
        <v>125.38500000000001</v>
      </c>
    </row>
    <row r="30" spans="1:3" x14ac:dyDescent="0.25">
      <c r="A30" s="2">
        <v>46282</v>
      </c>
      <c r="B30" t="s">
        <v>14</v>
      </c>
      <c r="C30">
        <v>125.395</v>
      </c>
    </row>
    <row r="31" spans="1:3" x14ac:dyDescent="0.25">
      <c r="A31" s="2">
        <v>46281</v>
      </c>
      <c r="B31" t="s">
        <v>14</v>
      </c>
      <c r="C31">
        <v>126.795</v>
      </c>
    </row>
    <row r="32" spans="1:3" x14ac:dyDescent="0.25">
      <c r="A32" s="2">
        <v>46280</v>
      </c>
      <c r="B32" t="s">
        <v>14</v>
      </c>
      <c r="C32">
        <v>131.76499999999999</v>
      </c>
    </row>
    <row r="33" spans="1:3" x14ac:dyDescent="0.25">
      <c r="A33" s="2">
        <v>46279</v>
      </c>
      <c r="B33" t="s">
        <v>14</v>
      </c>
      <c r="C33">
        <v>130.65</v>
      </c>
    </row>
    <row r="34" spans="1:3" x14ac:dyDescent="0.25">
      <c r="A34" s="2">
        <v>46276</v>
      </c>
      <c r="B34" t="s">
        <v>14</v>
      </c>
      <c r="C34">
        <v>118.56</v>
      </c>
    </row>
    <row r="35" spans="1:3" x14ac:dyDescent="0.25">
      <c r="A35" s="2">
        <v>46275</v>
      </c>
      <c r="B35" t="s">
        <v>14</v>
      </c>
      <c r="C35">
        <v>120.28</v>
      </c>
    </row>
    <row r="36" spans="1:3" x14ac:dyDescent="0.25">
      <c r="A36" s="2">
        <v>46274</v>
      </c>
      <c r="B36" t="s">
        <v>14</v>
      </c>
      <c r="C36">
        <v>114.45</v>
      </c>
    </row>
    <row r="37" spans="1:3" x14ac:dyDescent="0.25">
      <c r="A37" s="2">
        <v>46273</v>
      </c>
      <c r="B37" t="s">
        <v>14</v>
      </c>
      <c r="C37">
        <v>108.22</v>
      </c>
    </row>
    <row r="38" spans="1:3" x14ac:dyDescent="0.25">
      <c r="A38" s="2">
        <v>46272</v>
      </c>
      <c r="B38" t="s">
        <v>14</v>
      </c>
      <c r="C38">
        <v>106.77500000000001</v>
      </c>
    </row>
    <row r="39" spans="1:3" x14ac:dyDescent="0.25">
      <c r="A39" s="2">
        <v>46269</v>
      </c>
      <c r="B39" t="s">
        <v>14</v>
      </c>
      <c r="C39">
        <v>100.65</v>
      </c>
    </row>
    <row r="40" spans="1:3" x14ac:dyDescent="0.25">
      <c r="A40" s="2">
        <v>46268</v>
      </c>
      <c r="B40" t="s">
        <v>14</v>
      </c>
      <c r="C40">
        <v>101.66500000000001</v>
      </c>
    </row>
    <row r="41" spans="1:3" x14ac:dyDescent="0.25">
      <c r="A41" s="2">
        <v>46267</v>
      </c>
      <c r="B41" t="s">
        <v>14</v>
      </c>
      <c r="C41">
        <v>98.405000000000001</v>
      </c>
    </row>
    <row r="42" spans="1:3" x14ac:dyDescent="0.25">
      <c r="A42" s="2">
        <v>46266</v>
      </c>
      <c r="B42" t="s">
        <v>14</v>
      </c>
      <c r="C42">
        <v>94.114999999999995</v>
      </c>
    </row>
    <row r="43" spans="1:3" x14ac:dyDescent="0.25">
      <c r="A43" s="2">
        <v>46262</v>
      </c>
      <c r="B43" t="s">
        <v>14</v>
      </c>
      <c r="C43">
        <v>89.71</v>
      </c>
    </row>
    <row r="44" spans="1:3" x14ac:dyDescent="0.25">
      <c r="A44" s="2">
        <v>46261</v>
      </c>
      <c r="B44" t="s">
        <v>14</v>
      </c>
      <c r="C44">
        <v>89.25</v>
      </c>
    </row>
    <row r="45" spans="1:3" x14ac:dyDescent="0.25">
      <c r="A45" s="2">
        <v>46260</v>
      </c>
      <c r="B45" t="s">
        <v>14</v>
      </c>
      <c r="C45">
        <v>89.424999999999997</v>
      </c>
    </row>
    <row r="46" spans="1:3" x14ac:dyDescent="0.25">
      <c r="A46" s="2">
        <v>46259</v>
      </c>
      <c r="B46" t="s">
        <v>14</v>
      </c>
      <c r="C46">
        <v>89.194999999999993</v>
      </c>
    </row>
    <row r="47" spans="1:3" x14ac:dyDescent="0.25">
      <c r="A47" s="2">
        <v>46258</v>
      </c>
      <c r="B47" t="s">
        <v>14</v>
      </c>
      <c r="C47">
        <v>92.89</v>
      </c>
    </row>
    <row r="48" spans="1:3" x14ac:dyDescent="0.25">
      <c r="A48" s="2">
        <v>46255</v>
      </c>
      <c r="B48" t="s">
        <v>14</v>
      </c>
      <c r="C48">
        <v>94.454999999999998</v>
      </c>
    </row>
    <row r="49" spans="1:3" x14ac:dyDescent="0.25">
      <c r="A49" s="2">
        <v>46254</v>
      </c>
      <c r="B49" t="s">
        <v>14</v>
      </c>
      <c r="C49">
        <v>94.415000000000006</v>
      </c>
    </row>
    <row r="50" spans="1:3" x14ac:dyDescent="0.25">
      <c r="A50" s="2">
        <v>46253</v>
      </c>
      <c r="B50" t="s">
        <v>14</v>
      </c>
      <c r="C50">
        <v>93.495000000000005</v>
      </c>
    </row>
    <row r="51" spans="1:3" x14ac:dyDescent="0.25">
      <c r="A51" s="2">
        <v>46252</v>
      </c>
      <c r="B51" t="s">
        <v>14</v>
      </c>
      <c r="C51">
        <v>92.844999999999999</v>
      </c>
    </row>
    <row r="52" spans="1:3" x14ac:dyDescent="0.25">
      <c r="A52" s="2">
        <v>46251</v>
      </c>
      <c r="B52" t="s">
        <v>14</v>
      </c>
      <c r="C52">
        <v>90</v>
      </c>
    </row>
    <row r="53" spans="1:3" x14ac:dyDescent="0.25">
      <c r="A53" s="2">
        <v>46248</v>
      </c>
      <c r="B53" t="s">
        <v>14</v>
      </c>
      <c r="C53">
        <v>92.045000000000002</v>
      </c>
    </row>
    <row r="54" spans="1:3" x14ac:dyDescent="0.25">
      <c r="A54" s="2">
        <v>46247</v>
      </c>
      <c r="B54" t="s">
        <v>14</v>
      </c>
      <c r="C54">
        <v>92.694999999999993</v>
      </c>
    </row>
    <row r="55" spans="1:3" x14ac:dyDescent="0.25">
      <c r="A55" s="2">
        <v>46246</v>
      </c>
      <c r="B55" t="s">
        <v>14</v>
      </c>
      <c r="C55">
        <v>93.575000000000003</v>
      </c>
    </row>
    <row r="56" spans="1:3" x14ac:dyDescent="0.25">
      <c r="A56" s="2">
        <v>46245</v>
      </c>
      <c r="B56" t="s">
        <v>14</v>
      </c>
      <c r="C56">
        <v>93.17</v>
      </c>
    </row>
    <row r="57" spans="1:3" x14ac:dyDescent="0.25">
      <c r="A57" s="2">
        <v>46244</v>
      </c>
      <c r="B57" t="s">
        <v>14</v>
      </c>
      <c r="C57">
        <v>91.885000000000005</v>
      </c>
    </row>
    <row r="58" spans="1:3" x14ac:dyDescent="0.25">
      <c r="A58" s="2">
        <v>46241</v>
      </c>
      <c r="B58" t="s">
        <v>14</v>
      </c>
      <c r="C58">
        <v>89.07</v>
      </c>
    </row>
    <row r="59" spans="1:3" x14ac:dyDescent="0.25">
      <c r="A59" s="2">
        <v>46240</v>
      </c>
      <c r="B59" t="s">
        <v>14</v>
      </c>
      <c r="C59">
        <v>87.644999999999996</v>
      </c>
    </row>
    <row r="60" spans="1:3" x14ac:dyDescent="0.25">
      <c r="A60" s="2">
        <v>46239</v>
      </c>
      <c r="B60" t="s">
        <v>14</v>
      </c>
      <c r="C60">
        <v>85.25</v>
      </c>
    </row>
    <row r="61" spans="1:3" x14ac:dyDescent="0.25">
      <c r="A61" s="2">
        <v>46238</v>
      </c>
      <c r="B61" t="s">
        <v>14</v>
      </c>
      <c r="C61">
        <v>86.23</v>
      </c>
    </row>
    <row r="62" spans="1:3" x14ac:dyDescent="0.25">
      <c r="A62" s="2">
        <v>46237</v>
      </c>
      <c r="B62" t="s">
        <v>14</v>
      </c>
      <c r="C62">
        <v>91.56</v>
      </c>
    </row>
    <row r="63" spans="1:3" x14ac:dyDescent="0.25">
      <c r="A63" s="2">
        <v>46234</v>
      </c>
      <c r="B63" t="s">
        <v>14</v>
      </c>
      <c r="C63">
        <v>96.22</v>
      </c>
    </row>
    <row r="64" spans="1:3" x14ac:dyDescent="0.25">
      <c r="A64" s="2">
        <v>46233</v>
      </c>
      <c r="B64" t="s">
        <v>14</v>
      </c>
      <c r="C64">
        <v>91.93</v>
      </c>
    </row>
    <row r="65" spans="1:3" x14ac:dyDescent="0.25">
      <c r="A65" s="2">
        <v>46232</v>
      </c>
      <c r="B65" t="s">
        <v>14</v>
      </c>
      <c r="C65">
        <v>91.19</v>
      </c>
    </row>
    <row r="66" spans="1:3" x14ac:dyDescent="0.25">
      <c r="A66" s="2">
        <v>46231</v>
      </c>
      <c r="B66" t="s">
        <v>14</v>
      </c>
      <c r="C66">
        <v>85.734999999999999</v>
      </c>
    </row>
    <row r="67" spans="1:3" x14ac:dyDescent="0.25">
      <c r="A67" s="2">
        <v>46230</v>
      </c>
      <c r="B67" t="s">
        <v>14</v>
      </c>
      <c r="C67">
        <v>90.575000000000003</v>
      </c>
    </row>
    <row r="68" spans="1:3" x14ac:dyDescent="0.25">
      <c r="A68" s="2">
        <v>46227</v>
      </c>
      <c r="B68" t="s">
        <v>14</v>
      </c>
      <c r="C68">
        <v>98.79</v>
      </c>
    </row>
    <row r="69" spans="1:3" x14ac:dyDescent="0.25">
      <c r="A69" s="2">
        <v>46226</v>
      </c>
      <c r="B69" t="s">
        <v>14</v>
      </c>
      <c r="C69">
        <v>105.59</v>
      </c>
    </row>
    <row r="70" spans="1:3" x14ac:dyDescent="0.25">
      <c r="A70" s="2">
        <v>46225</v>
      </c>
      <c r="B70" t="s">
        <v>14</v>
      </c>
      <c r="C70">
        <v>94.165000000000006</v>
      </c>
    </row>
    <row r="71" spans="1:3" x14ac:dyDescent="0.25">
      <c r="A71" s="2">
        <v>46224</v>
      </c>
      <c r="B71" t="s">
        <v>14</v>
      </c>
      <c r="C71">
        <v>91.8</v>
      </c>
    </row>
    <row r="72" spans="1:3" x14ac:dyDescent="0.25">
      <c r="A72" s="2">
        <v>46223</v>
      </c>
      <c r="B72" t="s">
        <v>14</v>
      </c>
      <c r="C72">
        <v>86.82</v>
      </c>
    </row>
    <row r="73" spans="1:3" x14ac:dyDescent="0.25">
      <c r="A73" s="2">
        <v>46220</v>
      </c>
      <c r="B73" t="s">
        <v>14</v>
      </c>
      <c r="C73">
        <v>84.6</v>
      </c>
    </row>
    <row r="74" spans="1:3" x14ac:dyDescent="0.25">
      <c r="A74" s="2">
        <v>46219</v>
      </c>
      <c r="B74" t="s">
        <v>14</v>
      </c>
      <c r="C74">
        <v>83.05</v>
      </c>
    </row>
    <row r="75" spans="1:3" x14ac:dyDescent="0.25">
      <c r="A75" s="2">
        <v>46218</v>
      </c>
      <c r="B75" t="s">
        <v>14</v>
      </c>
      <c r="C75">
        <v>82.194999999999993</v>
      </c>
    </row>
    <row r="76" spans="1:3" x14ac:dyDescent="0.25">
      <c r="A76" s="2">
        <v>46217</v>
      </c>
      <c r="B76" t="s">
        <v>14</v>
      </c>
      <c r="C76">
        <v>82.635000000000005</v>
      </c>
    </row>
    <row r="77" spans="1:3" x14ac:dyDescent="0.25">
      <c r="A77" s="2">
        <v>46216</v>
      </c>
      <c r="B77" t="s">
        <v>14</v>
      </c>
      <c r="C77">
        <v>77.42</v>
      </c>
    </row>
    <row r="78" spans="1:3" x14ac:dyDescent="0.25">
      <c r="A78" s="2">
        <v>46213</v>
      </c>
      <c r="B78" t="s">
        <v>14</v>
      </c>
      <c r="C78">
        <v>74.204999999999998</v>
      </c>
    </row>
    <row r="79" spans="1:3" x14ac:dyDescent="0.25">
      <c r="A79" s="2">
        <v>46212</v>
      </c>
      <c r="B79" t="s">
        <v>14</v>
      </c>
      <c r="C79">
        <v>75.424999999999997</v>
      </c>
    </row>
    <row r="80" spans="1:3" x14ac:dyDescent="0.25">
      <c r="A80" s="2">
        <v>46211</v>
      </c>
      <c r="B80" t="s">
        <v>14</v>
      </c>
      <c r="C80">
        <v>78.33</v>
      </c>
    </row>
    <row r="81" spans="1:3" x14ac:dyDescent="0.25">
      <c r="A81" s="2">
        <v>46210</v>
      </c>
      <c r="B81" t="s">
        <v>14</v>
      </c>
      <c r="C81">
        <v>71.864999999999995</v>
      </c>
    </row>
    <row r="82" spans="1:3" x14ac:dyDescent="0.25">
      <c r="A82" s="2">
        <v>46209</v>
      </c>
      <c r="B82" t="s">
        <v>14</v>
      </c>
      <c r="C82">
        <v>69.885000000000005</v>
      </c>
    </row>
    <row r="83" spans="1:3" x14ac:dyDescent="0.25">
      <c r="A83" s="2">
        <v>46206</v>
      </c>
      <c r="B83" t="s">
        <v>14</v>
      </c>
      <c r="C83">
        <v>69.254999999999995</v>
      </c>
    </row>
    <row r="84" spans="1:3" x14ac:dyDescent="0.25">
      <c r="A84" s="2">
        <v>46205</v>
      </c>
      <c r="B84" t="s">
        <v>14</v>
      </c>
      <c r="C84">
        <v>68.099999999999994</v>
      </c>
    </row>
    <row r="85" spans="1:3" x14ac:dyDescent="0.25">
      <c r="A85" s="2">
        <v>46204</v>
      </c>
      <c r="B85" t="s">
        <v>14</v>
      </c>
      <c r="C85">
        <v>68.77</v>
      </c>
    </row>
    <row r="86" spans="1:3" x14ac:dyDescent="0.25">
      <c r="A86" s="2">
        <v>46203</v>
      </c>
      <c r="B86" t="s">
        <v>14</v>
      </c>
      <c r="C86">
        <v>71.52</v>
      </c>
    </row>
    <row r="87" spans="1:3" x14ac:dyDescent="0.25">
      <c r="A87" s="2">
        <v>46202</v>
      </c>
      <c r="B87" t="s">
        <v>14</v>
      </c>
      <c r="C87">
        <v>71.465000000000003</v>
      </c>
    </row>
    <row r="88" spans="1:3" x14ac:dyDescent="0.25">
      <c r="A88" s="2">
        <v>46199</v>
      </c>
      <c r="B88" t="s">
        <v>14</v>
      </c>
      <c r="C88">
        <v>70.665000000000006</v>
      </c>
    </row>
    <row r="89" spans="1:3" x14ac:dyDescent="0.25">
      <c r="A89" s="2">
        <v>46198</v>
      </c>
      <c r="B89" t="s">
        <v>14</v>
      </c>
      <c r="C89">
        <v>73.344999999999999</v>
      </c>
    </row>
    <row r="90" spans="1:3" x14ac:dyDescent="0.25">
      <c r="A90" s="2">
        <v>46197</v>
      </c>
      <c r="B90" t="s">
        <v>14</v>
      </c>
      <c r="C90">
        <v>72.125</v>
      </c>
    </row>
    <row r="91" spans="1:3" x14ac:dyDescent="0.25">
      <c r="A91" s="2">
        <v>46196</v>
      </c>
      <c r="B91" t="s">
        <v>14</v>
      </c>
      <c r="C91">
        <v>75.430000000000007</v>
      </c>
    </row>
    <row r="92" spans="1:3" x14ac:dyDescent="0.25">
      <c r="A92" s="2">
        <v>46195</v>
      </c>
      <c r="B92" t="s">
        <v>14</v>
      </c>
      <c r="C92">
        <v>76.325000000000003</v>
      </c>
    </row>
    <row r="93" spans="1:3" x14ac:dyDescent="0.25">
      <c r="A93" s="2">
        <v>46192</v>
      </c>
      <c r="B93" t="s">
        <v>14</v>
      </c>
      <c r="C93">
        <v>80.34</v>
      </c>
    </row>
    <row r="94" spans="1:3" x14ac:dyDescent="0.25">
      <c r="A94" s="2">
        <v>46191</v>
      </c>
      <c r="B94" t="s">
        <v>14</v>
      </c>
      <c r="C94">
        <v>77.305000000000007</v>
      </c>
    </row>
    <row r="95" spans="1:3" x14ac:dyDescent="0.25">
      <c r="A95" s="2">
        <v>46190</v>
      </c>
      <c r="B95" t="s">
        <v>14</v>
      </c>
      <c r="C95">
        <v>80.38</v>
      </c>
    </row>
    <row r="96" spans="1:3" x14ac:dyDescent="0.25">
      <c r="A96" s="2">
        <v>46189</v>
      </c>
      <c r="B96" t="s">
        <v>14</v>
      </c>
      <c r="C96">
        <v>80.760000000000005</v>
      </c>
    </row>
    <row r="97" spans="1:3" x14ac:dyDescent="0.25">
      <c r="A97" s="2">
        <v>46188</v>
      </c>
      <c r="B97" t="s">
        <v>14</v>
      </c>
      <c r="C97">
        <v>84.575000000000003</v>
      </c>
    </row>
    <row r="98" spans="1:3" x14ac:dyDescent="0.25">
      <c r="A98" s="2">
        <v>46185</v>
      </c>
      <c r="B98" t="s">
        <v>14</v>
      </c>
      <c r="C98">
        <v>88.43</v>
      </c>
    </row>
    <row r="99" spans="1:3" x14ac:dyDescent="0.25">
      <c r="A99" s="2">
        <v>46184</v>
      </c>
      <c r="B99" t="s">
        <v>14</v>
      </c>
      <c r="C99">
        <v>95.194999999999993</v>
      </c>
    </row>
    <row r="100" spans="1:3" x14ac:dyDescent="0.25">
      <c r="A100" s="2">
        <v>46183</v>
      </c>
      <c r="B100" t="s">
        <v>14</v>
      </c>
      <c r="C100">
        <v>94.515000000000001</v>
      </c>
    </row>
    <row r="101" spans="1:3" x14ac:dyDescent="0.25">
      <c r="A101" s="2">
        <v>46182</v>
      </c>
      <c r="B101" t="s">
        <v>14</v>
      </c>
      <c r="C101">
        <v>93.424999999999997</v>
      </c>
    </row>
    <row r="102" spans="1:3" x14ac:dyDescent="0.25">
      <c r="A102" s="2">
        <v>46181</v>
      </c>
      <c r="B102" t="s">
        <v>14</v>
      </c>
      <c r="C102">
        <v>98.314999999999998</v>
      </c>
    </row>
    <row r="103" spans="1:3" x14ac:dyDescent="0.25">
      <c r="A103" s="2">
        <v>46178</v>
      </c>
      <c r="B103" t="s">
        <v>14</v>
      </c>
      <c r="C103">
        <v>97.625</v>
      </c>
    </row>
    <row r="104" spans="1:3" x14ac:dyDescent="0.25">
      <c r="A104" s="2">
        <v>46177</v>
      </c>
      <c r="B104" t="s">
        <v>14</v>
      </c>
      <c r="C104">
        <v>98.545000000000002</v>
      </c>
    </row>
    <row r="105" spans="1:3" x14ac:dyDescent="0.25">
      <c r="A105" s="2">
        <v>46176</v>
      </c>
      <c r="B105" t="s">
        <v>14</v>
      </c>
      <c r="C105">
        <v>100.895</v>
      </c>
    </row>
    <row r="106" spans="1:3" x14ac:dyDescent="0.25">
      <c r="A106" s="2">
        <v>46175</v>
      </c>
      <c r="B106" t="s">
        <v>14</v>
      </c>
      <c r="C106">
        <v>97.284999999999997</v>
      </c>
    </row>
    <row r="107" spans="1:3" x14ac:dyDescent="0.25">
      <c r="A107" s="2">
        <v>46174</v>
      </c>
      <c r="B107" t="s">
        <v>14</v>
      </c>
      <c r="C107">
        <v>99.915000000000006</v>
      </c>
    </row>
    <row r="108" spans="1:3" x14ac:dyDescent="0.25">
      <c r="A108" s="2">
        <v>46171</v>
      </c>
      <c r="B108" t="s">
        <v>14</v>
      </c>
      <c r="C108">
        <v>93.364999999999995</v>
      </c>
    </row>
    <row r="109" spans="1:3" x14ac:dyDescent="0.25">
      <c r="A109" s="2">
        <v>46170</v>
      </c>
      <c r="B109" t="s">
        <v>14</v>
      </c>
      <c r="C109">
        <v>96.84</v>
      </c>
    </row>
    <row r="110" spans="1:3" x14ac:dyDescent="0.25">
      <c r="A110" s="2">
        <v>46169</v>
      </c>
      <c r="B110" t="s">
        <v>14</v>
      </c>
      <c r="C110">
        <v>99.674999999999997</v>
      </c>
    </row>
    <row r="111" spans="1:3" x14ac:dyDescent="0.25">
      <c r="A111" s="2">
        <v>46168</v>
      </c>
      <c r="B111" t="s">
        <v>14</v>
      </c>
      <c r="C111">
        <v>103.73</v>
      </c>
    </row>
    <row r="112" spans="1:3" x14ac:dyDescent="0.25">
      <c r="A112" s="2">
        <v>46164</v>
      </c>
      <c r="B112" t="s">
        <v>14</v>
      </c>
      <c r="C112">
        <v>107.19499999999999</v>
      </c>
    </row>
    <row r="113" spans="1:3" x14ac:dyDescent="0.25">
      <c r="A113" s="2">
        <v>46163</v>
      </c>
      <c r="B113" t="s">
        <v>14</v>
      </c>
      <c r="C113">
        <v>111.605</v>
      </c>
    </row>
    <row r="114" spans="1:3" x14ac:dyDescent="0.25">
      <c r="A114" s="2">
        <v>46162</v>
      </c>
      <c r="B114" t="s">
        <v>14</v>
      </c>
      <c r="C114">
        <v>109.76</v>
      </c>
    </row>
    <row r="115" spans="1:3" x14ac:dyDescent="0.25">
      <c r="A115" s="2">
        <v>46161</v>
      </c>
      <c r="B115" t="s">
        <v>14</v>
      </c>
      <c r="C115">
        <v>114.67</v>
      </c>
    </row>
    <row r="116" spans="1:3" x14ac:dyDescent="0.25">
      <c r="A116" s="2">
        <v>46160</v>
      </c>
      <c r="B116" t="s">
        <v>14</v>
      </c>
      <c r="C116">
        <v>115.12</v>
      </c>
    </row>
    <row r="117" spans="1:3" x14ac:dyDescent="0.25">
      <c r="A117" s="2">
        <v>46157</v>
      </c>
      <c r="B117" t="s">
        <v>14</v>
      </c>
      <c r="C117">
        <v>112.145</v>
      </c>
    </row>
    <row r="118" spans="1:3" x14ac:dyDescent="0.25">
      <c r="A118" s="2">
        <v>46156</v>
      </c>
      <c r="B118" t="s">
        <v>14</v>
      </c>
      <c r="C118">
        <v>109.55500000000001</v>
      </c>
    </row>
    <row r="119" spans="1:3" x14ac:dyDescent="0.25">
      <c r="A119" s="2">
        <v>46155</v>
      </c>
      <c r="B119" t="s">
        <v>14</v>
      </c>
      <c r="C119">
        <v>110.78</v>
      </c>
    </row>
    <row r="120" spans="1:3" x14ac:dyDescent="0.25">
      <c r="A120" s="2">
        <v>46154</v>
      </c>
      <c r="B120" t="s">
        <v>14</v>
      </c>
      <c r="C120">
        <v>111.13</v>
      </c>
    </row>
    <row r="121" spans="1:3" x14ac:dyDescent="0.25">
      <c r="A121" s="2">
        <v>46153</v>
      </c>
      <c r="B121" t="s">
        <v>14</v>
      </c>
      <c r="C121">
        <v>105.62</v>
      </c>
    </row>
    <row r="122" spans="1:3" x14ac:dyDescent="0.25">
      <c r="A122" s="2">
        <v>46150</v>
      </c>
      <c r="B122" t="s">
        <v>14</v>
      </c>
      <c r="C122">
        <v>104.94</v>
      </c>
    </row>
    <row r="123" spans="1:3" x14ac:dyDescent="0.25">
      <c r="A123" s="2">
        <v>46149</v>
      </c>
      <c r="B123" t="s">
        <v>14</v>
      </c>
      <c r="C123">
        <v>100.47</v>
      </c>
    </row>
    <row r="124" spans="1:3" x14ac:dyDescent="0.25">
      <c r="A124" s="2">
        <v>46148</v>
      </c>
      <c r="B124" t="s">
        <v>14</v>
      </c>
      <c r="C124">
        <v>104.075</v>
      </c>
    </row>
    <row r="125" spans="1:3" x14ac:dyDescent="0.25">
      <c r="A125" s="2">
        <v>46147</v>
      </c>
      <c r="B125" t="s">
        <v>14</v>
      </c>
      <c r="C125">
        <v>115.14</v>
      </c>
    </row>
    <row r="126" spans="1:3" x14ac:dyDescent="0.25">
      <c r="A126" s="2">
        <v>46143</v>
      </c>
      <c r="B126" t="s">
        <v>14</v>
      </c>
      <c r="C126">
        <v>117.355</v>
      </c>
    </row>
    <row r="127" spans="1:3" x14ac:dyDescent="0.25">
      <c r="A127" s="2">
        <v>46142</v>
      </c>
      <c r="B127" t="s">
        <v>14</v>
      </c>
      <c r="C127">
        <v>122.58499999999999</v>
      </c>
    </row>
    <row r="128" spans="1:3" x14ac:dyDescent="0.25">
      <c r="A128" s="2">
        <v>46141</v>
      </c>
      <c r="B128" t="s">
        <v>14</v>
      </c>
      <c r="C128">
        <v>123.37</v>
      </c>
    </row>
    <row r="129" spans="1:3" x14ac:dyDescent="0.25">
      <c r="A129" s="2">
        <v>46140</v>
      </c>
      <c r="B129" t="s">
        <v>14</v>
      </c>
      <c r="C129">
        <v>115.87</v>
      </c>
    </row>
    <row r="130" spans="1:3" x14ac:dyDescent="0.25">
      <c r="A130" s="2">
        <v>46139</v>
      </c>
      <c r="B130" t="s">
        <v>14</v>
      </c>
      <c r="C130">
        <v>113.33499999999999</v>
      </c>
    </row>
    <row r="131" spans="1:3" x14ac:dyDescent="0.25">
      <c r="A131" s="2">
        <v>46136</v>
      </c>
      <c r="B131" t="s">
        <v>14</v>
      </c>
      <c r="C131">
        <v>112.91500000000001</v>
      </c>
    </row>
    <row r="132" spans="1:3" x14ac:dyDescent="0.25">
      <c r="A132" s="2">
        <v>46135</v>
      </c>
      <c r="B132" t="s">
        <v>14</v>
      </c>
      <c r="C132">
        <v>111.33</v>
      </c>
    </row>
    <row r="133" spans="1:3" x14ac:dyDescent="0.25">
      <c r="A133" s="2">
        <v>46134</v>
      </c>
      <c r="B133" t="s">
        <v>14</v>
      </c>
      <c r="C133">
        <v>111.77500000000001</v>
      </c>
    </row>
    <row r="134" spans="1:3" x14ac:dyDescent="0.25">
      <c r="A134" s="2">
        <v>46133</v>
      </c>
      <c r="B134" t="s">
        <v>14</v>
      </c>
      <c r="C134">
        <v>107.66</v>
      </c>
    </row>
    <row r="135" spans="1:3" x14ac:dyDescent="0.25">
      <c r="A135" s="2">
        <v>46132</v>
      </c>
      <c r="B135" t="s">
        <v>14</v>
      </c>
      <c r="C135">
        <v>106.02</v>
      </c>
    </row>
    <row r="136" spans="1:3" x14ac:dyDescent="0.25">
      <c r="A136" s="2">
        <v>46129</v>
      </c>
      <c r="B136" t="s">
        <v>14</v>
      </c>
      <c r="C136">
        <v>98.944999999999993</v>
      </c>
    </row>
    <row r="137" spans="1:3" x14ac:dyDescent="0.25">
      <c r="A137" s="2">
        <v>46128</v>
      </c>
      <c r="B137" t="s">
        <v>14</v>
      </c>
      <c r="C137">
        <v>116.45</v>
      </c>
    </row>
    <row r="138" spans="1:3" x14ac:dyDescent="0.25">
      <c r="A138" s="2">
        <v>46127</v>
      </c>
      <c r="B138" t="s">
        <v>14</v>
      </c>
      <c r="C138">
        <v>116.735</v>
      </c>
    </row>
    <row r="139" spans="1:3" x14ac:dyDescent="0.25">
      <c r="A139" s="2">
        <v>46126</v>
      </c>
      <c r="B139" t="s">
        <v>14</v>
      </c>
      <c r="C139">
        <v>124.63500000000001</v>
      </c>
    </row>
    <row r="140" spans="1:3" x14ac:dyDescent="0.25">
      <c r="A140" s="2">
        <v>46125</v>
      </c>
      <c r="B140" t="s">
        <v>14</v>
      </c>
      <c r="C140">
        <v>132.45500000000001</v>
      </c>
    </row>
    <row r="141" spans="1:3" x14ac:dyDescent="0.25">
      <c r="A141" s="2">
        <v>46122</v>
      </c>
      <c r="B141" t="s">
        <v>14</v>
      </c>
      <c r="C141">
        <v>125.88</v>
      </c>
    </row>
    <row r="142" spans="1:3" x14ac:dyDescent="0.25">
      <c r="A142" s="2">
        <v>46121</v>
      </c>
      <c r="B142" t="s">
        <v>14</v>
      </c>
      <c r="C142">
        <v>131.785</v>
      </c>
    </row>
    <row r="143" spans="1:3" x14ac:dyDescent="0.25">
      <c r="A143" s="2">
        <v>46120</v>
      </c>
      <c r="B143" t="s">
        <v>14</v>
      </c>
      <c r="C143">
        <v>124.53</v>
      </c>
    </row>
    <row r="144" spans="1:3" x14ac:dyDescent="0.25">
      <c r="A144" s="2">
        <v>46119</v>
      </c>
      <c r="B144" t="s">
        <v>14</v>
      </c>
      <c r="C144">
        <v>144.46</v>
      </c>
    </row>
    <row r="145" spans="1:3" x14ac:dyDescent="0.25">
      <c r="A145" s="2">
        <v>46114</v>
      </c>
      <c r="B145" t="s">
        <v>14</v>
      </c>
      <c r="C145">
        <v>141.26</v>
      </c>
    </row>
    <row r="146" spans="1:3" x14ac:dyDescent="0.25">
      <c r="A146" s="2">
        <v>46113</v>
      </c>
      <c r="B146" t="s">
        <v>14</v>
      </c>
      <c r="C146">
        <v>126.46</v>
      </c>
    </row>
    <row r="147" spans="1:3" x14ac:dyDescent="0.25">
      <c r="A147" s="2">
        <v>46112</v>
      </c>
      <c r="B147" t="s">
        <v>14</v>
      </c>
      <c r="C147">
        <v>126.965</v>
      </c>
    </row>
    <row r="148" spans="1:3" x14ac:dyDescent="0.25">
      <c r="A148" s="2">
        <v>46111</v>
      </c>
      <c r="B148" t="s">
        <v>14</v>
      </c>
      <c r="C148">
        <v>122.98</v>
      </c>
    </row>
    <row r="149" spans="1:3" x14ac:dyDescent="0.25">
      <c r="A149" s="2">
        <v>46108</v>
      </c>
      <c r="B149" t="s">
        <v>14</v>
      </c>
      <c r="C149">
        <v>120.31</v>
      </c>
    </row>
    <row r="150" spans="1:3" x14ac:dyDescent="0.25">
      <c r="A150" s="2">
        <v>46107</v>
      </c>
      <c r="B150" t="s">
        <v>14</v>
      </c>
      <c r="C150">
        <v>117.38</v>
      </c>
    </row>
    <row r="151" spans="1:3" x14ac:dyDescent="0.25">
      <c r="A151" s="2">
        <v>46106</v>
      </c>
      <c r="B151" t="s">
        <v>14</v>
      </c>
      <c r="C151">
        <v>109.395</v>
      </c>
    </row>
    <row r="152" spans="1:3" x14ac:dyDescent="0.25">
      <c r="A152" s="2">
        <v>46105</v>
      </c>
      <c r="B152" t="s">
        <v>14</v>
      </c>
      <c r="C152">
        <v>110.41500000000001</v>
      </c>
    </row>
    <row r="153" spans="1:3" x14ac:dyDescent="0.25">
      <c r="A153" s="2">
        <v>46104</v>
      </c>
      <c r="B153" t="s">
        <v>14</v>
      </c>
      <c r="C153">
        <v>109.88500000000001</v>
      </c>
    </row>
    <row r="154" spans="1:3" x14ac:dyDescent="0.25">
      <c r="A154" s="2">
        <v>46101</v>
      </c>
      <c r="B154" t="s">
        <v>14</v>
      </c>
      <c r="C154">
        <v>116.24</v>
      </c>
    </row>
    <row r="155" spans="1:3" x14ac:dyDescent="0.25">
      <c r="A155" s="2">
        <v>46100</v>
      </c>
      <c r="B155" t="s">
        <v>14</v>
      </c>
      <c r="C155">
        <v>116.41</v>
      </c>
    </row>
    <row r="156" spans="1:3" x14ac:dyDescent="0.25">
      <c r="A156" s="2">
        <v>46099</v>
      </c>
      <c r="B156" t="s">
        <v>14</v>
      </c>
      <c r="C156">
        <v>112.285</v>
      </c>
    </row>
    <row r="157" spans="1:3" x14ac:dyDescent="0.25">
      <c r="A157" s="2">
        <v>46098</v>
      </c>
      <c r="B157" t="s">
        <v>14</v>
      </c>
      <c r="C157">
        <v>103.04</v>
      </c>
    </row>
    <row r="158" spans="1:3" x14ac:dyDescent="0.25">
      <c r="A158" s="2">
        <v>46097</v>
      </c>
      <c r="B158" t="s">
        <v>14</v>
      </c>
      <c r="C158">
        <v>103.705</v>
      </c>
    </row>
    <row r="159" spans="1:3" x14ac:dyDescent="0.25">
      <c r="A159" s="2">
        <v>46094</v>
      </c>
      <c r="B159" t="s">
        <v>14</v>
      </c>
      <c r="C159">
        <v>103.565</v>
      </c>
    </row>
    <row r="160" spans="1:3" x14ac:dyDescent="0.25">
      <c r="A160" s="2">
        <v>46093</v>
      </c>
      <c r="B160" t="s">
        <v>14</v>
      </c>
      <c r="C160">
        <v>100.26</v>
      </c>
    </row>
    <row r="161" spans="1:3" x14ac:dyDescent="0.25">
      <c r="A161" s="2">
        <v>46092</v>
      </c>
      <c r="B161" t="s">
        <v>14</v>
      </c>
      <c r="C161">
        <v>91.47</v>
      </c>
    </row>
    <row r="162" spans="1:3" x14ac:dyDescent="0.25">
      <c r="A162" s="2">
        <v>46091</v>
      </c>
      <c r="B162" t="s">
        <v>14</v>
      </c>
      <c r="C162">
        <v>88.334999999999994</v>
      </c>
    </row>
    <row r="163" spans="1:3" x14ac:dyDescent="0.25">
      <c r="A163" s="2">
        <v>46090</v>
      </c>
      <c r="B163" t="s">
        <v>14</v>
      </c>
      <c r="C163">
        <v>102.93</v>
      </c>
    </row>
    <row r="164" spans="1:3" x14ac:dyDescent="0.25">
      <c r="A164" s="2">
        <v>46087</v>
      </c>
      <c r="B164" t="s">
        <v>14</v>
      </c>
      <c r="C164">
        <v>94.305000000000007</v>
      </c>
    </row>
    <row r="165" spans="1:3" x14ac:dyDescent="0.25">
      <c r="A165" s="2">
        <v>46086</v>
      </c>
      <c r="B165" t="s">
        <v>14</v>
      </c>
      <c r="C165">
        <v>87.915000000000006</v>
      </c>
    </row>
    <row r="166" spans="1:3" x14ac:dyDescent="0.25">
      <c r="A166" s="2">
        <v>46085</v>
      </c>
      <c r="B166" t="s">
        <v>14</v>
      </c>
      <c r="C166">
        <v>81.03</v>
      </c>
    </row>
    <row r="167" spans="1:3" x14ac:dyDescent="0.25">
      <c r="A167" s="2">
        <v>46084</v>
      </c>
      <c r="B167" t="s">
        <v>14</v>
      </c>
      <c r="C167">
        <v>84.625</v>
      </c>
    </row>
    <row r="168" spans="1:3" x14ac:dyDescent="0.25">
      <c r="A168" s="2">
        <v>46083</v>
      </c>
      <c r="B168" t="s">
        <v>14</v>
      </c>
      <c r="C168">
        <v>77.709999999999994</v>
      </c>
    </row>
    <row r="169" spans="1:3" x14ac:dyDescent="0.25">
      <c r="A169" s="2">
        <v>46080</v>
      </c>
      <c r="B169" t="s">
        <v>14</v>
      </c>
      <c r="C169">
        <v>70.83</v>
      </c>
    </row>
    <row r="170" spans="1:3" x14ac:dyDescent="0.25">
      <c r="A170" s="2">
        <v>46079</v>
      </c>
      <c r="B170" t="s">
        <v>14</v>
      </c>
      <c r="C170">
        <v>72.055000000000007</v>
      </c>
    </row>
    <row r="171" spans="1:3" x14ac:dyDescent="0.25">
      <c r="A171" s="2">
        <v>46078</v>
      </c>
      <c r="B171" t="s">
        <v>14</v>
      </c>
      <c r="C171">
        <v>70.795000000000002</v>
      </c>
    </row>
    <row r="172" spans="1:3" x14ac:dyDescent="0.25">
      <c r="A172" s="2">
        <v>46077</v>
      </c>
      <c r="B172" t="s">
        <v>14</v>
      </c>
      <c r="C172">
        <v>71.349999999999994</v>
      </c>
    </row>
    <row r="173" spans="1:3" x14ac:dyDescent="0.25">
      <c r="A173" s="2">
        <v>46076</v>
      </c>
      <c r="B173" t="s">
        <v>14</v>
      </c>
      <c r="C173">
        <v>73.02</v>
      </c>
    </row>
    <row r="174" spans="1:3" x14ac:dyDescent="0.25">
      <c r="A174" s="2">
        <v>46073</v>
      </c>
      <c r="B174" t="s">
        <v>14</v>
      </c>
      <c r="C174">
        <v>72.27</v>
      </c>
    </row>
    <row r="175" spans="1:3" x14ac:dyDescent="0.25">
      <c r="A175" s="2">
        <v>46072</v>
      </c>
      <c r="B175" t="s">
        <v>14</v>
      </c>
      <c r="C175">
        <v>72.83</v>
      </c>
    </row>
    <row r="176" spans="1:3" x14ac:dyDescent="0.25">
      <c r="A176" s="2">
        <v>46071</v>
      </c>
      <c r="B176" t="s">
        <v>14</v>
      </c>
      <c r="C176">
        <v>71.284999999999997</v>
      </c>
    </row>
    <row r="177" spans="1:3" x14ac:dyDescent="0.25">
      <c r="A177" s="2">
        <v>46070</v>
      </c>
      <c r="B177" t="s">
        <v>14</v>
      </c>
      <c r="C177">
        <v>69.69</v>
      </c>
    </row>
    <row r="178" spans="1:3" x14ac:dyDescent="0.25">
      <c r="A178" s="2">
        <v>46069</v>
      </c>
      <c r="B178" t="s">
        <v>14</v>
      </c>
      <c r="C178">
        <v>71.275000000000006</v>
      </c>
    </row>
    <row r="179" spans="1:3" x14ac:dyDescent="0.25">
      <c r="A179" s="2">
        <v>46066</v>
      </c>
      <c r="B179" t="s">
        <v>14</v>
      </c>
      <c r="C179">
        <v>70.114999999999995</v>
      </c>
    </row>
    <row r="180" spans="1:3" x14ac:dyDescent="0.25">
      <c r="A180" s="2">
        <v>46065</v>
      </c>
      <c r="B180" t="s">
        <v>14</v>
      </c>
      <c r="C180">
        <v>70.83</v>
      </c>
    </row>
    <row r="181" spans="1:3" x14ac:dyDescent="0.25">
      <c r="A181" s="2">
        <v>46064</v>
      </c>
      <c r="B181" t="s">
        <v>14</v>
      </c>
      <c r="C181">
        <v>73.099999999999994</v>
      </c>
    </row>
    <row r="182" spans="1:3" x14ac:dyDescent="0.25">
      <c r="A182" s="2">
        <v>46063</v>
      </c>
      <c r="B182" t="s">
        <v>14</v>
      </c>
      <c r="C182">
        <v>71.989999999999995</v>
      </c>
    </row>
    <row r="183" spans="1:3" x14ac:dyDescent="0.25">
      <c r="A183" s="2">
        <v>46062</v>
      </c>
      <c r="B183" t="s">
        <v>14</v>
      </c>
      <c r="C183">
        <v>71.98</v>
      </c>
    </row>
    <row r="184" spans="1:3" x14ac:dyDescent="0.25">
      <c r="A184" s="2">
        <v>46059</v>
      </c>
      <c r="B184" t="s">
        <v>14</v>
      </c>
      <c r="C184">
        <v>71.064999999999998</v>
      </c>
    </row>
    <row r="185" spans="1:3" x14ac:dyDescent="0.25">
      <c r="A185" s="2">
        <v>46058</v>
      </c>
      <c r="B185" t="s">
        <v>14</v>
      </c>
      <c r="C185">
        <v>69.674999999999997</v>
      </c>
    </row>
    <row r="186" spans="1:3" x14ac:dyDescent="0.25">
      <c r="A186" s="2">
        <v>46057</v>
      </c>
      <c r="B186" t="s">
        <v>14</v>
      </c>
      <c r="C186">
        <v>69.84</v>
      </c>
    </row>
    <row r="187" spans="1:3" x14ac:dyDescent="0.25">
      <c r="A187" s="2">
        <v>46056</v>
      </c>
      <c r="B187" t="s">
        <v>14</v>
      </c>
      <c r="C187">
        <v>69.655000000000001</v>
      </c>
    </row>
    <row r="188" spans="1:3" x14ac:dyDescent="0.25">
      <c r="A188" s="2">
        <v>46055</v>
      </c>
      <c r="B188" t="s">
        <v>14</v>
      </c>
      <c r="C188">
        <v>68.63</v>
      </c>
    </row>
    <row r="189" spans="1:3" x14ac:dyDescent="0.25">
      <c r="A189" s="2">
        <v>46052</v>
      </c>
      <c r="B189" t="s">
        <v>14</v>
      </c>
      <c r="C189">
        <v>72.72</v>
      </c>
    </row>
    <row r="190" spans="1:3" x14ac:dyDescent="0.25">
      <c r="A190" s="2">
        <v>46051</v>
      </c>
      <c r="B190" t="s">
        <v>14</v>
      </c>
      <c r="C190">
        <v>72.325000000000003</v>
      </c>
    </row>
    <row r="191" spans="1:3" x14ac:dyDescent="0.25">
      <c r="A191" s="2">
        <v>46050</v>
      </c>
      <c r="B191" t="s">
        <v>14</v>
      </c>
      <c r="C191">
        <v>70.015000000000001</v>
      </c>
    </row>
    <row r="192" spans="1:3" x14ac:dyDescent="0.25">
      <c r="A192" s="2">
        <v>46049</v>
      </c>
      <c r="B192" t="s">
        <v>14</v>
      </c>
      <c r="C192">
        <v>69.155000000000001</v>
      </c>
    </row>
    <row r="193" spans="1:3" x14ac:dyDescent="0.25">
      <c r="A193" s="2">
        <v>46048</v>
      </c>
      <c r="B193" t="s">
        <v>14</v>
      </c>
      <c r="C193">
        <v>67.655000000000001</v>
      </c>
    </row>
    <row r="194" spans="1:3" x14ac:dyDescent="0.25">
      <c r="A194" s="2">
        <v>46045</v>
      </c>
      <c r="B194" t="s">
        <v>14</v>
      </c>
      <c r="C194">
        <v>68.08</v>
      </c>
    </row>
    <row r="195" spans="1:3" x14ac:dyDescent="0.25">
      <c r="A195" s="2">
        <v>46044</v>
      </c>
      <c r="B195" t="s">
        <v>14</v>
      </c>
      <c r="C195">
        <v>66.234999999999999</v>
      </c>
    </row>
    <row r="196" spans="1:3" x14ac:dyDescent="0.25">
      <c r="A196" s="2">
        <v>46043</v>
      </c>
      <c r="B196" t="s">
        <v>14</v>
      </c>
      <c r="C196">
        <v>67.655000000000001</v>
      </c>
    </row>
    <row r="197" spans="1:3" x14ac:dyDescent="0.25">
      <c r="A197" s="2">
        <v>46042</v>
      </c>
      <c r="B197" t="s">
        <v>14</v>
      </c>
      <c r="C197">
        <v>68</v>
      </c>
    </row>
    <row r="198" spans="1:3" x14ac:dyDescent="0.25">
      <c r="A198" s="2">
        <v>46041</v>
      </c>
      <c r="B198" t="s">
        <v>14</v>
      </c>
      <c r="C198">
        <v>67.150000000000006</v>
      </c>
    </row>
    <row r="199" spans="1:3" x14ac:dyDescent="0.25">
      <c r="A199" s="2">
        <v>46038</v>
      </c>
      <c r="B199" t="s">
        <v>14</v>
      </c>
      <c r="C199">
        <v>67.61</v>
      </c>
    </row>
    <row r="200" spans="1:3" x14ac:dyDescent="0.25">
      <c r="A200" s="2">
        <v>46037</v>
      </c>
      <c r="B200" t="s">
        <v>14</v>
      </c>
      <c r="C200">
        <v>66.260000000000005</v>
      </c>
    </row>
    <row r="201" spans="1:3" x14ac:dyDescent="0.25">
      <c r="A201" s="2">
        <v>46036</v>
      </c>
      <c r="B201" t="s">
        <v>14</v>
      </c>
      <c r="C201">
        <v>68.674999999999997</v>
      </c>
    </row>
    <row r="202" spans="1:3" x14ac:dyDescent="0.25">
      <c r="A202" s="2">
        <v>46035</v>
      </c>
      <c r="B202" t="s">
        <v>14</v>
      </c>
      <c r="C202">
        <v>68.385000000000005</v>
      </c>
    </row>
    <row r="203" spans="1:3" x14ac:dyDescent="0.25">
      <c r="A203" s="2">
        <v>46034</v>
      </c>
      <c r="B203" t="s">
        <v>14</v>
      </c>
      <c r="C203">
        <v>65.564999999999998</v>
      </c>
    </row>
    <row r="204" spans="1:3" x14ac:dyDescent="0.25">
      <c r="A204" s="2">
        <v>46031</v>
      </c>
      <c r="B204" t="s">
        <v>14</v>
      </c>
      <c r="C204">
        <v>65.314999999999998</v>
      </c>
    </row>
    <row r="205" spans="1:3" x14ac:dyDescent="0.25">
      <c r="A205" s="2">
        <v>46030</v>
      </c>
      <c r="B205" t="s">
        <v>14</v>
      </c>
      <c r="C205">
        <v>62.884999999999998</v>
      </c>
    </row>
    <row r="206" spans="1:3" x14ac:dyDescent="0.25">
      <c r="A206" s="2">
        <v>46029</v>
      </c>
      <c r="B206" t="s">
        <v>14</v>
      </c>
      <c r="C206">
        <v>61.82</v>
      </c>
    </row>
    <row r="207" spans="1:3" x14ac:dyDescent="0.25">
      <c r="A207" s="2">
        <v>46028</v>
      </c>
      <c r="B207" t="s">
        <v>14</v>
      </c>
      <c r="C207">
        <v>62.9</v>
      </c>
    </row>
    <row r="208" spans="1:3" x14ac:dyDescent="0.25">
      <c r="A208" s="2">
        <v>46027</v>
      </c>
      <c r="B208" t="s">
        <v>14</v>
      </c>
      <c r="C208">
        <v>62.84</v>
      </c>
    </row>
    <row r="209" spans="1:3" x14ac:dyDescent="0.25">
      <c r="A209" s="2">
        <v>46024</v>
      </c>
      <c r="B209" t="s">
        <v>14</v>
      </c>
      <c r="C209">
        <v>60.844999999999999</v>
      </c>
    </row>
    <row r="210" spans="1:3" x14ac:dyDescent="0.25">
      <c r="A210" s="2">
        <v>46022</v>
      </c>
      <c r="B210" t="s">
        <v>14</v>
      </c>
      <c r="C210">
        <v>62.445</v>
      </c>
    </row>
    <row r="211" spans="1:3" x14ac:dyDescent="0.25">
      <c r="A211" s="2">
        <v>46021</v>
      </c>
      <c r="B211" t="s">
        <v>14</v>
      </c>
      <c r="C211">
        <v>62.42</v>
      </c>
    </row>
    <row r="212" spans="1:3" x14ac:dyDescent="0.25">
      <c r="A212" s="2">
        <v>46020</v>
      </c>
      <c r="B212" t="s">
        <v>14</v>
      </c>
      <c r="C212">
        <v>62.445</v>
      </c>
    </row>
    <row r="213" spans="1:3" x14ac:dyDescent="0.25">
      <c r="A213" s="2">
        <v>46015</v>
      </c>
      <c r="B213" t="s">
        <v>14</v>
      </c>
      <c r="C213">
        <v>63.48</v>
      </c>
    </row>
    <row r="214" spans="1:3" x14ac:dyDescent="0.25">
      <c r="A214" s="2">
        <v>46014</v>
      </c>
      <c r="B214" t="s">
        <v>14</v>
      </c>
      <c r="C214">
        <v>63.55</v>
      </c>
    </row>
    <row r="215" spans="1:3" x14ac:dyDescent="0.25">
      <c r="A215" s="2">
        <v>46013</v>
      </c>
      <c r="B215" t="s">
        <v>14</v>
      </c>
      <c r="C215">
        <v>62.814999999999998</v>
      </c>
    </row>
    <row r="216" spans="1:3" x14ac:dyDescent="0.25">
      <c r="A216" s="2">
        <v>46010</v>
      </c>
      <c r="B216" t="s">
        <v>14</v>
      </c>
      <c r="C216">
        <v>61.494999999999997</v>
      </c>
    </row>
    <row r="217" spans="1:3" x14ac:dyDescent="0.25">
      <c r="A217" s="2">
        <v>46009</v>
      </c>
      <c r="B217" t="s">
        <v>14</v>
      </c>
      <c r="C217">
        <v>61.35</v>
      </c>
    </row>
    <row r="218" spans="1:3" x14ac:dyDescent="0.25">
      <c r="A218" s="2">
        <v>46008</v>
      </c>
      <c r="B218" t="s">
        <v>14</v>
      </c>
      <c r="C218">
        <v>61.28</v>
      </c>
    </row>
    <row r="219" spans="1:3" x14ac:dyDescent="0.25">
      <c r="A219" s="2">
        <v>46007</v>
      </c>
      <c r="B219" t="s">
        <v>14</v>
      </c>
      <c r="C219">
        <v>60.09</v>
      </c>
    </row>
    <row r="220" spans="1:3" x14ac:dyDescent="0.25">
      <c r="A220" s="2">
        <v>46006</v>
      </c>
      <c r="B220" t="s">
        <v>14</v>
      </c>
      <c r="C220">
        <v>61.354999999999997</v>
      </c>
    </row>
    <row r="221" spans="1:3" x14ac:dyDescent="0.25">
      <c r="A221" s="2">
        <v>46003</v>
      </c>
      <c r="B221" t="s">
        <v>14</v>
      </c>
      <c r="C221">
        <v>61.95</v>
      </c>
    </row>
    <row r="222" spans="1:3" x14ac:dyDescent="0.25">
      <c r="A222" s="2">
        <v>46002</v>
      </c>
      <c r="B222" t="s">
        <v>14</v>
      </c>
      <c r="C222">
        <v>61.865000000000002</v>
      </c>
    </row>
    <row r="223" spans="1:3" x14ac:dyDescent="0.25">
      <c r="A223" s="2">
        <v>46001</v>
      </c>
      <c r="B223" t="s">
        <v>14</v>
      </c>
      <c r="C223">
        <v>62.454999999999998</v>
      </c>
    </row>
    <row r="224" spans="1:3" x14ac:dyDescent="0.25">
      <c r="A224" s="2">
        <v>46000</v>
      </c>
      <c r="B224" t="s">
        <v>14</v>
      </c>
      <c r="C224">
        <v>62.8</v>
      </c>
    </row>
    <row r="225" spans="1:3" x14ac:dyDescent="0.25">
      <c r="A225" s="2">
        <v>45999</v>
      </c>
      <c r="B225" t="s">
        <v>14</v>
      </c>
      <c r="C225">
        <v>63.674999999999997</v>
      </c>
    </row>
    <row r="226" spans="1:3" x14ac:dyDescent="0.25">
      <c r="A226" s="2">
        <v>45996</v>
      </c>
      <c r="B226" t="s">
        <v>14</v>
      </c>
      <c r="C226">
        <v>64.63</v>
      </c>
    </row>
    <row r="227" spans="1:3" x14ac:dyDescent="0.25">
      <c r="A227" s="2">
        <v>45995</v>
      </c>
      <c r="B227" t="s">
        <v>14</v>
      </c>
      <c r="C227">
        <v>64.295000000000002</v>
      </c>
    </row>
    <row r="228" spans="1:3" x14ac:dyDescent="0.25">
      <c r="A228" s="2">
        <v>45994</v>
      </c>
      <c r="B228" t="s">
        <v>14</v>
      </c>
      <c r="C228">
        <v>64.42</v>
      </c>
    </row>
    <row r="229" spans="1:3" x14ac:dyDescent="0.25">
      <c r="A229" s="2">
        <v>45993</v>
      </c>
      <c r="B229" t="s">
        <v>14</v>
      </c>
      <c r="C229">
        <v>64.14</v>
      </c>
    </row>
    <row r="230" spans="1:3" x14ac:dyDescent="0.25">
      <c r="A230" s="2">
        <v>45992</v>
      </c>
      <c r="B230" t="s">
        <v>14</v>
      </c>
      <c r="C230">
        <v>64.174999999999997</v>
      </c>
    </row>
    <row r="231" spans="1:3" x14ac:dyDescent="0.25">
      <c r="A231" s="2">
        <v>45989</v>
      </c>
      <c r="B231" t="s">
        <v>14</v>
      </c>
      <c r="C231">
        <v>64.349999999999994</v>
      </c>
    </row>
    <row r="232" spans="1:3" x14ac:dyDescent="0.25">
      <c r="A232" s="2">
        <v>45988</v>
      </c>
      <c r="B232" t="s">
        <v>14</v>
      </c>
      <c r="C232">
        <v>64.23</v>
      </c>
    </row>
    <row r="233" spans="1:3" x14ac:dyDescent="0.25">
      <c r="A233" s="2">
        <v>45987</v>
      </c>
      <c r="B233" t="s">
        <v>14</v>
      </c>
      <c r="C233">
        <v>63.42</v>
      </c>
    </row>
    <row r="234" spans="1:3" x14ac:dyDescent="0.25">
      <c r="A234" s="2">
        <v>45986</v>
      </c>
      <c r="B234" t="s">
        <v>14</v>
      </c>
      <c r="C234">
        <v>62.89</v>
      </c>
    </row>
    <row r="235" spans="1:3" x14ac:dyDescent="0.25">
      <c r="A235" s="2">
        <v>45985</v>
      </c>
      <c r="B235" t="s">
        <v>14</v>
      </c>
      <c r="C235">
        <v>63.36</v>
      </c>
    </row>
    <row r="236" spans="1:3" x14ac:dyDescent="0.25">
      <c r="A236" s="2">
        <v>45982</v>
      </c>
      <c r="B236" t="s">
        <v>14</v>
      </c>
      <c r="C236">
        <v>62.335000000000001</v>
      </c>
    </row>
    <row r="237" spans="1:3" x14ac:dyDescent="0.25">
      <c r="A237" s="2">
        <v>45981</v>
      </c>
      <c r="B237" t="s">
        <v>14</v>
      </c>
      <c r="C237">
        <v>63.53</v>
      </c>
    </row>
    <row r="238" spans="1:3" x14ac:dyDescent="0.25">
      <c r="A238" s="2">
        <v>45980</v>
      </c>
      <c r="B238" t="s">
        <v>14</v>
      </c>
      <c r="C238">
        <v>63.204999999999998</v>
      </c>
    </row>
    <row r="239" spans="1:3" x14ac:dyDescent="0.25">
      <c r="A239" s="2">
        <v>45979</v>
      </c>
      <c r="B239" t="s">
        <v>14</v>
      </c>
      <c r="C239">
        <v>63.515000000000001</v>
      </c>
    </row>
    <row r="240" spans="1:3" x14ac:dyDescent="0.25">
      <c r="A240" s="2">
        <v>45978</v>
      </c>
      <c r="B240" t="s">
        <v>14</v>
      </c>
      <c r="C240">
        <v>63.67</v>
      </c>
    </row>
    <row r="241" spans="1:3" x14ac:dyDescent="0.25">
      <c r="A241" s="2">
        <v>45975</v>
      </c>
      <c r="B241" t="s">
        <v>14</v>
      </c>
      <c r="C241">
        <v>63.74</v>
      </c>
    </row>
    <row r="242" spans="1:3" x14ac:dyDescent="0.25">
      <c r="A242" s="2">
        <v>45974</v>
      </c>
      <c r="B242" t="s">
        <v>14</v>
      </c>
      <c r="C242">
        <v>62.24</v>
      </c>
    </row>
    <row r="243" spans="1:3" x14ac:dyDescent="0.25">
      <c r="A243" s="2">
        <v>45973</v>
      </c>
      <c r="B243" t="s">
        <v>14</v>
      </c>
      <c r="C243">
        <v>61.994999999999997</v>
      </c>
    </row>
    <row r="244" spans="1:3" x14ac:dyDescent="0.25">
      <c r="A244" s="2">
        <v>45972</v>
      </c>
      <c r="B244" t="s">
        <v>14</v>
      </c>
      <c r="C244">
        <v>64.234999999999999</v>
      </c>
    </row>
    <row r="245" spans="1:3" x14ac:dyDescent="0.25">
      <c r="A245" s="2">
        <v>45971</v>
      </c>
      <c r="B245" t="s">
        <v>14</v>
      </c>
      <c r="C245">
        <v>62.414999999999999</v>
      </c>
    </row>
    <row r="246" spans="1:3" x14ac:dyDescent="0.25">
      <c r="A246" s="2">
        <v>45968</v>
      </c>
      <c r="B246" t="s">
        <v>14</v>
      </c>
      <c r="C246">
        <v>63.784999999999997</v>
      </c>
    </row>
    <row r="247" spans="1:3" x14ac:dyDescent="0.25">
      <c r="A247" s="2">
        <v>45967</v>
      </c>
      <c r="B247" t="s">
        <v>14</v>
      </c>
      <c r="C247">
        <v>63.655000000000001</v>
      </c>
    </row>
    <row r="248" spans="1:3" x14ac:dyDescent="0.25">
      <c r="A248" s="2">
        <v>45966</v>
      </c>
      <c r="B248" t="s">
        <v>14</v>
      </c>
      <c r="C248">
        <v>64.564999999999998</v>
      </c>
    </row>
    <row r="249" spans="1:3" x14ac:dyDescent="0.25">
      <c r="A249" s="2">
        <v>45965</v>
      </c>
      <c r="B249" t="s">
        <v>14</v>
      </c>
      <c r="C249">
        <v>65.2</v>
      </c>
    </row>
    <row r="250" spans="1:3" x14ac:dyDescent="0.25">
      <c r="A250" s="2">
        <v>45964</v>
      </c>
      <c r="B250" t="s">
        <v>14</v>
      </c>
      <c r="C250">
        <v>65.849999999999994</v>
      </c>
    </row>
    <row r="251" spans="1:3" x14ac:dyDescent="0.25">
      <c r="A251" s="2">
        <v>45961</v>
      </c>
      <c r="B251" t="s">
        <v>14</v>
      </c>
      <c r="C251">
        <v>65.204999999999998</v>
      </c>
    </row>
    <row r="252" spans="1:3" x14ac:dyDescent="0.25">
      <c r="A252" s="2">
        <v>45960</v>
      </c>
      <c r="B252" t="s">
        <v>14</v>
      </c>
      <c r="C252">
        <v>65.174999999999997</v>
      </c>
    </row>
    <row r="253" spans="1:3" x14ac:dyDescent="0.25">
      <c r="A253" s="2">
        <v>45959</v>
      </c>
      <c r="B253" t="s">
        <v>14</v>
      </c>
      <c r="C253">
        <v>65.474999999999994</v>
      </c>
    </row>
    <row r="254" spans="1:3" x14ac:dyDescent="0.25">
      <c r="A254" s="2">
        <v>45958</v>
      </c>
      <c r="B254" t="s">
        <v>14</v>
      </c>
      <c r="C254">
        <v>64.075000000000003</v>
      </c>
    </row>
    <row r="255" spans="1:3" x14ac:dyDescent="0.25">
      <c r="A255" s="2">
        <v>45957</v>
      </c>
      <c r="B255" t="s">
        <v>14</v>
      </c>
      <c r="C255">
        <v>65.64</v>
      </c>
    </row>
    <row r="256" spans="1:3" x14ac:dyDescent="0.25">
      <c r="A256" s="2">
        <v>45954</v>
      </c>
      <c r="B256" t="s">
        <v>14</v>
      </c>
      <c r="C256">
        <v>66.454999999999998</v>
      </c>
    </row>
    <row r="257" spans="1:3" x14ac:dyDescent="0.25">
      <c r="A257" s="2">
        <v>45953</v>
      </c>
      <c r="B257" t="s">
        <v>14</v>
      </c>
      <c r="C257">
        <v>65.39</v>
      </c>
    </row>
    <row r="258" spans="1:3" x14ac:dyDescent="0.25">
      <c r="A258" s="2">
        <v>45952</v>
      </c>
      <c r="B258" t="s">
        <v>14</v>
      </c>
      <c r="C258">
        <v>62.055</v>
      </c>
    </row>
    <row r="259" spans="1:3" x14ac:dyDescent="0.25">
      <c r="A259" s="2">
        <v>45951</v>
      </c>
      <c r="B259" t="s">
        <v>14</v>
      </c>
      <c r="C259">
        <v>60.994999999999997</v>
      </c>
    </row>
    <row r="260" spans="1:3" x14ac:dyDescent="0.25">
      <c r="A260" s="2">
        <v>45950</v>
      </c>
      <c r="B260" t="s">
        <v>14</v>
      </c>
      <c r="C260">
        <v>60.62</v>
      </c>
    </row>
    <row r="261" spans="1:3" x14ac:dyDescent="0.25">
      <c r="A261" s="2">
        <v>45947</v>
      </c>
      <c r="B261" t="s">
        <v>14</v>
      </c>
      <c r="C261">
        <v>60.94</v>
      </c>
    </row>
    <row r="262" spans="1:3" x14ac:dyDescent="0.25">
      <c r="A262" s="2">
        <v>45946</v>
      </c>
      <c r="B262" t="s">
        <v>14</v>
      </c>
      <c r="C262">
        <v>61.854999999999997</v>
      </c>
    </row>
    <row r="263" spans="1:3" x14ac:dyDescent="0.25">
      <c r="A263" s="2">
        <v>45945</v>
      </c>
      <c r="B263" t="s">
        <v>14</v>
      </c>
      <c r="C263">
        <v>62.594999999999999</v>
      </c>
    </row>
    <row r="264" spans="1:3" x14ac:dyDescent="0.25">
      <c r="A264" s="2">
        <v>45944</v>
      </c>
      <c r="B264" t="s">
        <v>14</v>
      </c>
      <c r="C264">
        <v>62.465000000000003</v>
      </c>
    </row>
    <row r="265" spans="1:3" x14ac:dyDescent="0.25">
      <c r="A265" s="2">
        <v>45943</v>
      </c>
      <c r="B265" t="s">
        <v>14</v>
      </c>
      <c r="C265">
        <v>64.284999999999997</v>
      </c>
    </row>
    <row r="266" spans="1:3" x14ac:dyDescent="0.25">
      <c r="A266" s="2">
        <v>45940</v>
      </c>
      <c r="B266" t="s">
        <v>14</v>
      </c>
      <c r="C266">
        <v>64.484999999999999</v>
      </c>
    </row>
    <row r="267" spans="1:3" x14ac:dyDescent="0.25">
      <c r="A267" s="2">
        <v>45939</v>
      </c>
      <c r="B267" t="s">
        <v>14</v>
      </c>
      <c r="C267">
        <v>67.430000000000007</v>
      </c>
    </row>
    <row r="268" spans="1:3" x14ac:dyDescent="0.25">
      <c r="A268" s="2">
        <v>45938</v>
      </c>
      <c r="B268" t="s">
        <v>14</v>
      </c>
      <c r="C268">
        <v>68.165000000000006</v>
      </c>
    </row>
    <row r="269" spans="1:3" x14ac:dyDescent="0.25">
      <c r="A269" s="2">
        <v>45937</v>
      </c>
      <c r="B269" t="s">
        <v>14</v>
      </c>
      <c r="C269">
        <v>66.915000000000006</v>
      </c>
    </row>
    <row r="270" spans="1:3" x14ac:dyDescent="0.25">
      <c r="A270" s="2">
        <v>45936</v>
      </c>
      <c r="B270" t="s">
        <v>14</v>
      </c>
      <c r="C270">
        <v>67.144999999999996</v>
      </c>
    </row>
    <row r="271" spans="1:3" x14ac:dyDescent="0.25">
      <c r="A271" s="2">
        <v>45933</v>
      </c>
      <c r="B271" t="s">
        <v>14</v>
      </c>
      <c r="C271">
        <v>66.325000000000003</v>
      </c>
    </row>
    <row r="272" spans="1:3" x14ac:dyDescent="0.25">
      <c r="A272" s="2">
        <v>45932</v>
      </c>
      <c r="B272" t="s">
        <v>14</v>
      </c>
      <c r="C272">
        <v>65.930000000000007</v>
      </c>
    </row>
    <row r="273" spans="1:3" x14ac:dyDescent="0.25">
      <c r="A273" s="2">
        <v>45931</v>
      </c>
      <c r="B273" t="s">
        <v>14</v>
      </c>
      <c r="C273">
        <v>67.355000000000004</v>
      </c>
    </row>
    <row r="274" spans="1:3" x14ac:dyDescent="0.25">
      <c r="A274" s="2">
        <v>45930</v>
      </c>
      <c r="B274" t="s">
        <v>14</v>
      </c>
      <c r="C274">
        <v>67.894999999999996</v>
      </c>
    </row>
    <row r="275" spans="1:3" x14ac:dyDescent="0.25">
      <c r="A275" s="2">
        <v>45929</v>
      </c>
      <c r="B275" t="s">
        <v>14</v>
      </c>
      <c r="C275">
        <v>68.814999999999998</v>
      </c>
    </row>
    <row r="276" spans="1:3" x14ac:dyDescent="0.25">
      <c r="A276" s="2">
        <v>45926</v>
      </c>
      <c r="B276" t="s">
        <v>14</v>
      </c>
      <c r="C276">
        <v>71.930000000000007</v>
      </c>
    </row>
    <row r="277" spans="1:3" x14ac:dyDescent="0.25">
      <c r="A277" s="2">
        <v>45925</v>
      </c>
      <c r="B277" t="s">
        <v>14</v>
      </c>
      <c r="C277">
        <v>70.58</v>
      </c>
    </row>
    <row r="278" spans="1:3" x14ac:dyDescent="0.25">
      <c r="A278" s="2">
        <v>45924</v>
      </c>
      <c r="B278" t="s">
        <v>14</v>
      </c>
      <c r="C278">
        <v>69.625</v>
      </c>
    </row>
    <row r="279" spans="1:3" x14ac:dyDescent="0.25">
      <c r="A279" s="2">
        <v>45923</v>
      </c>
      <c r="B279" t="s">
        <v>14</v>
      </c>
      <c r="C279">
        <v>68.47</v>
      </c>
    </row>
    <row r="280" spans="1:3" x14ac:dyDescent="0.25">
      <c r="A280" s="2">
        <v>45922</v>
      </c>
      <c r="B280" t="s">
        <v>14</v>
      </c>
      <c r="C280">
        <v>66.790000000000006</v>
      </c>
    </row>
    <row r="281" spans="1:3" x14ac:dyDescent="0.25">
      <c r="A281" s="2">
        <v>45919</v>
      </c>
      <c r="B281" t="s">
        <v>14</v>
      </c>
      <c r="C281">
        <v>67.055000000000007</v>
      </c>
    </row>
    <row r="282" spans="1:3" x14ac:dyDescent="0.25">
      <c r="A282" s="2">
        <v>45918</v>
      </c>
      <c r="B282" t="s">
        <v>14</v>
      </c>
      <c r="C282">
        <v>67.81</v>
      </c>
    </row>
    <row r="283" spans="1:3" x14ac:dyDescent="0.25">
      <c r="A283" s="2">
        <v>45917</v>
      </c>
      <c r="B283" t="s">
        <v>14</v>
      </c>
      <c r="C283">
        <v>68.19</v>
      </c>
    </row>
    <row r="284" spans="1:3" x14ac:dyDescent="0.25">
      <c r="A284" s="2">
        <v>45916</v>
      </c>
      <c r="B284" t="s">
        <v>14</v>
      </c>
      <c r="C284">
        <v>68.47</v>
      </c>
    </row>
    <row r="285" spans="1:3" x14ac:dyDescent="0.25">
      <c r="A285" s="2">
        <v>45915</v>
      </c>
      <c r="B285" t="s">
        <v>14</v>
      </c>
      <c r="C285">
        <v>67.510000000000005</v>
      </c>
    </row>
    <row r="286" spans="1:3" x14ac:dyDescent="0.25">
      <c r="A286" s="2">
        <v>45912</v>
      </c>
      <c r="B286" t="s">
        <v>14</v>
      </c>
      <c r="C286">
        <v>67.594999999999999</v>
      </c>
    </row>
    <row r="287" spans="1:3" x14ac:dyDescent="0.25">
      <c r="A287" s="2">
        <v>45911</v>
      </c>
      <c r="B287" t="s">
        <v>14</v>
      </c>
      <c r="C287">
        <v>66.180000000000007</v>
      </c>
    </row>
    <row r="288" spans="1:3" x14ac:dyDescent="0.25">
      <c r="A288" s="2">
        <v>45910</v>
      </c>
      <c r="B288" t="s">
        <v>14</v>
      </c>
      <c r="C288">
        <v>67.025000000000006</v>
      </c>
    </row>
    <row r="289" spans="1:3" x14ac:dyDescent="0.25">
      <c r="A289" s="2">
        <v>45909</v>
      </c>
      <c r="B289" t="s">
        <v>14</v>
      </c>
      <c r="C289">
        <v>66.569999999999993</v>
      </c>
    </row>
    <row r="290" spans="1:3" x14ac:dyDescent="0.25">
      <c r="A290" s="2">
        <v>45908</v>
      </c>
      <c r="B290" t="s">
        <v>14</v>
      </c>
      <c r="C290">
        <v>66.355000000000004</v>
      </c>
    </row>
    <row r="291" spans="1:3" x14ac:dyDescent="0.25">
      <c r="A291" s="2">
        <v>45905</v>
      </c>
      <c r="B291" t="s">
        <v>14</v>
      </c>
      <c r="C291">
        <v>65.099999999999994</v>
      </c>
    </row>
    <row r="292" spans="1:3" x14ac:dyDescent="0.25">
      <c r="A292" s="2">
        <v>45904</v>
      </c>
      <c r="B292" t="s">
        <v>14</v>
      </c>
      <c r="C292">
        <v>67.135000000000005</v>
      </c>
    </row>
    <row r="293" spans="1:3" x14ac:dyDescent="0.25">
      <c r="A293" s="2">
        <v>45903</v>
      </c>
      <c r="B293" t="s">
        <v>14</v>
      </c>
      <c r="C293">
        <v>67.555000000000007</v>
      </c>
    </row>
    <row r="294" spans="1:3" x14ac:dyDescent="0.25">
      <c r="A294" s="2">
        <v>45902</v>
      </c>
      <c r="B294" t="s">
        <v>14</v>
      </c>
      <c r="C294">
        <v>69.36</v>
      </c>
    </row>
    <row r="295" spans="1:3" x14ac:dyDescent="0.25">
      <c r="A295" s="2">
        <v>45901</v>
      </c>
      <c r="B295" t="s">
        <v>14</v>
      </c>
      <c r="C295">
        <v>68.905000000000001</v>
      </c>
    </row>
    <row r="296" spans="1:3" x14ac:dyDescent="0.25">
      <c r="A296" s="2">
        <v>45898</v>
      </c>
      <c r="B296" t="s">
        <v>14</v>
      </c>
      <c r="C296">
        <v>67.58</v>
      </c>
    </row>
    <row r="297" spans="1:3" x14ac:dyDescent="0.25">
      <c r="A297" s="2">
        <v>45897</v>
      </c>
      <c r="B297" t="s">
        <v>14</v>
      </c>
      <c r="C297">
        <v>67.594999999999999</v>
      </c>
    </row>
    <row r="298" spans="1:3" x14ac:dyDescent="0.25">
      <c r="A298" s="2">
        <v>45896</v>
      </c>
      <c r="B298" t="s">
        <v>14</v>
      </c>
      <c r="C298">
        <v>67.41</v>
      </c>
    </row>
    <row r="299" spans="1:3" x14ac:dyDescent="0.25">
      <c r="A299" s="2">
        <v>45895</v>
      </c>
      <c r="B299" t="s">
        <v>14</v>
      </c>
      <c r="C299">
        <v>67.47</v>
      </c>
    </row>
    <row r="300" spans="1:3" x14ac:dyDescent="0.25">
      <c r="A300" s="2">
        <v>45891</v>
      </c>
      <c r="B300" t="s">
        <v>14</v>
      </c>
      <c r="C300">
        <v>68.27</v>
      </c>
    </row>
    <row r="301" spans="1:3" x14ac:dyDescent="0.25">
      <c r="A301" s="2">
        <v>45890</v>
      </c>
      <c r="B301" t="s">
        <v>14</v>
      </c>
      <c r="C301">
        <v>68.105000000000004</v>
      </c>
    </row>
    <row r="302" spans="1:3" x14ac:dyDescent="0.25">
      <c r="A302" s="2">
        <v>45889</v>
      </c>
      <c r="B302" t="s">
        <v>14</v>
      </c>
      <c r="C302">
        <v>67.709999999999994</v>
      </c>
    </row>
    <row r="303" spans="1:3" x14ac:dyDescent="0.25">
      <c r="A303" s="2">
        <v>45888</v>
      </c>
      <c r="B303" t="s">
        <v>14</v>
      </c>
      <c r="C303">
        <v>67.28</v>
      </c>
    </row>
    <row r="304" spans="1:3" x14ac:dyDescent="0.25">
      <c r="A304" s="2">
        <v>45887</v>
      </c>
      <c r="B304" t="s">
        <v>14</v>
      </c>
      <c r="C304">
        <v>67.36</v>
      </c>
    </row>
    <row r="305" spans="1:3" x14ac:dyDescent="0.25">
      <c r="A305" s="2">
        <v>45884</v>
      </c>
      <c r="B305" t="s">
        <v>14</v>
      </c>
      <c r="C305">
        <v>67.819999999999993</v>
      </c>
    </row>
    <row r="306" spans="1:3" x14ac:dyDescent="0.25">
      <c r="A306" s="2">
        <v>45883</v>
      </c>
      <c r="B306" t="s">
        <v>14</v>
      </c>
      <c r="C306">
        <v>68.194999999999993</v>
      </c>
    </row>
    <row r="307" spans="1:3" x14ac:dyDescent="0.25">
      <c r="A307" s="2">
        <v>45882</v>
      </c>
      <c r="B307" t="s">
        <v>14</v>
      </c>
      <c r="C307">
        <v>66.87</v>
      </c>
    </row>
    <row r="308" spans="1:3" x14ac:dyDescent="0.25">
      <c r="A308" s="2">
        <v>45881</v>
      </c>
      <c r="B308" t="s">
        <v>14</v>
      </c>
      <c r="C308">
        <v>67.55</v>
      </c>
    </row>
    <row r="309" spans="1:3" x14ac:dyDescent="0.25">
      <c r="A309" s="2">
        <v>45880</v>
      </c>
      <c r="B309" t="s">
        <v>14</v>
      </c>
      <c r="C309">
        <v>68.034999999999997</v>
      </c>
    </row>
    <row r="310" spans="1:3" x14ac:dyDescent="0.25">
      <c r="A310" s="2">
        <v>45877</v>
      </c>
      <c r="B310" t="s">
        <v>14</v>
      </c>
      <c r="C310">
        <v>67.864999999999995</v>
      </c>
    </row>
    <row r="311" spans="1:3" x14ac:dyDescent="0.25">
      <c r="A311" s="2">
        <v>45876</v>
      </c>
      <c r="B311" t="s">
        <v>14</v>
      </c>
      <c r="C311">
        <v>67.739999999999995</v>
      </c>
    </row>
    <row r="312" spans="1:3" x14ac:dyDescent="0.25">
      <c r="A312" s="2">
        <v>45875</v>
      </c>
      <c r="B312" t="s">
        <v>14</v>
      </c>
      <c r="C312">
        <v>69.584999999999994</v>
      </c>
    </row>
    <row r="313" spans="1:3" x14ac:dyDescent="0.25">
      <c r="A313" s="2">
        <v>45874</v>
      </c>
      <c r="B313" t="s">
        <v>14</v>
      </c>
      <c r="C313">
        <v>69.39</v>
      </c>
    </row>
    <row r="314" spans="1:3" x14ac:dyDescent="0.25">
      <c r="A314" s="2">
        <v>45873</v>
      </c>
      <c r="B314" t="s">
        <v>14</v>
      </c>
      <c r="C314">
        <v>70.83</v>
      </c>
    </row>
    <row r="315" spans="1:3" x14ac:dyDescent="0.25">
      <c r="A315" s="2">
        <v>45870</v>
      </c>
      <c r="B315" t="s">
        <v>14</v>
      </c>
      <c r="C315">
        <v>71.39</v>
      </c>
    </row>
    <row r="316" spans="1:3" x14ac:dyDescent="0.25">
      <c r="A316" s="2">
        <v>45869</v>
      </c>
      <c r="B316" t="s">
        <v>14</v>
      </c>
      <c r="C316">
        <v>72.709999999999994</v>
      </c>
    </row>
    <row r="317" spans="1:3" x14ac:dyDescent="0.25">
      <c r="A317" s="2">
        <v>45868</v>
      </c>
      <c r="B317" t="s">
        <v>14</v>
      </c>
      <c r="C317">
        <v>73.644999999999996</v>
      </c>
    </row>
    <row r="318" spans="1:3" x14ac:dyDescent="0.25">
      <c r="A318" s="2">
        <v>45867</v>
      </c>
      <c r="B318" t="s">
        <v>14</v>
      </c>
      <c r="C318">
        <v>71.474999999999994</v>
      </c>
    </row>
    <row r="319" spans="1:3" x14ac:dyDescent="0.25">
      <c r="A319" s="2">
        <v>45866</v>
      </c>
      <c r="B319" t="s">
        <v>14</v>
      </c>
      <c r="C319">
        <v>70.254999999999995</v>
      </c>
    </row>
    <row r="320" spans="1:3" x14ac:dyDescent="0.25">
      <c r="A320" s="2">
        <v>45863</v>
      </c>
      <c r="B320" t="s">
        <v>14</v>
      </c>
      <c r="C320">
        <v>69.394999999999996</v>
      </c>
    </row>
    <row r="321" spans="1:3" x14ac:dyDescent="0.25">
      <c r="A321" s="2">
        <v>45862</v>
      </c>
      <c r="B321" t="s">
        <v>14</v>
      </c>
      <c r="C321">
        <v>70.7</v>
      </c>
    </row>
    <row r="322" spans="1:3" x14ac:dyDescent="0.25">
      <c r="A322" s="2">
        <v>45861</v>
      </c>
      <c r="B322" t="s">
        <v>14</v>
      </c>
      <c r="C322">
        <v>69.745000000000005</v>
      </c>
    </row>
    <row r="323" spans="1:3" x14ac:dyDescent="0.25">
      <c r="A323" s="2">
        <v>45860</v>
      </c>
      <c r="B323" t="s">
        <v>14</v>
      </c>
      <c r="C323">
        <v>69.825000000000003</v>
      </c>
    </row>
    <row r="324" spans="1:3" x14ac:dyDescent="0.25">
      <c r="A324" s="2">
        <v>45859</v>
      </c>
      <c r="B324" t="s">
        <v>14</v>
      </c>
      <c r="C324">
        <v>70.555000000000007</v>
      </c>
    </row>
    <row r="325" spans="1:3" x14ac:dyDescent="0.25">
      <c r="A325" s="2">
        <v>45856</v>
      </c>
      <c r="B325" t="s">
        <v>14</v>
      </c>
      <c r="C325">
        <v>71.11</v>
      </c>
    </row>
    <row r="326" spans="1:3" x14ac:dyDescent="0.25">
      <c r="A326" s="2">
        <v>45855</v>
      </c>
      <c r="B326" t="s">
        <v>14</v>
      </c>
      <c r="C326">
        <v>70.86</v>
      </c>
    </row>
    <row r="327" spans="1:3" x14ac:dyDescent="0.25">
      <c r="A327" s="2">
        <v>45854</v>
      </c>
      <c r="B327" t="s">
        <v>14</v>
      </c>
      <c r="C327">
        <v>69.97</v>
      </c>
    </row>
    <row r="328" spans="1:3" x14ac:dyDescent="0.25">
      <c r="A328" s="2">
        <v>45853</v>
      </c>
      <c r="B328" t="s">
        <v>14</v>
      </c>
      <c r="C328">
        <v>71.209999999999994</v>
      </c>
    </row>
    <row r="329" spans="1:3" x14ac:dyDescent="0.25">
      <c r="A329" s="2">
        <v>45852</v>
      </c>
      <c r="B329" t="s">
        <v>14</v>
      </c>
      <c r="C329">
        <v>71.36</v>
      </c>
    </row>
    <row r="330" spans="1:3" x14ac:dyDescent="0.25">
      <c r="A330" s="2">
        <v>45849</v>
      </c>
      <c r="B330" t="s">
        <v>14</v>
      </c>
      <c r="C330">
        <v>72.44</v>
      </c>
    </row>
    <row r="331" spans="1:3" x14ac:dyDescent="0.25">
      <c r="A331" s="2">
        <v>45848</v>
      </c>
      <c r="B331" t="s">
        <v>14</v>
      </c>
      <c r="C331">
        <v>70.454999999999998</v>
      </c>
    </row>
    <row r="332" spans="1:3" x14ac:dyDescent="0.25">
      <c r="A332" s="2">
        <v>45847</v>
      </c>
      <c r="B332" t="s">
        <v>14</v>
      </c>
      <c r="C332">
        <v>72.424999999999997</v>
      </c>
    </row>
    <row r="333" spans="1:3" x14ac:dyDescent="0.25">
      <c r="A333" s="2">
        <v>45846</v>
      </c>
      <c r="B333" t="s">
        <v>14</v>
      </c>
      <c r="C333">
        <v>71.944999999999993</v>
      </c>
    </row>
    <row r="334" spans="1:3" x14ac:dyDescent="0.25">
      <c r="A334" s="2">
        <v>45845</v>
      </c>
      <c r="B334" t="s">
        <v>14</v>
      </c>
      <c r="C334">
        <v>71.41</v>
      </c>
    </row>
    <row r="335" spans="1:3" x14ac:dyDescent="0.25">
      <c r="A335" s="2">
        <v>45842</v>
      </c>
      <c r="B335" t="s">
        <v>14</v>
      </c>
      <c r="C335">
        <v>70.75</v>
      </c>
    </row>
    <row r="336" spans="1:3" x14ac:dyDescent="0.25">
      <c r="A336" s="2">
        <v>45841</v>
      </c>
      <c r="B336" t="s">
        <v>14</v>
      </c>
      <c r="C336">
        <v>71.204999999999998</v>
      </c>
    </row>
    <row r="337" spans="1:3" x14ac:dyDescent="0.25">
      <c r="A337" s="2">
        <v>45840</v>
      </c>
      <c r="B337" t="s">
        <v>14</v>
      </c>
      <c r="C337">
        <v>69.754999999999995</v>
      </c>
    </row>
    <row r="338" spans="1:3" x14ac:dyDescent="0.25">
      <c r="A338" s="2">
        <v>45839</v>
      </c>
      <c r="B338" t="s">
        <v>14</v>
      </c>
      <c r="C338">
        <v>68.665000000000006</v>
      </c>
    </row>
    <row r="339" spans="1:3" x14ac:dyDescent="0.25">
      <c r="A339" s="2">
        <v>45838</v>
      </c>
      <c r="B339" t="s">
        <v>14</v>
      </c>
      <c r="C339">
        <v>67.959999999999994</v>
      </c>
    </row>
    <row r="340" spans="1:3" x14ac:dyDescent="0.25">
      <c r="A340" s="2">
        <v>45835</v>
      </c>
      <c r="B340" t="s">
        <v>14</v>
      </c>
      <c r="C340">
        <v>69.010000000000005</v>
      </c>
    </row>
    <row r="341" spans="1:3" x14ac:dyDescent="0.25">
      <c r="A341" s="2">
        <v>45834</v>
      </c>
      <c r="B341" t="s">
        <v>14</v>
      </c>
      <c r="C341">
        <v>69.814999999999998</v>
      </c>
    </row>
    <row r="342" spans="1:3" x14ac:dyDescent="0.25">
      <c r="A342" s="2">
        <v>45833</v>
      </c>
      <c r="B342" t="s">
        <v>14</v>
      </c>
      <c r="C342">
        <v>69.215000000000003</v>
      </c>
    </row>
    <row r="343" spans="1:3" x14ac:dyDescent="0.25">
      <c r="A343" s="2">
        <v>45832</v>
      </c>
      <c r="B343" t="s">
        <v>14</v>
      </c>
      <c r="C343">
        <v>69.14</v>
      </c>
    </row>
    <row r="344" spans="1:3" x14ac:dyDescent="0.25">
      <c r="A344" s="2">
        <v>45831</v>
      </c>
      <c r="B344" t="s">
        <v>14</v>
      </c>
      <c r="C344">
        <v>77.655000000000001</v>
      </c>
    </row>
    <row r="345" spans="1:3" x14ac:dyDescent="0.25">
      <c r="A345" s="2">
        <v>45828</v>
      </c>
      <c r="B345" t="s">
        <v>14</v>
      </c>
      <c r="C345">
        <v>78.155000000000001</v>
      </c>
    </row>
    <row r="346" spans="1:3" x14ac:dyDescent="0.25">
      <c r="A346" s="2">
        <v>45827</v>
      </c>
      <c r="B346" t="s">
        <v>14</v>
      </c>
      <c r="C346">
        <v>80.594999999999999</v>
      </c>
    </row>
    <row r="347" spans="1:3" x14ac:dyDescent="0.25">
      <c r="A347" s="2">
        <v>45826</v>
      </c>
      <c r="B347" t="s">
        <v>14</v>
      </c>
      <c r="C347">
        <v>77.045000000000002</v>
      </c>
    </row>
    <row r="348" spans="1:3" x14ac:dyDescent="0.25">
      <c r="A348" s="2">
        <v>45825</v>
      </c>
      <c r="B348" t="s">
        <v>14</v>
      </c>
      <c r="C348">
        <v>77.385000000000005</v>
      </c>
    </row>
    <row r="349" spans="1:3" x14ac:dyDescent="0.25">
      <c r="A349" s="2">
        <v>45824</v>
      </c>
      <c r="B349" t="s">
        <v>14</v>
      </c>
      <c r="C349">
        <v>73.614999999999995</v>
      </c>
    </row>
    <row r="350" spans="1:3" x14ac:dyDescent="0.25">
      <c r="A350" s="2">
        <v>45821</v>
      </c>
      <c r="B350" t="s">
        <v>14</v>
      </c>
      <c r="C350">
        <v>75.185000000000002</v>
      </c>
    </row>
    <row r="351" spans="1:3" x14ac:dyDescent="0.25">
      <c r="A351" s="2">
        <v>45820</v>
      </c>
      <c r="B351" t="s">
        <v>14</v>
      </c>
      <c r="C351">
        <v>70.864999999999995</v>
      </c>
    </row>
    <row r="352" spans="1:3" x14ac:dyDescent="0.25">
      <c r="A352" s="2">
        <v>45819</v>
      </c>
      <c r="B352" t="s">
        <v>14</v>
      </c>
      <c r="C352">
        <v>69.67</v>
      </c>
    </row>
    <row r="353" spans="1:3" x14ac:dyDescent="0.25">
      <c r="A353" s="2">
        <v>45818</v>
      </c>
      <c r="B353" t="s">
        <v>14</v>
      </c>
      <c r="C353">
        <v>69.674999999999997</v>
      </c>
    </row>
    <row r="354" spans="1:3" x14ac:dyDescent="0.25">
      <c r="A354" s="2">
        <v>45817</v>
      </c>
      <c r="B354" t="s">
        <v>14</v>
      </c>
      <c r="C354">
        <v>68.894999999999996</v>
      </c>
    </row>
    <row r="355" spans="1:3" x14ac:dyDescent="0.25">
      <c r="A355" s="2">
        <v>45814</v>
      </c>
      <c r="B355" t="s">
        <v>14</v>
      </c>
      <c r="C355">
        <v>68.165000000000006</v>
      </c>
    </row>
    <row r="356" spans="1:3" x14ac:dyDescent="0.25">
      <c r="A356" s="2">
        <v>45813</v>
      </c>
      <c r="B356" t="s">
        <v>14</v>
      </c>
      <c r="C356">
        <v>67.25</v>
      </c>
    </row>
    <row r="357" spans="1:3" x14ac:dyDescent="0.25">
      <c r="A357" s="2">
        <v>45812</v>
      </c>
      <c r="B357" t="s">
        <v>14</v>
      </c>
      <c r="C357">
        <v>66.5</v>
      </c>
    </row>
    <row r="358" spans="1:3" x14ac:dyDescent="0.25">
      <c r="A358" s="2">
        <v>45811</v>
      </c>
      <c r="B358" t="s">
        <v>14</v>
      </c>
      <c r="C358">
        <v>67.88</v>
      </c>
    </row>
    <row r="359" spans="1:3" x14ac:dyDescent="0.25">
      <c r="A359" s="2">
        <v>45810</v>
      </c>
      <c r="B359" t="s">
        <v>14</v>
      </c>
      <c r="C359">
        <v>66.78</v>
      </c>
    </row>
    <row r="360" spans="1:3" x14ac:dyDescent="0.25">
      <c r="A360" s="2">
        <v>45807</v>
      </c>
      <c r="B360" t="s">
        <v>14</v>
      </c>
      <c r="C360">
        <v>63.91</v>
      </c>
    </row>
    <row r="361" spans="1:3" x14ac:dyDescent="0.25">
      <c r="A361" s="2">
        <v>45806</v>
      </c>
      <c r="B361" t="s">
        <v>14</v>
      </c>
      <c r="C361">
        <v>64.760000000000005</v>
      </c>
    </row>
    <row r="362" spans="1:3" x14ac:dyDescent="0.25">
      <c r="A362" s="2">
        <v>45805</v>
      </c>
      <c r="B362" t="s">
        <v>14</v>
      </c>
      <c r="C362">
        <v>65.465000000000003</v>
      </c>
    </row>
    <row r="363" spans="1:3" x14ac:dyDescent="0.25">
      <c r="A363" s="2">
        <v>45804</v>
      </c>
      <c r="B363" t="s">
        <v>14</v>
      </c>
      <c r="C363">
        <v>64.254999999999995</v>
      </c>
    </row>
    <row r="364" spans="1:3" x14ac:dyDescent="0.25">
      <c r="A364" s="2">
        <v>45800</v>
      </c>
      <c r="B364" t="s">
        <v>14</v>
      </c>
      <c r="C364">
        <v>65.53</v>
      </c>
    </row>
    <row r="365" spans="1:3" x14ac:dyDescent="0.25">
      <c r="A365" s="2">
        <v>45799</v>
      </c>
      <c r="B365" t="s">
        <v>14</v>
      </c>
      <c r="C365">
        <v>64.680000000000007</v>
      </c>
    </row>
    <row r="366" spans="1:3" x14ac:dyDescent="0.25">
      <c r="A366" s="2">
        <v>45798</v>
      </c>
      <c r="B366" t="s">
        <v>14</v>
      </c>
      <c r="C366">
        <v>65.42</v>
      </c>
    </row>
    <row r="367" spans="1:3" x14ac:dyDescent="0.25">
      <c r="A367" s="2">
        <v>45797</v>
      </c>
      <c r="B367" t="s">
        <v>14</v>
      </c>
      <c r="C367">
        <v>65.55</v>
      </c>
    </row>
    <row r="368" spans="1:3" x14ac:dyDescent="0.25">
      <c r="A368" s="2">
        <v>45796</v>
      </c>
      <c r="B368" t="s">
        <v>14</v>
      </c>
      <c r="C368">
        <v>66.034999999999997</v>
      </c>
    </row>
    <row r="369" spans="1:3" x14ac:dyDescent="0.25">
      <c r="A369" s="2">
        <v>45793</v>
      </c>
      <c r="B369" t="s">
        <v>14</v>
      </c>
      <c r="C369">
        <v>65.075000000000003</v>
      </c>
    </row>
    <row r="370" spans="1:3" x14ac:dyDescent="0.25">
      <c r="A370" s="2">
        <v>45792</v>
      </c>
      <c r="B370" t="s">
        <v>14</v>
      </c>
      <c r="C370">
        <v>64.015000000000001</v>
      </c>
    </row>
    <row r="371" spans="1:3" x14ac:dyDescent="0.25">
      <c r="A371" s="2">
        <v>45791</v>
      </c>
      <c r="B371" t="s">
        <v>14</v>
      </c>
      <c r="C371">
        <v>65.915000000000006</v>
      </c>
    </row>
    <row r="372" spans="1:3" x14ac:dyDescent="0.25">
      <c r="A372" s="2">
        <v>45790</v>
      </c>
      <c r="B372" t="s">
        <v>14</v>
      </c>
      <c r="C372">
        <v>66.144999999999996</v>
      </c>
    </row>
    <row r="373" spans="1:3" x14ac:dyDescent="0.25">
      <c r="A373" s="2">
        <v>45789</v>
      </c>
      <c r="B373" t="s">
        <v>14</v>
      </c>
      <c r="C373">
        <v>64.95</v>
      </c>
    </row>
    <row r="374" spans="1:3" x14ac:dyDescent="0.25">
      <c r="A374" s="2">
        <v>45786</v>
      </c>
      <c r="B374" t="s">
        <v>14</v>
      </c>
      <c r="C374">
        <v>63.414999999999999</v>
      </c>
    </row>
    <row r="375" spans="1:3" x14ac:dyDescent="0.25">
      <c r="A375" s="2">
        <v>45785</v>
      </c>
      <c r="B375" t="s">
        <v>14</v>
      </c>
      <c r="C375">
        <v>62.3</v>
      </c>
    </row>
    <row r="376" spans="1:3" x14ac:dyDescent="0.25">
      <c r="A376" s="2">
        <v>45784</v>
      </c>
      <c r="B376" t="s">
        <v>14</v>
      </c>
      <c r="C376">
        <v>61.07</v>
      </c>
    </row>
    <row r="377" spans="1:3" x14ac:dyDescent="0.25">
      <c r="A377" s="2">
        <v>45783</v>
      </c>
      <c r="B377" t="s">
        <v>14</v>
      </c>
      <c r="C377">
        <v>62.704999999999998</v>
      </c>
    </row>
    <row r="378" spans="1:3" x14ac:dyDescent="0.25">
      <c r="A378" s="2">
        <v>45779</v>
      </c>
      <c r="B378" t="s">
        <v>14</v>
      </c>
      <c r="C378">
        <v>61.405000000000001</v>
      </c>
    </row>
    <row r="379" spans="1:3" x14ac:dyDescent="0.25">
      <c r="A379" s="2">
        <v>45778</v>
      </c>
      <c r="B379" t="s">
        <v>14</v>
      </c>
      <c r="C379">
        <v>61.52</v>
      </c>
    </row>
    <row r="380" spans="1:3" x14ac:dyDescent="0.25">
      <c r="A380" s="2">
        <v>45777</v>
      </c>
      <c r="B380" t="s">
        <v>14</v>
      </c>
      <c r="C380">
        <v>63.2</v>
      </c>
    </row>
    <row r="381" spans="1:3" x14ac:dyDescent="0.25">
      <c r="A381" s="2">
        <v>45776</v>
      </c>
      <c r="B381" t="s">
        <v>14</v>
      </c>
      <c r="C381">
        <v>64.344999999999999</v>
      </c>
    </row>
    <row r="382" spans="1:3" x14ac:dyDescent="0.25">
      <c r="A382" s="2">
        <v>45775</v>
      </c>
      <c r="B382" t="s">
        <v>14</v>
      </c>
      <c r="C382">
        <v>65.849999999999994</v>
      </c>
    </row>
    <row r="383" spans="1:3" x14ac:dyDescent="0.25">
      <c r="A383" s="2">
        <v>45772</v>
      </c>
      <c r="B383" t="s">
        <v>14</v>
      </c>
      <c r="C383">
        <v>67.484999999999999</v>
      </c>
    </row>
    <row r="384" spans="1:3" x14ac:dyDescent="0.25">
      <c r="A384" s="2">
        <v>45771</v>
      </c>
      <c r="B384" t="s">
        <v>14</v>
      </c>
      <c r="C384">
        <v>67.265000000000001</v>
      </c>
    </row>
    <row r="385" spans="1:3" x14ac:dyDescent="0.25">
      <c r="A385" s="2">
        <v>45770</v>
      </c>
      <c r="B385" t="s">
        <v>14</v>
      </c>
      <c r="C385">
        <v>66.944999999999993</v>
      </c>
    </row>
    <row r="386" spans="1:3" x14ac:dyDescent="0.25">
      <c r="A386" s="2">
        <v>45769</v>
      </c>
      <c r="B386" t="s">
        <v>14</v>
      </c>
      <c r="C386">
        <v>69</v>
      </c>
    </row>
    <row r="387" spans="1:3" x14ac:dyDescent="0.25">
      <c r="A387" s="2">
        <v>45764</v>
      </c>
      <c r="B387" t="s">
        <v>14</v>
      </c>
      <c r="C387">
        <v>68.12</v>
      </c>
    </row>
    <row r="388" spans="1:3" x14ac:dyDescent="0.25">
      <c r="A388" s="2">
        <v>45763</v>
      </c>
      <c r="B388" t="s">
        <v>14</v>
      </c>
      <c r="C388">
        <v>67.605000000000004</v>
      </c>
    </row>
    <row r="389" spans="1:3" x14ac:dyDescent="0.25">
      <c r="A389" s="2">
        <v>45762</v>
      </c>
      <c r="B389" t="s">
        <v>14</v>
      </c>
      <c r="C389">
        <v>66.34</v>
      </c>
    </row>
    <row r="390" spans="1:3" x14ac:dyDescent="0.25">
      <c r="A390" s="2">
        <v>45761</v>
      </c>
      <c r="B390" t="s">
        <v>14</v>
      </c>
      <c r="C390">
        <v>66.81</v>
      </c>
    </row>
    <row r="391" spans="1:3" x14ac:dyDescent="0.25">
      <c r="A391" s="2">
        <v>45758</v>
      </c>
      <c r="B391" t="s">
        <v>14</v>
      </c>
      <c r="C391">
        <v>65.825000000000003</v>
      </c>
    </row>
    <row r="392" spans="1:3" x14ac:dyDescent="0.25">
      <c r="A392" s="2">
        <v>45757</v>
      </c>
      <c r="B392" t="s">
        <v>14</v>
      </c>
      <c r="C392">
        <v>65.385000000000005</v>
      </c>
    </row>
    <row r="393" spans="1:3" x14ac:dyDescent="0.25">
      <c r="A393" s="2">
        <v>45756</v>
      </c>
      <c r="B393" t="s">
        <v>14</v>
      </c>
      <c r="C393">
        <v>62.6</v>
      </c>
    </row>
    <row r="394" spans="1:3" x14ac:dyDescent="0.25">
      <c r="A394" s="2">
        <v>45755</v>
      </c>
      <c r="B394" t="s">
        <v>14</v>
      </c>
      <c r="C394">
        <v>66.150000000000006</v>
      </c>
    </row>
    <row r="395" spans="1:3" x14ac:dyDescent="0.25">
      <c r="A395" s="2">
        <v>45754</v>
      </c>
      <c r="B395" t="s">
        <v>14</v>
      </c>
      <c r="C395">
        <v>66.66</v>
      </c>
    </row>
    <row r="396" spans="1:3" x14ac:dyDescent="0.25">
      <c r="A396" s="2">
        <v>45751</v>
      </c>
      <c r="B396" t="s">
        <v>14</v>
      </c>
      <c r="C396">
        <v>67.94</v>
      </c>
    </row>
    <row r="397" spans="1:3" x14ac:dyDescent="0.25">
      <c r="A397" s="2">
        <v>45750</v>
      </c>
      <c r="B397" t="s">
        <v>14</v>
      </c>
      <c r="C397">
        <v>72.424999999999997</v>
      </c>
    </row>
    <row r="398" spans="1:3" x14ac:dyDescent="0.25">
      <c r="A398" s="2">
        <v>45749</v>
      </c>
      <c r="B398" t="s">
        <v>14</v>
      </c>
      <c r="C398">
        <v>77.33</v>
      </c>
    </row>
    <row r="399" spans="1:3" x14ac:dyDescent="0.25">
      <c r="A399" s="2">
        <v>45748</v>
      </c>
      <c r="B399" t="s">
        <v>14</v>
      </c>
      <c r="C399">
        <v>77.62</v>
      </c>
    </row>
    <row r="400" spans="1:3" x14ac:dyDescent="0.25">
      <c r="A400" s="2">
        <v>45747</v>
      </c>
      <c r="B400" t="s">
        <v>14</v>
      </c>
      <c r="C400">
        <v>77.165000000000006</v>
      </c>
    </row>
    <row r="401" spans="1:3" x14ac:dyDescent="0.25">
      <c r="A401" s="2">
        <v>45744</v>
      </c>
      <c r="B401" t="s">
        <v>14</v>
      </c>
      <c r="C401">
        <v>74.435000000000002</v>
      </c>
    </row>
    <row r="402" spans="1:3" x14ac:dyDescent="0.25">
      <c r="A402" s="2">
        <v>45743</v>
      </c>
      <c r="B402" t="s">
        <v>14</v>
      </c>
      <c r="C402">
        <v>74.495000000000005</v>
      </c>
    </row>
    <row r="403" spans="1:3" x14ac:dyDescent="0.25">
      <c r="A403" s="2">
        <v>45742</v>
      </c>
      <c r="B403" t="s">
        <v>14</v>
      </c>
      <c r="C403">
        <v>74.760000000000005</v>
      </c>
    </row>
    <row r="404" spans="1:3" x14ac:dyDescent="0.25">
      <c r="A404" s="2">
        <v>45741</v>
      </c>
      <c r="B404" t="s">
        <v>14</v>
      </c>
      <c r="C404">
        <v>73.525000000000006</v>
      </c>
    </row>
    <row r="405" spans="1:3" x14ac:dyDescent="0.25">
      <c r="A405" s="2">
        <v>45740</v>
      </c>
      <c r="B405" t="s">
        <v>14</v>
      </c>
      <c r="C405">
        <v>73.709999999999994</v>
      </c>
    </row>
    <row r="406" spans="1:3" x14ac:dyDescent="0.25">
      <c r="A406" s="2">
        <v>45737</v>
      </c>
      <c r="B406" t="s">
        <v>14</v>
      </c>
      <c r="C406">
        <v>72.510000000000005</v>
      </c>
    </row>
    <row r="407" spans="1:3" x14ac:dyDescent="0.25">
      <c r="A407" s="2">
        <v>45736</v>
      </c>
      <c r="B407" t="s">
        <v>14</v>
      </c>
      <c r="C407">
        <v>72.515000000000001</v>
      </c>
    </row>
    <row r="408" spans="1:3" x14ac:dyDescent="0.25">
      <c r="A408" s="2">
        <v>45735</v>
      </c>
      <c r="B408" t="s">
        <v>14</v>
      </c>
      <c r="C408">
        <v>71.5</v>
      </c>
    </row>
    <row r="409" spans="1:3" x14ac:dyDescent="0.25">
      <c r="A409" s="2">
        <v>45734</v>
      </c>
      <c r="B409" t="s">
        <v>14</v>
      </c>
      <c r="C409">
        <v>71.775000000000006</v>
      </c>
    </row>
    <row r="410" spans="1:3" x14ac:dyDescent="0.25">
      <c r="A410" s="2">
        <v>45733</v>
      </c>
      <c r="B410" t="s">
        <v>14</v>
      </c>
      <c r="C410">
        <v>72.37</v>
      </c>
    </row>
    <row r="411" spans="1:3" x14ac:dyDescent="0.25">
      <c r="A411" s="2">
        <v>45730</v>
      </c>
      <c r="B411" t="s">
        <v>14</v>
      </c>
      <c r="C411">
        <v>71.61</v>
      </c>
    </row>
    <row r="412" spans="1:3" x14ac:dyDescent="0.25">
      <c r="A412" s="2">
        <v>45729</v>
      </c>
      <c r="B412" t="s">
        <v>14</v>
      </c>
      <c r="C412">
        <v>71.405000000000001</v>
      </c>
    </row>
    <row r="413" spans="1:3" x14ac:dyDescent="0.25">
      <c r="A413" s="2">
        <v>45728</v>
      </c>
      <c r="B413" t="s">
        <v>14</v>
      </c>
      <c r="C413">
        <v>72.245000000000005</v>
      </c>
    </row>
    <row r="414" spans="1:3" x14ac:dyDescent="0.25">
      <c r="A414" s="2">
        <v>45727</v>
      </c>
      <c r="B414" t="s">
        <v>14</v>
      </c>
      <c r="C414">
        <v>71.2</v>
      </c>
    </row>
    <row r="415" spans="1:3" x14ac:dyDescent="0.25">
      <c r="A415" s="2">
        <v>45726</v>
      </c>
      <c r="B415" t="s">
        <v>14</v>
      </c>
      <c r="C415">
        <v>71.11</v>
      </c>
    </row>
    <row r="416" spans="1:3" x14ac:dyDescent="0.25">
      <c r="A416" s="2">
        <v>45723</v>
      </c>
      <c r="B416" t="s">
        <v>14</v>
      </c>
      <c r="C416">
        <v>72.045000000000002</v>
      </c>
    </row>
    <row r="417" spans="1:3" x14ac:dyDescent="0.25">
      <c r="A417" s="2">
        <v>45722</v>
      </c>
      <c r="B417" t="s">
        <v>14</v>
      </c>
      <c r="C417">
        <v>70.290000000000006</v>
      </c>
    </row>
    <row r="418" spans="1:3" x14ac:dyDescent="0.25">
      <c r="A418" s="2">
        <v>45721</v>
      </c>
      <c r="B418" t="s">
        <v>14</v>
      </c>
      <c r="C418">
        <v>69.814999999999998</v>
      </c>
    </row>
    <row r="419" spans="1:3" x14ac:dyDescent="0.25">
      <c r="A419" s="2">
        <v>45720</v>
      </c>
      <c r="B419" t="s">
        <v>14</v>
      </c>
      <c r="C419">
        <v>71.745000000000005</v>
      </c>
    </row>
    <row r="420" spans="1:3" x14ac:dyDescent="0.25">
      <c r="A420" s="2">
        <v>45719</v>
      </c>
      <c r="B420" t="s">
        <v>14</v>
      </c>
      <c r="C420">
        <v>73.825000000000003</v>
      </c>
    </row>
    <row r="421" spans="1:3" x14ac:dyDescent="0.25">
      <c r="A421" s="2">
        <v>45716</v>
      </c>
      <c r="B421" t="s">
        <v>14</v>
      </c>
      <c r="C421">
        <v>73.424999999999997</v>
      </c>
    </row>
    <row r="422" spans="1:3" x14ac:dyDescent="0.25">
      <c r="A422" s="2">
        <v>45715</v>
      </c>
      <c r="B422" t="s">
        <v>14</v>
      </c>
      <c r="C422">
        <v>73.97</v>
      </c>
    </row>
    <row r="423" spans="1:3" x14ac:dyDescent="0.25">
      <c r="A423" s="2">
        <v>45714</v>
      </c>
      <c r="B423" t="s">
        <v>14</v>
      </c>
      <c r="C423">
        <v>72.834999999999994</v>
      </c>
    </row>
    <row r="424" spans="1:3" x14ac:dyDescent="0.25">
      <c r="A424" s="2">
        <v>45713</v>
      </c>
      <c r="B424" t="s">
        <v>14</v>
      </c>
      <c r="C424">
        <v>72.885000000000005</v>
      </c>
    </row>
    <row r="425" spans="1:3" x14ac:dyDescent="0.25">
      <c r="A425" s="2">
        <v>45712</v>
      </c>
      <c r="B425" t="s">
        <v>14</v>
      </c>
      <c r="C425">
        <v>74.66</v>
      </c>
    </row>
    <row r="426" spans="1:3" x14ac:dyDescent="0.25">
      <c r="A426" s="2">
        <v>45709</v>
      </c>
      <c r="B426" t="s">
        <v>14</v>
      </c>
      <c r="C426">
        <v>75.025000000000006</v>
      </c>
    </row>
    <row r="427" spans="1:3" x14ac:dyDescent="0.25">
      <c r="A427" s="2">
        <v>45708</v>
      </c>
      <c r="B427" t="s">
        <v>14</v>
      </c>
      <c r="C427">
        <v>77</v>
      </c>
    </row>
    <row r="428" spans="1:3" x14ac:dyDescent="0.25">
      <c r="A428" s="2">
        <v>45707</v>
      </c>
      <c r="B428" t="s">
        <v>14</v>
      </c>
      <c r="C428">
        <v>76.584999999999994</v>
      </c>
    </row>
    <row r="429" spans="1:3" x14ac:dyDescent="0.25">
      <c r="A429" s="2">
        <v>45706</v>
      </c>
      <c r="B429" t="s">
        <v>14</v>
      </c>
      <c r="C429">
        <v>75.89</v>
      </c>
    </row>
    <row r="430" spans="1:3" x14ac:dyDescent="0.25">
      <c r="A430" s="2">
        <v>45705</v>
      </c>
      <c r="B430" t="s">
        <v>14</v>
      </c>
      <c r="C430">
        <v>75.265000000000001</v>
      </c>
    </row>
    <row r="431" spans="1:3" x14ac:dyDescent="0.25">
      <c r="A431" s="2">
        <v>45702</v>
      </c>
      <c r="B431" t="s">
        <v>14</v>
      </c>
      <c r="C431">
        <v>75</v>
      </c>
    </row>
    <row r="432" spans="1:3" x14ac:dyDescent="0.25">
      <c r="A432" s="2">
        <v>45701</v>
      </c>
      <c r="B432" t="s">
        <v>14</v>
      </c>
      <c r="C432">
        <v>75.150000000000006</v>
      </c>
    </row>
    <row r="433" spans="1:3" x14ac:dyDescent="0.25">
      <c r="A433" s="2">
        <v>45700</v>
      </c>
      <c r="B433" t="s">
        <v>14</v>
      </c>
      <c r="C433">
        <v>75.875</v>
      </c>
    </row>
    <row r="434" spans="1:3" x14ac:dyDescent="0.25">
      <c r="A434" s="2">
        <v>45699</v>
      </c>
      <c r="B434" t="s">
        <v>14</v>
      </c>
      <c r="C434">
        <v>77.03</v>
      </c>
    </row>
    <row r="435" spans="1:3" x14ac:dyDescent="0.25">
      <c r="A435" s="2">
        <v>45698</v>
      </c>
      <c r="B435" t="s">
        <v>14</v>
      </c>
      <c r="C435">
        <v>76.040000000000006</v>
      </c>
    </row>
    <row r="436" spans="1:3" x14ac:dyDescent="0.25">
      <c r="A436" s="2">
        <v>45695</v>
      </c>
      <c r="B436" t="s">
        <v>14</v>
      </c>
      <c r="C436">
        <v>74.290000000000006</v>
      </c>
    </row>
    <row r="437" spans="1:3" x14ac:dyDescent="0.25">
      <c r="A437" s="2">
        <v>45694</v>
      </c>
      <c r="B437" t="s">
        <v>14</v>
      </c>
      <c r="C437">
        <v>74.894999999999996</v>
      </c>
    </row>
    <row r="438" spans="1:3" x14ac:dyDescent="0.25">
      <c r="A438" s="2">
        <v>45693</v>
      </c>
      <c r="B438" t="s">
        <v>14</v>
      </c>
      <c r="C438">
        <v>74.745000000000005</v>
      </c>
    </row>
    <row r="439" spans="1:3" x14ac:dyDescent="0.25">
      <c r="A439" s="2">
        <v>45692</v>
      </c>
      <c r="B439" t="s">
        <v>14</v>
      </c>
      <c r="C439">
        <v>76.424999999999997</v>
      </c>
    </row>
    <row r="440" spans="1:3" x14ac:dyDescent="0.25">
      <c r="A440" s="2">
        <v>45691</v>
      </c>
      <c r="B440" t="s">
        <v>14</v>
      </c>
      <c r="C440">
        <v>76.150000000000006</v>
      </c>
    </row>
    <row r="441" spans="1:3" x14ac:dyDescent="0.25">
      <c r="A441" s="2">
        <v>45688</v>
      </c>
      <c r="B441" t="s">
        <v>14</v>
      </c>
      <c r="C441">
        <v>76.98</v>
      </c>
    </row>
    <row r="442" spans="1:3" x14ac:dyDescent="0.25">
      <c r="A442" s="2">
        <v>45687</v>
      </c>
      <c r="B442" t="s">
        <v>14</v>
      </c>
      <c r="C442">
        <v>77.655000000000001</v>
      </c>
    </row>
    <row r="443" spans="1:3" x14ac:dyDescent="0.25">
      <c r="A443" s="2">
        <v>45686</v>
      </c>
      <c r="B443" t="s">
        <v>14</v>
      </c>
      <c r="C443">
        <v>77.8</v>
      </c>
    </row>
    <row r="444" spans="1:3" x14ac:dyDescent="0.25">
      <c r="A444" s="2">
        <v>45685</v>
      </c>
      <c r="B444" t="s">
        <v>14</v>
      </c>
      <c r="C444">
        <v>77.77</v>
      </c>
    </row>
    <row r="445" spans="1:3" x14ac:dyDescent="0.25">
      <c r="A445" s="2">
        <v>45684</v>
      </c>
      <c r="B445" t="s">
        <v>14</v>
      </c>
      <c r="C445">
        <v>77.885000000000005</v>
      </c>
    </row>
    <row r="446" spans="1:3" x14ac:dyDescent="0.25">
      <c r="A446" s="2">
        <v>45681</v>
      </c>
      <c r="B446" t="s">
        <v>14</v>
      </c>
      <c r="C446">
        <v>78.81</v>
      </c>
    </row>
    <row r="447" spans="1:3" x14ac:dyDescent="0.25">
      <c r="A447" s="2">
        <v>45680</v>
      </c>
      <c r="B447" t="s">
        <v>14</v>
      </c>
      <c r="C447">
        <v>78.92</v>
      </c>
    </row>
    <row r="448" spans="1:3" x14ac:dyDescent="0.25">
      <c r="A448" s="2">
        <v>45679</v>
      </c>
      <c r="B448" t="s">
        <v>14</v>
      </c>
      <c r="C448">
        <v>79.864999999999995</v>
      </c>
    </row>
    <row r="449" spans="1:3" x14ac:dyDescent="0.25">
      <c r="A449" s="2">
        <v>45678</v>
      </c>
      <c r="B449" t="s">
        <v>14</v>
      </c>
      <c r="C449">
        <v>80.31</v>
      </c>
    </row>
    <row r="450" spans="1:3" x14ac:dyDescent="0.25">
      <c r="A450" s="2">
        <v>45677</v>
      </c>
      <c r="B450" t="s">
        <v>14</v>
      </c>
      <c r="C450">
        <v>80.69</v>
      </c>
    </row>
    <row r="451" spans="1:3" x14ac:dyDescent="0.25">
      <c r="A451" s="2">
        <v>45674</v>
      </c>
      <c r="B451" t="s">
        <v>14</v>
      </c>
      <c r="C451">
        <v>82.194999999999993</v>
      </c>
    </row>
    <row r="452" spans="1:3" x14ac:dyDescent="0.25">
      <c r="A452" s="2">
        <v>45673</v>
      </c>
      <c r="B452" t="s">
        <v>14</v>
      </c>
      <c r="C452">
        <v>82.11</v>
      </c>
    </row>
    <row r="453" spans="1:3" x14ac:dyDescent="0.25">
      <c r="A453" s="2">
        <v>45672</v>
      </c>
      <c r="B453" t="s">
        <v>14</v>
      </c>
      <c r="C453">
        <v>83.01</v>
      </c>
    </row>
    <row r="454" spans="1:3" x14ac:dyDescent="0.25">
      <c r="A454" s="2">
        <v>45671</v>
      </c>
      <c r="B454" t="s">
        <v>14</v>
      </c>
      <c r="C454">
        <v>81.8</v>
      </c>
    </row>
    <row r="455" spans="1:3" x14ac:dyDescent="0.25">
      <c r="A455" s="2">
        <v>45670</v>
      </c>
      <c r="B455" t="s">
        <v>14</v>
      </c>
      <c r="C455">
        <v>82.915000000000006</v>
      </c>
    </row>
    <row r="456" spans="1:3" x14ac:dyDescent="0.25">
      <c r="A456" s="2">
        <v>45667</v>
      </c>
      <c r="B456" t="s">
        <v>14</v>
      </c>
      <c r="C456">
        <v>80.349999999999994</v>
      </c>
    </row>
    <row r="457" spans="1:3" x14ac:dyDescent="0.25">
      <c r="A457" s="2">
        <v>45666</v>
      </c>
      <c r="B457" t="s">
        <v>14</v>
      </c>
      <c r="C457">
        <v>78.025000000000006</v>
      </c>
    </row>
    <row r="458" spans="1:3" x14ac:dyDescent="0.25">
      <c r="A458" s="2">
        <v>45665</v>
      </c>
      <c r="B458" t="s">
        <v>14</v>
      </c>
      <c r="C458">
        <v>77.094999999999999</v>
      </c>
    </row>
    <row r="459" spans="1:3" x14ac:dyDescent="0.25">
      <c r="A459" s="2">
        <v>45664</v>
      </c>
      <c r="B459" t="s">
        <v>14</v>
      </c>
      <c r="C459">
        <v>77.84</v>
      </c>
    </row>
    <row r="460" spans="1:3" x14ac:dyDescent="0.25">
      <c r="A460" s="2">
        <v>45663</v>
      </c>
      <c r="B460" t="s">
        <v>14</v>
      </c>
      <c r="C460">
        <v>77.510000000000005</v>
      </c>
    </row>
    <row r="461" spans="1:3" x14ac:dyDescent="0.25">
      <c r="A461" s="2">
        <v>45660</v>
      </c>
      <c r="B461" t="s">
        <v>14</v>
      </c>
      <c r="C461">
        <v>76.650000000000006</v>
      </c>
    </row>
    <row r="462" spans="1:3" x14ac:dyDescent="0.25">
      <c r="A462" s="2">
        <v>45659</v>
      </c>
      <c r="B462" t="s">
        <v>14</v>
      </c>
      <c r="C462">
        <v>76.344999999999999</v>
      </c>
    </row>
    <row r="463" spans="1:3" x14ac:dyDescent="0.25">
      <c r="A463" s="2">
        <v>45657</v>
      </c>
      <c r="B463" t="s">
        <v>14</v>
      </c>
      <c r="C463">
        <v>74.105000000000004</v>
      </c>
    </row>
    <row r="464" spans="1:3" x14ac:dyDescent="0.25">
      <c r="A464" s="2">
        <v>45656</v>
      </c>
      <c r="B464" t="s">
        <v>14</v>
      </c>
      <c r="C464">
        <v>73.95</v>
      </c>
    </row>
    <row r="465" spans="1:3" x14ac:dyDescent="0.25">
      <c r="A465" s="2">
        <v>45653</v>
      </c>
      <c r="B465" t="s">
        <v>14</v>
      </c>
      <c r="C465">
        <v>73.959999999999994</v>
      </c>
    </row>
    <row r="466" spans="1:3" x14ac:dyDescent="0.25">
      <c r="A466" s="2">
        <v>45650</v>
      </c>
      <c r="B466" t="s">
        <v>14</v>
      </c>
      <c r="C466">
        <v>73.239999999999995</v>
      </c>
    </row>
    <row r="467" spans="1:3" x14ac:dyDescent="0.25">
      <c r="A467" s="2">
        <v>45649</v>
      </c>
      <c r="B467" t="s">
        <v>14</v>
      </c>
      <c r="C467">
        <v>72.295000000000002</v>
      </c>
    </row>
    <row r="468" spans="1:3" x14ac:dyDescent="0.25">
      <c r="A468" s="2">
        <v>45646</v>
      </c>
      <c r="B468" t="s">
        <v>14</v>
      </c>
      <c r="C468">
        <v>73.394999999999996</v>
      </c>
    </row>
    <row r="469" spans="1:3" x14ac:dyDescent="0.25">
      <c r="A469" s="2">
        <v>45645</v>
      </c>
      <c r="B469" t="s">
        <v>14</v>
      </c>
      <c r="C469">
        <v>73.185000000000002</v>
      </c>
    </row>
    <row r="470" spans="1:3" x14ac:dyDescent="0.25">
      <c r="A470" s="2">
        <v>45644</v>
      </c>
      <c r="B470" t="s">
        <v>14</v>
      </c>
      <c r="C470">
        <v>74.81</v>
      </c>
    </row>
    <row r="471" spans="1:3" x14ac:dyDescent="0.25">
      <c r="A471" s="2">
        <v>45643</v>
      </c>
      <c r="B471" t="s">
        <v>14</v>
      </c>
      <c r="C471">
        <v>73.525000000000006</v>
      </c>
    </row>
    <row r="472" spans="1:3" x14ac:dyDescent="0.25">
      <c r="A472" s="2">
        <v>45642</v>
      </c>
      <c r="B472" t="s">
        <v>14</v>
      </c>
      <c r="C472">
        <v>74.61</v>
      </c>
    </row>
    <row r="473" spans="1:3" x14ac:dyDescent="0.25">
      <c r="A473" s="2">
        <v>45639</v>
      </c>
      <c r="B473" t="s">
        <v>14</v>
      </c>
      <c r="C473">
        <v>75.010000000000005</v>
      </c>
    </row>
    <row r="474" spans="1:3" x14ac:dyDescent="0.25">
      <c r="A474" s="2">
        <v>45638</v>
      </c>
      <c r="B474" t="s">
        <v>14</v>
      </c>
      <c r="C474">
        <v>73.599999999999994</v>
      </c>
    </row>
    <row r="475" spans="1:3" x14ac:dyDescent="0.25">
      <c r="A475" s="2">
        <v>45637</v>
      </c>
      <c r="B475" t="s">
        <v>14</v>
      </c>
      <c r="C475">
        <v>74.245000000000005</v>
      </c>
    </row>
    <row r="476" spans="1:3" x14ac:dyDescent="0.25">
      <c r="A476" s="2">
        <v>45636</v>
      </c>
      <c r="B476" t="s">
        <v>14</v>
      </c>
      <c r="C476">
        <v>73.77</v>
      </c>
    </row>
    <row r="477" spans="1:3" x14ac:dyDescent="0.25">
      <c r="A477" s="2">
        <v>45635</v>
      </c>
      <c r="B477" t="s">
        <v>14</v>
      </c>
      <c r="C477">
        <v>73.67</v>
      </c>
    </row>
    <row r="478" spans="1:3" x14ac:dyDescent="0.25">
      <c r="A478" s="2">
        <v>45632</v>
      </c>
      <c r="B478" t="s">
        <v>14</v>
      </c>
      <c r="C478">
        <v>72.625</v>
      </c>
    </row>
    <row r="479" spans="1:3" x14ac:dyDescent="0.25">
      <c r="A479" s="2">
        <v>45631</v>
      </c>
      <c r="B479" t="s">
        <v>14</v>
      </c>
      <c r="C479">
        <v>73.754999999999995</v>
      </c>
    </row>
    <row r="480" spans="1:3" x14ac:dyDescent="0.25">
      <c r="A480" s="2">
        <v>45630</v>
      </c>
      <c r="B480" t="s">
        <v>14</v>
      </c>
      <c r="C480">
        <v>74.849999999999994</v>
      </c>
    </row>
    <row r="481" spans="1:3" x14ac:dyDescent="0.25">
      <c r="A481" s="2">
        <v>45629</v>
      </c>
      <c r="B481" t="s">
        <v>14</v>
      </c>
      <c r="C481">
        <v>74.995000000000005</v>
      </c>
    </row>
    <row r="482" spans="1:3" x14ac:dyDescent="0.25">
      <c r="A482" s="2">
        <v>45628</v>
      </c>
      <c r="B482" t="s">
        <v>14</v>
      </c>
      <c r="C482">
        <v>73.06</v>
      </c>
    </row>
    <row r="483" spans="1:3" x14ac:dyDescent="0.25">
      <c r="A483" s="2">
        <v>45625</v>
      </c>
      <c r="B483" t="s">
        <v>14</v>
      </c>
      <c r="C483">
        <v>74.265000000000001</v>
      </c>
    </row>
    <row r="484" spans="1:3" x14ac:dyDescent="0.25">
      <c r="A484" s="2">
        <v>45624</v>
      </c>
      <c r="B484" t="s">
        <v>14</v>
      </c>
      <c r="C484">
        <v>73.754999999999995</v>
      </c>
    </row>
    <row r="485" spans="1:3" x14ac:dyDescent="0.25">
      <c r="A485" s="2">
        <v>45623</v>
      </c>
      <c r="B485" t="s">
        <v>14</v>
      </c>
      <c r="C485">
        <v>73.900000000000006</v>
      </c>
    </row>
    <row r="486" spans="1:3" x14ac:dyDescent="0.25">
      <c r="A486" s="2">
        <v>45622</v>
      </c>
      <c r="B486" t="s">
        <v>14</v>
      </c>
      <c r="C486">
        <v>74.564999999999998</v>
      </c>
    </row>
    <row r="487" spans="1:3" x14ac:dyDescent="0.25">
      <c r="A487" s="2">
        <v>45621</v>
      </c>
      <c r="B487" t="s">
        <v>14</v>
      </c>
      <c r="C487">
        <v>74.28</v>
      </c>
    </row>
    <row r="488" spans="1:3" x14ac:dyDescent="0.25">
      <c r="A488" s="2">
        <v>45618</v>
      </c>
      <c r="B488" t="s">
        <v>14</v>
      </c>
      <c r="C488">
        <v>76.084999999999994</v>
      </c>
    </row>
    <row r="489" spans="1:3" x14ac:dyDescent="0.25">
      <c r="A489" s="2">
        <v>45617</v>
      </c>
      <c r="B489" t="s">
        <v>14</v>
      </c>
      <c r="C489">
        <v>75.16</v>
      </c>
    </row>
    <row r="490" spans="1:3" x14ac:dyDescent="0.25">
      <c r="A490" s="2">
        <v>45616</v>
      </c>
      <c r="B490" t="s">
        <v>14</v>
      </c>
      <c r="C490">
        <v>74.435000000000002</v>
      </c>
    </row>
    <row r="491" spans="1:3" x14ac:dyDescent="0.25">
      <c r="A491" s="2">
        <v>45615</v>
      </c>
      <c r="B491" t="s">
        <v>14</v>
      </c>
      <c r="C491">
        <v>73.97</v>
      </c>
    </row>
    <row r="492" spans="1:3" x14ac:dyDescent="0.25">
      <c r="A492" s="2">
        <v>45614</v>
      </c>
      <c r="B492" t="s">
        <v>14</v>
      </c>
      <c r="C492">
        <v>74.459999999999994</v>
      </c>
    </row>
    <row r="493" spans="1:3" x14ac:dyDescent="0.25">
      <c r="A493" s="2">
        <v>45611</v>
      </c>
      <c r="B493" t="s">
        <v>14</v>
      </c>
      <c r="C493">
        <v>73.435000000000002</v>
      </c>
    </row>
    <row r="494" spans="1:3" x14ac:dyDescent="0.25">
      <c r="A494" s="2">
        <v>45610</v>
      </c>
      <c r="B494" t="s">
        <v>14</v>
      </c>
      <c r="C494">
        <v>73.344999999999999</v>
      </c>
    </row>
    <row r="495" spans="1:3" x14ac:dyDescent="0.25">
      <c r="A495" s="2">
        <v>45609</v>
      </c>
      <c r="B495" t="s">
        <v>14</v>
      </c>
      <c r="C495">
        <v>73.540000000000006</v>
      </c>
    </row>
    <row r="496" spans="1:3" x14ac:dyDescent="0.25">
      <c r="A496" s="2">
        <v>45608</v>
      </c>
      <c r="B496" t="s">
        <v>14</v>
      </c>
      <c r="C496">
        <v>72.915000000000006</v>
      </c>
    </row>
    <row r="497" spans="1:3" x14ac:dyDescent="0.25">
      <c r="A497" s="2">
        <v>45607</v>
      </c>
      <c r="B497" t="s">
        <v>14</v>
      </c>
      <c r="C497">
        <v>72.37</v>
      </c>
    </row>
    <row r="498" spans="1:3" x14ac:dyDescent="0.25">
      <c r="A498" s="2">
        <v>45604</v>
      </c>
      <c r="B498" t="s">
        <v>14</v>
      </c>
      <c r="C498">
        <v>74.05</v>
      </c>
    </row>
    <row r="499" spans="1:3" x14ac:dyDescent="0.25">
      <c r="A499" s="2">
        <v>45603</v>
      </c>
      <c r="B499" t="s">
        <v>14</v>
      </c>
      <c r="C499">
        <v>75.62</v>
      </c>
    </row>
    <row r="500" spans="1:3" x14ac:dyDescent="0.25">
      <c r="A500" s="2">
        <v>45602</v>
      </c>
      <c r="B500" t="s">
        <v>14</v>
      </c>
      <c r="C500">
        <v>76.03</v>
      </c>
    </row>
    <row r="501" spans="1:3" x14ac:dyDescent="0.25">
      <c r="A501" s="2">
        <v>45601</v>
      </c>
      <c r="B501" t="s">
        <v>14</v>
      </c>
      <c r="C501">
        <v>76.775000000000006</v>
      </c>
    </row>
    <row r="502" spans="1:3" x14ac:dyDescent="0.25">
      <c r="A502" s="2">
        <v>45600</v>
      </c>
      <c r="B502" t="s">
        <v>14</v>
      </c>
      <c r="C502">
        <v>75.260000000000005</v>
      </c>
    </row>
    <row r="503" spans="1:3" x14ac:dyDescent="0.25">
      <c r="A503" s="2">
        <v>45597</v>
      </c>
      <c r="B503" t="s">
        <v>14</v>
      </c>
      <c r="C503">
        <v>74.08</v>
      </c>
    </row>
    <row r="504" spans="1:3" x14ac:dyDescent="0.25">
      <c r="A504" s="2">
        <v>45596</v>
      </c>
      <c r="B504" t="s">
        <v>14</v>
      </c>
      <c r="C504">
        <v>73.28</v>
      </c>
    </row>
    <row r="505" spans="1:3" x14ac:dyDescent="0.25">
      <c r="A505" s="2">
        <v>45595</v>
      </c>
      <c r="B505" t="s">
        <v>14</v>
      </c>
      <c r="C505">
        <v>73.03</v>
      </c>
    </row>
    <row r="506" spans="1:3" x14ac:dyDescent="0.25">
      <c r="A506" s="2">
        <v>45594</v>
      </c>
      <c r="B506" t="s">
        <v>14</v>
      </c>
      <c r="C506">
        <v>71.284999999999997</v>
      </c>
    </row>
    <row r="507" spans="1:3" x14ac:dyDescent="0.25">
      <c r="A507" s="2">
        <v>45593</v>
      </c>
      <c r="B507" t="s">
        <v>14</v>
      </c>
      <c r="C507">
        <v>72.16</v>
      </c>
    </row>
    <row r="508" spans="1:3" x14ac:dyDescent="0.25">
      <c r="A508" s="2">
        <v>45590</v>
      </c>
      <c r="B508" t="s">
        <v>14</v>
      </c>
      <c r="C508">
        <v>75.849999999999994</v>
      </c>
    </row>
    <row r="509" spans="1:3" x14ac:dyDescent="0.25">
      <c r="A509" s="2">
        <v>45589</v>
      </c>
      <c r="B509" t="s">
        <v>14</v>
      </c>
      <c r="C509">
        <v>74.569999999999993</v>
      </c>
    </row>
    <row r="510" spans="1:3" x14ac:dyDescent="0.25">
      <c r="A510" s="2">
        <v>45588</v>
      </c>
      <c r="B510" t="s">
        <v>14</v>
      </c>
      <c r="C510">
        <v>74.790000000000006</v>
      </c>
    </row>
    <row r="511" spans="1:3" x14ac:dyDescent="0.25">
      <c r="A511" s="2">
        <v>45587</v>
      </c>
      <c r="B511" t="s">
        <v>14</v>
      </c>
      <c r="C511">
        <v>75.795000000000002</v>
      </c>
    </row>
    <row r="512" spans="1:3" x14ac:dyDescent="0.25">
      <c r="A512" s="2">
        <v>45586</v>
      </c>
      <c r="B512" t="s">
        <v>14</v>
      </c>
      <c r="C512">
        <v>73.555000000000007</v>
      </c>
    </row>
    <row r="513" spans="1:3" x14ac:dyDescent="0.25">
      <c r="A513" s="2">
        <v>45583</v>
      </c>
      <c r="B513" t="s">
        <v>14</v>
      </c>
      <c r="C513">
        <v>72.59</v>
      </c>
    </row>
    <row r="514" spans="1:3" x14ac:dyDescent="0.25">
      <c r="A514" s="2">
        <v>45582</v>
      </c>
      <c r="B514" t="s">
        <v>14</v>
      </c>
      <c r="C514">
        <v>74.180000000000007</v>
      </c>
    </row>
    <row r="515" spans="1:3" x14ac:dyDescent="0.25">
      <c r="A515" s="2">
        <v>45581</v>
      </c>
      <c r="B515" t="s">
        <v>14</v>
      </c>
      <c r="C515">
        <v>74.055000000000007</v>
      </c>
    </row>
    <row r="516" spans="1:3" x14ac:dyDescent="0.25">
      <c r="A516" s="2">
        <v>45580</v>
      </c>
      <c r="B516" t="s">
        <v>14</v>
      </c>
      <c r="C516">
        <v>73.655000000000001</v>
      </c>
    </row>
    <row r="517" spans="1:3" x14ac:dyDescent="0.25">
      <c r="A517" s="2">
        <v>45579</v>
      </c>
      <c r="B517" t="s">
        <v>14</v>
      </c>
      <c r="C517">
        <v>77.930000000000007</v>
      </c>
    </row>
    <row r="518" spans="1:3" x14ac:dyDescent="0.25">
      <c r="A518" s="2">
        <v>45576</v>
      </c>
      <c r="B518" t="s">
        <v>14</v>
      </c>
      <c r="C518">
        <v>80.05</v>
      </c>
    </row>
    <row r="519" spans="1:3" x14ac:dyDescent="0.25">
      <c r="A519" s="2">
        <v>45575</v>
      </c>
      <c r="B519" t="s">
        <v>14</v>
      </c>
      <c r="C519">
        <v>79.224999999999994</v>
      </c>
    </row>
    <row r="520" spans="1:3" x14ac:dyDescent="0.25">
      <c r="A520" s="2">
        <v>45574</v>
      </c>
      <c r="B520" t="s">
        <v>14</v>
      </c>
      <c r="C520">
        <v>77.7</v>
      </c>
    </row>
    <row r="521" spans="1:3" x14ac:dyDescent="0.25">
      <c r="A521" s="2">
        <v>45573</v>
      </c>
      <c r="B521" t="s">
        <v>14</v>
      </c>
      <c r="C521">
        <v>77.87</v>
      </c>
    </row>
    <row r="522" spans="1:3" x14ac:dyDescent="0.25">
      <c r="A522" s="2">
        <v>45572</v>
      </c>
      <c r="B522" t="s">
        <v>14</v>
      </c>
      <c r="C522">
        <v>81.19</v>
      </c>
    </row>
    <row r="523" spans="1:3" x14ac:dyDescent="0.25">
      <c r="A523" s="2">
        <v>45569</v>
      </c>
      <c r="B523" t="s">
        <v>14</v>
      </c>
      <c r="C523">
        <v>79.400000000000006</v>
      </c>
    </row>
    <row r="524" spans="1:3" x14ac:dyDescent="0.25">
      <c r="A524" s="2">
        <v>45568</v>
      </c>
      <c r="B524" t="s">
        <v>14</v>
      </c>
      <c r="C524">
        <v>77.94</v>
      </c>
    </row>
    <row r="525" spans="1:3" x14ac:dyDescent="0.25">
      <c r="A525" s="2">
        <v>45567</v>
      </c>
      <c r="B525" t="s">
        <v>14</v>
      </c>
      <c r="C525">
        <v>74.775000000000006</v>
      </c>
    </row>
    <row r="526" spans="1:3" x14ac:dyDescent="0.25">
      <c r="A526" s="2">
        <v>45566</v>
      </c>
      <c r="B526" t="s">
        <v>14</v>
      </c>
      <c r="C526">
        <v>75.36</v>
      </c>
    </row>
    <row r="527" spans="1:3" x14ac:dyDescent="0.25">
      <c r="A527" s="2">
        <v>45565</v>
      </c>
      <c r="B527" t="s">
        <v>14</v>
      </c>
      <c r="C527">
        <v>72.894999999999996</v>
      </c>
    </row>
    <row r="528" spans="1:3" x14ac:dyDescent="0.25">
      <c r="A528" s="2">
        <v>45562</v>
      </c>
      <c r="B528" t="s">
        <v>14</v>
      </c>
      <c r="C528">
        <v>71.974999999999994</v>
      </c>
    </row>
    <row r="529" spans="1:3" x14ac:dyDescent="0.25">
      <c r="A529" s="2">
        <v>45561</v>
      </c>
      <c r="B529" t="s">
        <v>14</v>
      </c>
      <c r="C529">
        <v>72.489999999999995</v>
      </c>
    </row>
    <row r="530" spans="1:3" x14ac:dyDescent="0.25">
      <c r="A530" s="2">
        <v>45560</v>
      </c>
      <c r="B530" t="s">
        <v>14</v>
      </c>
      <c r="C530">
        <v>75.314999999999998</v>
      </c>
    </row>
    <row r="531" spans="1:3" x14ac:dyDescent="0.25">
      <c r="A531" s="2">
        <v>45559</v>
      </c>
      <c r="B531" t="s">
        <v>14</v>
      </c>
      <c r="C531">
        <v>75.765000000000001</v>
      </c>
    </row>
    <row r="532" spans="1:3" x14ac:dyDescent="0.25">
      <c r="A532" s="2">
        <v>45558</v>
      </c>
      <c r="B532" t="s">
        <v>14</v>
      </c>
      <c r="C532">
        <v>75.13</v>
      </c>
    </row>
    <row r="533" spans="1:3" x14ac:dyDescent="0.25">
      <c r="A533" s="2">
        <v>45555</v>
      </c>
      <c r="B533" t="s">
        <v>14</v>
      </c>
      <c r="C533">
        <v>76.075000000000003</v>
      </c>
    </row>
    <row r="534" spans="1:3" x14ac:dyDescent="0.25">
      <c r="A534" s="2">
        <v>45554</v>
      </c>
      <c r="B534" t="s">
        <v>14</v>
      </c>
      <c r="C534">
        <v>76.52</v>
      </c>
    </row>
    <row r="535" spans="1:3" x14ac:dyDescent="0.25">
      <c r="A535" s="2">
        <v>45553</v>
      </c>
      <c r="B535" t="s">
        <v>14</v>
      </c>
      <c r="C535">
        <v>75.075000000000003</v>
      </c>
    </row>
    <row r="536" spans="1:3" x14ac:dyDescent="0.25">
      <c r="A536" s="2">
        <v>45552</v>
      </c>
      <c r="B536" t="s">
        <v>14</v>
      </c>
      <c r="C536">
        <v>74.644999999999996</v>
      </c>
    </row>
    <row r="537" spans="1:3" x14ac:dyDescent="0.25">
      <c r="A537" s="2">
        <v>45551</v>
      </c>
      <c r="B537" t="s">
        <v>14</v>
      </c>
      <c r="C537">
        <v>73.834999999999994</v>
      </c>
    </row>
    <row r="538" spans="1:3" x14ac:dyDescent="0.25">
      <c r="A538" s="2">
        <v>45548</v>
      </c>
      <c r="B538" t="s">
        <v>14</v>
      </c>
      <c r="C538">
        <v>74.02</v>
      </c>
    </row>
    <row r="539" spans="1:3" x14ac:dyDescent="0.25">
      <c r="A539" s="2">
        <v>45547</v>
      </c>
      <c r="B539" t="s">
        <v>14</v>
      </c>
      <c r="C539">
        <v>74.599999999999994</v>
      </c>
    </row>
    <row r="540" spans="1:3" x14ac:dyDescent="0.25">
      <c r="A540" s="2">
        <v>45546</v>
      </c>
      <c r="B540" t="s">
        <v>14</v>
      </c>
      <c r="C540">
        <v>71.010000000000005</v>
      </c>
    </row>
    <row r="541" spans="1:3" x14ac:dyDescent="0.25">
      <c r="A541" s="2">
        <v>45545</v>
      </c>
      <c r="B541" t="s">
        <v>14</v>
      </c>
      <c r="C541">
        <v>70.685000000000002</v>
      </c>
    </row>
    <row r="542" spans="1:3" x14ac:dyDescent="0.25">
      <c r="A542" s="2">
        <v>45544</v>
      </c>
      <c r="B542" t="s">
        <v>14</v>
      </c>
      <c r="C542">
        <v>72.010000000000005</v>
      </c>
    </row>
    <row r="543" spans="1:3" x14ac:dyDescent="0.25">
      <c r="A543" s="2">
        <v>45541</v>
      </c>
      <c r="B543" t="s">
        <v>14</v>
      </c>
      <c r="C543">
        <v>72.734999999999999</v>
      </c>
    </row>
    <row r="544" spans="1:3" x14ac:dyDescent="0.25">
      <c r="A544" s="2">
        <v>45540</v>
      </c>
      <c r="B544" t="s">
        <v>14</v>
      </c>
      <c r="C544">
        <v>74.92</v>
      </c>
    </row>
    <row r="545" spans="1:3" x14ac:dyDescent="0.25">
      <c r="A545" s="2">
        <v>45539</v>
      </c>
      <c r="B545" t="s">
        <v>14</v>
      </c>
      <c r="C545">
        <v>75.084999999999994</v>
      </c>
    </row>
    <row r="546" spans="1:3" x14ac:dyDescent="0.25">
      <c r="A546" s="2">
        <v>45538</v>
      </c>
      <c r="B546" t="s">
        <v>14</v>
      </c>
      <c r="C546">
        <v>75.78</v>
      </c>
    </row>
    <row r="547" spans="1:3" x14ac:dyDescent="0.25">
      <c r="A547" s="2">
        <v>45537</v>
      </c>
      <c r="B547" t="s">
        <v>14</v>
      </c>
      <c r="C547">
        <v>79.584999999999994</v>
      </c>
    </row>
    <row r="548" spans="1:3" x14ac:dyDescent="0.25">
      <c r="A548" s="2">
        <v>45534</v>
      </c>
      <c r="B548" t="s">
        <v>14</v>
      </c>
      <c r="C548">
        <v>79.95</v>
      </c>
    </row>
    <row r="549" spans="1:3" x14ac:dyDescent="0.25">
      <c r="A549" s="2">
        <v>45533</v>
      </c>
      <c r="B549" t="s">
        <v>14</v>
      </c>
      <c r="C549">
        <v>82.424999999999997</v>
      </c>
    </row>
    <row r="550" spans="1:3" x14ac:dyDescent="0.25">
      <c r="A550" s="2">
        <v>45532</v>
      </c>
      <c r="B550" t="s">
        <v>14</v>
      </c>
      <c r="C550">
        <v>81.08</v>
      </c>
    </row>
    <row r="551" spans="1:3" x14ac:dyDescent="0.25">
      <c r="A551" s="2">
        <v>45531</v>
      </c>
      <c r="B551" t="s">
        <v>14</v>
      </c>
      <c r="C551">
        <v>82.314999999999998</v>
      </c>
    </row>
    <row r="552" spans="1:3" x14ac:dyDescent="0.25">
      <c r="A552" s="2">
        <v>45527</v>
      </c>
      <c r="B552" t="s">
        <v>14</v>
      </c>
      <c r="C552">
        <v>81.045000000000002</v>
      </c>
    </row>
    <row r="553" spans="1:3" x14ac:dyDescent="0.25">
      <c r="A553" s="2">
        <v>45526</v>
      </c>
      <c r="B553" t="s">
        <v>14</v>
      </c>
      <c r="C553">
        <v>79.614999999999995</v>
      </c>
    </row>
    <row r="554" spans="1:3" x14ac:dyDescent="0.25">
      <c r="A554" s="2">
        <v>45525</v>
      </c>
      <c r="B554" t="s">
        <v>14</v>
      </c>
      <c r="C554">
        <v>79.64</v>
      </c>
    </row>
    <row r="555" spans="1:3" x14ac:dyDescent="0.25">
      <c r="A555" s="2">
        <v>45524</v>
      </c>
      <c r="B555" t="s">
        <v>14</v>
      </c>
      <c r="C555">
        <v>79.484999999999999</v>
      </c>
    </row>
    <row r="556" spans="1:3" x14ac:dyDescent="0.25">
      <c r="A556" s="2">
        <v>45523</v>
      </c>
      <c r="B556" t="s">
        <v>14</v>
      </c>
      <c r="C556">
        <v>81.75</v>
      </c>
    </row>
    <row r="557" spans="1:3" x14ac:dyDescent="0.25">
      <c r="A557" s="2">
        <v>45520</v>
      </c>
      <c r="B557" t="s">
        <v>14</v>
      </c>
      <c r="C557">
        <v>82.265000000000001</v>
      </c>
    </row>
    <row r="558" spans="1:3" x14ac:dyDescent="0.25">
      <c r="A558" s="2">
        <v>45519</v>
      </c>
      <c r="B558" t="s">
        <v>14</v>
      </c>
      <c r="C558">
        <v>84.15</v>
      </c>
    </row>
    <row r="559" spans="1:3" x14ac:dyDescent="0.25">
      <c r="A559" s="2">
        <v>45518</v>
      </c>
      <c r="B559" t="s">
        <v>14</v>
      </c>
      <c r="C559">
        <v>82.864999999999995</v>
      </c>
    </row>
    <row r="560" spans="1:3" x14ac:dyDescent="0.25">
      <c r="A560" s="2">
        <v>45517</v>
      </c>
      <c r="B560" t="s">
        <v>14</v>
      </c>
      <c r="C560">
        <v>83.284999999999997</v>
      </c>
    </row>
    <row r="561" spans="1:3" x14ac:dyDescent="0.25">
      <c r="A561" s="2">
        <v>45516</v>
      </c>
      <c r="B561" t="s">
        <v>14</v>
      </c>
      <c r="C561">
        <v>83.165000000000006</v>
      </c>
    </row>
    <row r="562" spans="1:3" x14ac:dyDescent="0.25">
      <c r="A562" s="2">
        <v>45513</v>
      </c>
      <c r="B562" t="s">
        <v>14</v>
      </c>
      <c r="C562">
        <v>81.599999999999994</v>
      </c>
    </row>
    <row r="563" spans="1:3" x14ac:dyDescent="0.25">
      <c r="A563" s="2">
        <v>45512</v>
      </c>
      <c r="B563" t="s">
        <v>14</v>
      </c>
      <c r="C563">
        <v>80.495000000000005</v>
      </c>
    </row>
    <row r="564" spans="1:3" x14ac:dyDescent="0.25">
      <c r="A564" s="2">
        <v>45511</v>
      </c>
      <c r="B564" t="s">
        <v>14</v>
      </c>
      <c r="C564">
        <v>79.73</v>
      </c>
    </row>
    <row r="565" spans="1:3" x14ac:dyDescent="0.25">
      <c r="A565" s="2">
        <v>45510</v>
      </c>
      <c r="B565" t="s">
        <v>14</v>
      </c>
      <c r="C565">
        <v>76.28</v>
      </c>
    </row>
    <row r="566" spans="1:3" x14ac:dyDescent="0.25">
      <c r="A566" s="2">
        <v>45509</v>
      </c>
      <c r="B566" t="s">
        <v>14</v>
      </c>
      <c r="C566">
        <v>76.844999999999999</v>
      </c>
    </row>
    <row r="567" spans="1:3" x14ac:dyDescent="0.25">
      <c r="A567" s="2">
        <v>45506</v>
      </c>
      <c r="B567" t="s">
        <v>14</v>
      </c>
      <c r="C567">
        <v>78.209999999999994</v>
      </c>
    </row>
    <row r="568" spans="1:3" x14ac:dyDescent="0.25">
      <c r="A568" s="2">
        <v>45505</v>
      </c>
      <c r="B568" t="s">
        <v>14</v>
      </c>
      <c r="C568">
        <v>81.77</v>
      </c>
    </row>
    <row r="569" spans="1:3" x14ac:dyDescent="0.25">
      <c r="A569" s="2">
        <v>45504</v>
      </c>
      <c r="B569" t="s">
        <v>14</v>
      </c>
      <c r="C569">
        <v>81.484999999999999</v>
      </c>
    </row>
    <row r="570" spans="1:3" x14ac:dyDescent="0.25">
      <c r="A570" s="2">
        <v>45503</v>
      </c>
      <c r="B570" t="s">
        <v>14</v>
      </c>
      <c r="C570">
        <v>79.22</v>
      </c>
    </row>
    <row r="571" spans="1:3" x14ac:dyDescent="0.25">
      <c r="A571" s="2">
        <v>45502</v>
      </c>
      <c r="B571" t="s">
        <v>14</v>
      </c>
      <c r="C571">
        <v>80.84</v>
      </c>
    </row>
    <row r="572" spans="1:3" x14ac:dyDescent="0.25">
      <c r="A572" s="2">
        <v>45499</v>
      </c>
      <c r="B572" t="s">
        <v>14</v>
      </c>
      <c r="C572">
        <v>81.355000000000004</v>
      </c>
    </row>
    <row r="573" spans="1:3" x14ac:dyDescent="0.25">
      <c r="A573" s="2">
        <v>45498</v>
      </c>
      <c r="B573" t="s">
        <v>14</v>
      </c>
      <c r="C573">
        <v>82.745000000000005</v>
      </c>
    </row>
    <row r="574" spans="1:3" x14ac:dyDescent="0.25">
      <c r="A574" s="2">
        <v>45497</v>
      </c>
      <c r="B574" t="s">
        <v>14</v>
      </c>
      <c r="C574">
        <v>82.94</v>
      </c>
    </row>
    <row r="575" spans="1:3" x14ac:dyDescent="0.25">
      <c r="A575" s="2">
        <v>45496</v>
      </c>
      <c r="B575" t="s">
        <v>14</v>
      </c>
      <c r="C575">
        <v>82.09</v>
      </c>
    </row>
    <row r="576" spans="1:3" x14ac:dyDescent="0.25">
      <c r="A576" s="2">
        <v>45495</v>
      </c>
      <c r="B576" t="s">
        <v>14</v>
      </c>
      <c r="C576">
        <v>83.015000000000001</v>
      </c>
    </row>
    <row r="577" spans="1:3" x14ac:dyDescent="0.25">
      <c r="A577" s="2">
        <v>45492</v>
      </c>
      <c r="B577" t="s">
        <v>14</v>
      </c>
      <c r="C577">
        <v>85.305000000000007</v>
      </c>
    </row>
    <row r="578" spans="1:3" x14ac:dyDescent="0.25">
      <c r="A578" s="2">
        <v>45491</v>
      </c>
      <c r="B578" t="s">
        <v>14</v>
      </c>
      <c r="C578">
        <v>86.47</v>
      </c>
    </row>
    <row r="579" spans="1:3" x14ac:dyDescent="0.25">
      <c r="A579" s="2">
        <v>45490</v>
      </c>
      <c r="B579" t="s">
        <v>14</v>
      </c>
      <c r="C579">
        <v>86.194999999999993</v>
      </c>
    </row>
    <row r="580" spans="1:3" x14ac:dyDescent="0.25">
      <c r="A580" s="2">
        <v>45489</v>
      </c>
      <c r="B580" t="s">
        <v>14</v>
      </c>
      <c r="C580">
        <v>85.64</v>
      </c>
    </row>
    <row r="581" spans="1:3" x14ac:dyDescent="0.25">
      <c r="A581" s="2">
        <v>45488</v>
      </c>
      <c r="B581" t="s">
        <v>14</v>
      </c>
      <c r="C581">
        <v>86.594999999999999</v>
      </c>
    </row>
    <row r="582" spans="1:3" x14ac:dyDescent="0.25">
      <c r="A582" s="2">
        <v>45485</v>
      </c>
      <c r="B582" t="s">
        <v>14</v>
      </c>
      <c r="C582">
        <v>87.62</v>
      </c>
    </row>
    <row r="583" spans="1:3" x14ac:dyDescent="0.25">
      <c r="A583" s="2">
        <v>45484</v>
      </c>
      <c r="B583" t="s">
        <v>14</v>
      </c>
      <c r="C583">
        <v>87.23</v>
      </c>
    </row>
    <row r="584" spans="1:3" x14ac:dyDescent="0.25">
      <c r="A584" s="2">
        <v>45483</v>
      </c>
      <c r="B584" t="s">
        <v>14</v>
      </c>
      <c r="C584">
        <v>86.995000000000005</v>
      </c>
    </row>
    <row r="585" spans="1:3" x14ac:dyDescent="0.25">
      <c r="A585" s="2">
        <v>45482</v>
      </c>
      <c r="B585" t="s">
        <v>14</v>
      </c>
      <c r="C585">
        <v>86</v>
      </c>
    </row>
    <row r="586" spans="1:3" x14ac:dyDescent="0.25">
      <c r="A586" s="2">
        <v>45481</v>
      </c>
      <c r="B586" t="s">
        <v>14</v>
      </c>
      <c r="C586">
        <v>87.685000000000002</v>
      </c>
    </row>
    <row r="587" spans="1:3" x14ac:dyDescent="0.25">
      <c r="A587" s="2">
        <v>45478</v>
      </c>
      <c r="B587" t="s">
        <v>14</v>
      </c>
      <c r="C587">
        <v>89.105000000000004</v>
      </c>
    </row>
    <row r="588" spans="1:3" x14ac:dyDescent="0.25">
      <c r="A588" s="2">
        <v>45477</v>
      </c>
      <c r="B588" t="s">
        <v>14</v>
      </c>
      <c r="C588">
        <v>88.96</v>
      </c>
    </row>
    <row r="589" spans="1:3" x14ac:dyDescent="0.25">
      <c r="A589" s="2">
        <v>45476</v>
      </c>
      <c r="B589" t="s">
        <v>14</v>
      </c>
      <c r="C589">
        <v>87.665000000000006</v>
      </c>
    </row>
    <row r="590" spans="1:3" x14ac:dyDescent="0.25">
      <c r="A590" s="2">
        <v>45475</v>
      </c>
      <c r="B590" t="s">
        <v>14</v>
      </c>
      <c r="C590">
        <v>88.59</v>
      </c>
    </row>
    <row r="591" spans="1:3" x14ac:dyDescent="0.25">
      <c r="A591" s="2">
        <v>45474</v>
      </c>
      <c r="B591" t="s">
        <v>14</v>
      </c>
      <c r="C591">
        <v>88.06</v>
      </c>
    </row>
    <row r="592" spans="1:3" x14ac:dyDescent="0.25">
      <c r="A592" s="2">
        <v>45471</v>
      </c>
      <c r="B592" t="s">
        <v>14</v>
      </c>
      <c r="C592">
        <v>86.69</v>
      </c>
    </row>
    <row r="593" spans="1:3" x14ac:dyDescent="0.25">
      <c r="A593" s="2">
        <v>45470</v>
      </c>
      <c r="B593" t="s">
        <v>14</v>
      </c>
      <c r="C593">
        <v>87.21</v>
      </c>
    </row>
    <row r="594" spans="1:3" x14ac:dyDescent="0.25">
      <c r="A594" s="2">
        <v>45469</v>
      </c>
      <c r="B594" t="s">
        <v>14</v>
      </c>
      <c r="C594">
        <v>85.34</v>
      </c>
    </row>
    <row r="595" spans="1:3" x14ac:dyDescent="0.25">
      <c r="A595" s="2">
        <v>45468</v>
      </c>
      <c r="B595" t="s">
        <v>14</v>
      </c>
      <c r="C595">
        <v>86.7</v>
      </c>
    </row>
    <row r="596" spans="1:3" x14ac:dyDescent="0.25">
      <c r="A596" s="2">
        <v>45467</v>
      </c>
      <c r="B596" t="s">
        <v>14</v>
      </c>
      <c r="C596">
        <v>87.105000000000004</v>
      </c>
    </row>
    <row r="597" spans="1:3" x14ac:dyDescent="0.25">
      <c r="A597" s="2">
        <v>45464</v>
      </c>
      <c r="B597" t="s">
        <v>14</v>
      </c>
      <c r="C597">
        <v>86.62</v>
      </c>
    </row>
    <row r="598" spans="1:3" x14ac:dyDescent="0.25">
      <c r="A598" s="2">
        <v>45463</v>
      </c>
      <c r="B598" t="s">
        <v>14</v>
      </c>
      <c r="C598">
        <v>86.09</v>
      </c>
    </row>
    <row r="599" spans="1:3" x14ac:dyDescent="0.25">
      <c r="A599" s="2">
        <v>45462</v>
      </c>
      <c r="B599" t="s">
        <v>14</v>
      </c>
      <c r="C599">
        <v>86.19</v>
      </c>
    </row>
    <row r="600" spans="1:3" x14ac:dyDescent="0.25">
      <c r="A600" s="2">
        <v>45461</v>
      </c>
      <c r="B600" t="s">
        <v>14</v>
      </c>
      <c r="C600">
        <v>85.31</v>
      </c>
    </row>
    <row r="601" spans="1:3" x14ac:dyDescent="0.25">
      <c r="A601" s="2">
        <v>45460</v>
      </c>
      <c r="B601" t="s">
        <v>14</v>
      </c>
      <c r="C601">
        <v>83.314999999999998</v>
      </c>
    </row>
    <row r="602" spans="1:3" x14ac:dyDescent="0.25">
      <c r="A602" s="2">
        <v>45457</v>
      </c>
      <c r="B602" t="s">
        <v>14</v>
      </c>
      <c r="C602">
        <v>81.814999999999998</v>
      </c>
    </row>
    <row r="603" spans="1:3" x14ac:dyDescent="0.25">
      <c r="A603" s="2">
        <v>45456</v>
      </c>
      <c r="B603" t="s">
        <v>14</v>
      </c>
      <c r="C603">
        <v>81.635000000000005</v>
      </c>
    </row>
    <row r="604" spans="1:3" x14ac:dyDescent="0.25">
      <c r="A604" s="2">
        <v>45455</v>
      </c>
      <c r="B604" t="s">
        <v>14</v>
      </c>
      <c r="C604">
        <v>81.234999999999999</v>
      </c>
    </row>
    <row r="605" spans="1:3" x14ac:dyDescent="0.25">
      <c r="A605" s="2">
        <v>45454</v>
      </c>
      <c r="B605" t="s">
        <v>14</v>
      </c>
      <c r="C605">
        <v>80.61</v>
      </c>
    </row>
    <row r="606" spans="1:3" x14ac:dyDescent="0.25">
      <c r="A606" s="2">
        <v>45453</v>
      </c>
      <c r="B606" t="s">
        <v>14</v>
      </c>
      <c r="C606">
        <v>79.97</v>
      </c>
    </row>
    <row r="607" spans="1:3" x14ac:dyDescent="0.25">
      <c r="A607" s="2">
        <v>45450</v>
      </c>
      <c r="B607" t="s">
        <v>14</v>
      </c>
      <c r="C607">
        <v>78.305000000000007</v>
      </c>
    </row>
    <row r="608" spans="1:3" x14ac:dyDescent="0.25">
      <c r="A608" s="2">
        <v>45449</v>
      </c>
      <c r="B608" t="s">
        <v>14</v>
      </c>
      <c r="C608">
        <v>78.444999999999993</v>
      </c>
    </row>
    <row r="609" spans="1:3" x14ac:dyDescent="0.25">
      <c r="A609" s="2">
        <v>45448</v>
      </c>
      <c r="B609" t="s">
        <v>14</v>
      </c>
      <c r="C609">
        <v>75.864999999999995</v>
      </c>
    </row>
    <row r="610" spans="1:3" x14ac:dyDescent="0.25">
      <c r="A610" s="2">
        <v>45447</v>
      </c>
      <c r="B610" t="s">
        <v>14</v>
      </c>
      <c r="C610">
        <v>76.02</v>
      </c>
    </row>
    <row r="611" spans="1:3" x14ac:dyDescent="0.25">
      <c r="A611" s="2">
        <v>45446</v>
      </c>
      <c r="B611" t="s">
        <v>14</v>
      </c>
      <c r="C611">
        <v>76.635000000000005</v>
      </c>
    </row>
    <row r="612" spans="1:3" x14ac:dyDescent="0.25">
      <c r="A612" s="2">
        <v>45443</v>
      </c>
      <c r="B612" t="s">
        <v>14</v>
      </c>
      <c r="C612">
        <v>80.13</v>
      </c>
    </row>
    <row r="613" spans="1:3" x14ac:dyDescent="0.25">
      <c r="A613" s="2">
        <v>45442</v>
      </c>
      <c r="B613" t="s">
        <v>14</v>
      </c>
      <c r="C613">
        <v>81.14</v>
      </c>
    </row>
    <row r="614" spans="1:3" x14ac:dyDescent="0.25">
      <c r="A614" s="2">
        <v>45441</v>
      </c>
      <c r="B614" t="s">
        <v>14</v>
      </c>
      <c r="C614">
        <v>82.254999999999995</v>
      </c>
    </row>
    <row r="615" spans="1:3" x14ac:dyDescent="0.25">
      <c r="A615" s="2">
        <v>45440</v>
      </c>
      <c r="B615" t="s">
        <v>14</v>
      </c>
      <c r="C615">
        <v>82.49</v>
      </c>
    </row>
    <row r="616" spans="1:3" x14ac:dyDescent="0.25">
      <c r="A616" s="2">
        <v>45436</v>
      </c>
      <c r="B616" t="s">
        <v>14</v>
      </c>
      <c r="C616">
        <v>79.91</v>
      </c>
    </row>
    <row r="617" spans="1:3" x14ac:dyDescent="0.25">
      <c r="A617" s="2">
        <v>45435</v>
      </c>
      <c r="B617" t="s">
        <v>14</v>
      </c>
      <c r="C617">
        <v>79.685000000000002</v>
      </c>
    </row>
    <row r="618" spans="1:3" x14ac:dyDescent="0.25">
      <c r="A618" s="2">
        <v>45434</v>
      </c>
      <c r="B618" t="s">
        <v>14</v>
      </c>
      <c r="C618">
        <v>80.704999999999998</v>
      </c>
    </row>
    <row r="619" spans="1:3" x14ac:dyDescent="0.25">
      <c r="A619" s="2">
        <v>45433</v>
      </c>
      <c r="B619" t="s">
        <v>14</v>
      </c>
      <c r="C619">
        <v>81.53</v>
      </c>
    </row>
    <row r="620" spans="1:3" x14ac:dyDescent="0.25">
      <c r="A620" s="2">
        <v>45432</v>
      </c>
      <c r="B620" t="s">
        <v>14</v>
      </c>
      <c r="C620">
        <v>82.415000000000006</v>
      </c>
    </row>
    <row r="621" spans="1:3" x14ac:dyDescent="0.25">
      <c r="A621" s="2">
        <v>45429</v>
      </c>
      <c r="B621" t="s">
        <v>14</v>
      </c>
      <c r="C621">
        <v>82.135000000000005</v>
      </c>
    </row>
    <row r="622" spans="1:3" x14ac:dyDescent="0.25">
      <c r="A622" s="2">
        <v>45428</v>
      </c>
      <c r="B622" t="s">
        <v>14</v>
      </c>
      <c r="C622">
        <v>81.61</v>
      </c>
    </row>
    <row r="623" spans="1:3" x14ac:dyDescent="0.25">
      <c r="A623" s="2">
        <v>45427</v>
      </c>
      <c r="B623" t="s">
        <v>14</v>
      </c>
      <c r="C623">
        <v>81.31</v>
      </c>
    </row>
    <row r="624" spans="1:3" x14ac:dyDescent="0.25">
      <c r="A624" s="2">
        <v>45426</v>
      </c>
      <c r="B624" t="s">
        <v>14</v>
      </c>
      <c r="C624">
        <v>80.55</v>
      </c>
    </row>
    <row r="625" spans="1:3" x14ac:dyDescent="0.25">
      <c r="A625" s="2">
        <v>45425</v>
      </c>
      <c r="B625" t="s">
        <v>14</v>
      </c>
      <c r="C625">
        <v>82.114999999999995</v>
      </c>
    </row>
    <row r="626" spans="1:3" x14ac:dyDescent="0.25">
      <c r="A626" s="2">
        <v>45422</v>
      </c>
      <c r="B626" t="s">
        <v>14</v>
      </c>
      <c r="C626">
        <v>83.11</v>
      </c>
    </row>
    <row r="627" spans="1:3" x14ac:dyDescent="0.25">
      <c r="A627" s="2">
        <v>45421</v>
      </c>
      <c r="B627" t="s">
        <v>14</v>
      </c>
      <c r="C627">
        <v>83.24</v>
      </c>
    </row>
    <row r="628" spans="1:3" x14ac:dyDescent="0.25">
      <c r="A628" s="2">
        <v>45420</v>
      </c>
      <c r="B628" t="s">
        <v>14</v>
      </c>
      <c r="C628">
        <v>83.144999999999996</v>
      </c>
    </row>
    <row r="629" spans="1:3" x14ac:dyDescent="0.25">
      <c r="A629" s="2">
        <v>45419</v>
      </c>
      <c r="B629" t="s">
        <v>14</v>
      </c>
      <c r="C629">
        <v>82.09</v>
      </c>
    </row>
    <row r="630" spans="1:3" x14ac:dyDescent="0.25">
      <c r="A630" s="2">
        <v>45415</v>
      </c>
      <c r="B630" t="s">
        <v>14</v>
      </c>
      <c r="C630">
        <v>83.305000000000007</v>
      </c>
    </row>
    <row r="631" spans="1:3" x14ac:dyDescent="0.25">
      <c r="A631" s="2">
        <v>45414</v>
      </c>
      <c r="B631" t="s">
        <v>14</v>
      </c>
      <c r="C631">
        <v>83.924999999999997</v>
      </c>
    </row>
    <row r="632" spans="1:3" x14ac:dyDescent="0.25">
      <c r="A632" s="2">
        <v>45413</v>
      </c>
      <c r="B632" t="s">
        <v>14</v>
      </c>
      <c r="C632">
        <v>85.105000000000004</v>
      </c>
    </row>
    <row r="633" spans="1:3" x14ac:dyDescent="0.25">
      <c r="A633" s="2">
        <v>45412</v>
      </c>
      <c r="B633" t="s">
        <v>14</v>
      </c>
      <c r="C633">
        <v>87.86</v>
      </c>
    </row>
    <row r="634" spans="1:3" x14ac:dyDescent="0.25">
      <c r="A634" s="2">
        <v>45411</v>
      </c>
      <c r="B634" t="s">
        <v>14</v>
      </c>
      <c r="C634">
        <v>88.765000000000001</v>
      </c>
    </row>
    <row r="635" spans="1:3" x14ac:dyDescent="0.25">
      <c r="A635" s="2">
        <v>45408</v>
      </c>
      <c r="B635" t="s">
        <v>14</v>
      </c>
      <c r="C635">
        <v>89.84</v>
      </c>
    </row>
    <row r="636" spans="1:3" x14ac:dyDescent="0.25">
      <c r="A636" s="2">
        <v>45407</v>
      </c>
      <c r="B636" t="s">
        <v>14</v>
      </c>
      <c r="C636">
        <v>88.18</v>
      </c>
    </row>
    <row r="637" spans="1:3" x14ac:dyDescent="0.25">
      <c r="A637" s="2">
        <v>45406</v>
      </c>
      <c r="B637" t="s">
        <v>14</v>
      </c>
      <c r="C637">
        <v>88.84</v>
      </c>
    </row>
    <row r="638" spans="1:3" x14ac:dyDescent="0.25">
      <c r="A638" s="2">
        <v>45405</v>
      </c>
      <c r="B638" t="s">
        <v>14</v>
      </c>
      <c r="C638">
        <v>88.55</v>
      </c>
    </row>
    <row r="639" spans="1:3" x14ac:dyDescent="0.25">
      <c r="A639" s="2">
        <v>45404</v>
      </c>
      <c r="B639" t="s">
        <v>14</v>
      </c>
      <c r="C639">
        <v>87.484999999999999</v>
      </c>
    </row>
    <row r="640" spans="1:3" x14ac:dyDescent="0.25">
      <c r="A640" s="2">
        <v>45401</v>
      </c>
      <c r="B640" t="s">
        <v>14</v>
      </c>
      <c r="C640">
        <v>88.025000000000006</v>
      </c>
    </row>
    <row r="641" spans="1:3" x14ac:dyDescent="0.25">
      <c r="A641" s="2">
        <v>45400</v>
      </c>
      <c r="B641" t="s">
        <v>14</v>
      </c>
      <c r="C641">
        <v>88.01</v>
      </c>
    </row>
    <row r="642" spans="1:3" x14ac:dyDescent="0.25">
      <c r="A642" s="2">
        <v>45399</v>
      </c>
      <c r="B642" t="s">
        <v>14</v>
      </c>
      <c r="C642">
        <v>89.65</v>
      </c>
    </row>
    <row r="643" spans="1:3" x14ac:dyDescent="0.25">
      <c r="A643" s="2">
        <v>45398</v>
      </c>
      <c r="B643" t="s">
        <v>14</v>
      </c>
      <c r="C643">
        <v>91.314999999999998</v>
      </c>
    </row>
    <row r="644" spans="1:3" x14ac:dyDescent="0.25">
      <c r="A644" s="2">
        <v>45397</v>
      </c>
      <c r="B644" t="s">
        <v>14</v>
      </c>
      <c r="C644">
        <v>90.51</v>
      </c>
    </row>
    <row r="645" spans="1:3" x14ac:dyDescent="0.25">
      <c r="A645" s="2">
        <v>45394</v>
      </c>
      <c r="B645" t="s">
        <v>14</v>
      </c>
      <c r="C645">
        <v>93.31</v>
      </c>
    </row>
    <row r="646" spans="1:3" x14ac:dyDescent="0.25">
      <c r="A646" s="2">
        <v>45393</v>
      </c>
      <c r="B646" t="s">
        <v>14</v>
      </c>
      <c r="C646">
        <v>91.715000000000003</v>
      </c>
    </row>
    <row r="647" spans="1:3" x14ac:dyDescent="0.25">
      <c r="A647" s="2">
        <v>45392</v>
      </c>
      <c r="B647" t="s">
        <v>14</v>
      </c>
      <c r="C647">
        <v>91.17</v>
      </c>
    </row>
    <row r="648" spans="1:3" x14ac:dyDescent="0.25">
      <c r="A648" s="2">
        <v>45391</v>
      </c>
      <c r="B648" t="s">
        <v>14</v>
      </c>
      <c r="C648">
        <v>91.894999999999996</v>
      </c>
    </row>
    <row r="649" spans="1:3" x14ac:dyDescent="0.25">
      <c r="A649" s="2">
        <v>45390</v>
      </c>
      <c r="B649" t="s">
        <v>14</v>
      </c>
      <c r="C649">
        <v>92.16</v>
      </c>
    </row>
    <row r="650" spans="1:3" x14ac:dyDescent="0.25">
      <c r="A650" s="2">
        <v>45387</v>
      </c>
      <c r="B650" t="s">
        <v>14</v>
      </c>
      <c r="C650">
        <v>93.31</v>
      </c>
    </row>
    <row r="651" spans="1:3" x14ac:dyDescent="0.25">
      <c r="A651" s="2">
        <v>45386</v>
      </c>
      <c r="B651" t="s">
        <v>14</v>
      </c>
      <c r="C651">
        <v>90.314999999999998</v>
      </c>
    </row>
    <row r="652" spans="1:3" x14ac:dyDescent="0.25">
      <c r="A652" s="2">
        <v>45385</v>
      </c>
      <c r="B652" t="s">
        <v>14</v>
      </c>
      <c r="C652">
        <v>91.05</v>
      </c>
    </row>
    <row r="653" spans="1:3" x14ac:dyDescent="0.25">
      <c r="A653" s="2">
        <v>45384</v>
      </c>
      <c r="B653" t="s">
        <v>14</v>
      </c>
      <c r="C653">
        <v>89.83</v>
      </c>
    </row>
    <row r="654" spans="1:3" x14ac:dyDescent="0.25">
      <c r="A654" s="2">
        <v>45379</v>
      </c>
      <c r="B654" t="s">
        <v>14</v>
      </c>
      <c r="C654">
        <v>86.96</v>
      </c>
    </row>
    <row r="655" spans="1:3" x14ac:dyDescent="0.25">
      <c r="A655" s="2">
        <v>45378</v>
      </c>
      <c r="B655" t="s">
        <v>14</v>
      </c>
      <c r="C655">
        <v>85.144999999999996</v>
      </c>
    </row>
    <row r="656" spans="1:3" x14ac:dyDescent="0.25">
      <c r="A656" s="2">
        <v>45377</v>
      </c>
      <c r="B656" t="s">
        <v>14</v>
      </c>
      <c r="C656">
        <v>85.954999999999998</v>
      </c>
    </row>
    <row r="657" spans="1:3" x14ac:dyDescent="0.25">
      <c r="A657" s="2">
        <v>45376</v>
      </c>
      <c r="B657" t="s">
        <v>14</v>
      </c>
      <c r="C657">
        <v>86.36</v>
      </c>
    </row>
    <row r="658" spans="1:3" x14ac:dyDescent="0.25">
      <c r="A658" s="2">
        <v>45373</v>
      </c>
      <c r="B658" t="s">
        <v>14</v>
      </c>
      <c r="C658">
        <v>84.864999999999995</v>
      </c>
    </row>
    <row r="659" spans="1:3" x14ac:dyDescent="0.25">
      <c r="A659" s="2">
        <v>45372</v>
      </c>
      <c r="B659" t="s">
        <v>14</v>
      </c>
      <c r="C659">
        <v>85.174999999999997</v>
      </c>
    </row>
    <row r="660" spans="1:3" x14ac:dyDescent="0.25">
      <c r="A660" s="2">
        <v>45371</v>
      </c>
      <c r="B660" t="s">
        <v>14</v>
      </c>
      <c r="C660">
        <v>85.415000000000006</v>
      </c>
    </row>
    <row r="661" spans="1:3" x14ac:dyDescent="0.25">
      <c r="A661" s="2">
        <v>45370</v>
      </c>
      <c r="B661" t="s">
        <v>14</v>
      </c>
      <c r="C661">
        <v>87.23</v>
      </c>
    </row>
    <row r="662" spans="1:3" x14ac:dyDescent="0.25">
      <c r="A662" s="2">
        <v>45369</v>
      </c>
      <c r="B662" t="s">
        <v>14</v>
      </c>
      <c r="C662">
        <v>86.23</v>
      </c>
    </row>
    <row r="663" spans="1:3" x14ac:dyDescent="0.25">
      <c r="A663" s="2">
        <v>45366</v>
      </c>
      <c r="B663" t="s">
        <v>14</v>
      </c>
      <c r="C663">
        <v>85.344999999999999</v>
      </c>
    </row>
    <row r="664" spans="1:3" x14ac:dyDescent="0.25">
      <c r="A664" s="2">
        <v>45365</v>
      </c>
      <c r="B664" t="s">
        <v>14</v>
      </c>
      <c r="C664">
        <v>85.51</v>
      </c>
    </row>
    <row r="665" spans="1:3" x14ac:dyDescent="0.25">
      <c r="A665" s="2">
        <v>45364</v>
      </c>
      <c r="B665" t="s">
        <v>14</v>
      </c>
      <c r="C665">
        <v>84.435000000000002</v>
      </c>
    </row>
    <row r="666" spans="1:3" x14ac:dyDescent="0.25">
      <c r="A666" s="2">
        <v>45363</v>
      </c>
      <c r="B666" t="s">
        <v>14</v>
      </c>
      <c r="C666">
        <v>83.474999999999994</v>
      </c>
    </row>
    <row r="667" spans="1:3" x14ac:dyDescent="0.25">
      <c r="A667" s="2">
        <v>45362</v>
      </c>
      <c r="B667" t="s">
        <v>14</v>
      </c>
      <c r="C667">
        <v>83.875</v>
      </c>
    </row>
    <row r="668" spans="1:3" x14ac:dyDescent="0.25">
      <c r="A668" s="2">
        <v>45359</v>
      </c>
      <c r="B668" t="s">
        <v>14</v>
      </c>
      <c r="C668">
        <v>83.665000000000006</v>
      </c>
    </row>
    <row r="669" spans="1:3" x14ac:dyDescent="0.25">
      <c r="A669" s="2">
        <v>45358</v>
      </c>
      <c r="B669" t="s">
        <v>14</v>
      </c>
      <c r="C669">
        <v>84.8</v>
      </c>
    </row>
    <row r="670" spans="1:3" x14ac:dyDescent="0.25">
      <c r="A670" s="2">
        <v>45357</v>
      </c>
      <c r="B670" t="s">
        <v>14</v>
      </c>
      <c r="C670">
        <v>86.31</v>
      </c>
    </row>
    <row r="671" spans="1:3" x14ac:dyDescent="0.25">
      <c r="A671" s="2">
        <v>45356</v>
      </c>
      <c r="B671" t="s">
        <v>14</v>
      </c>
      <c r="C671">
        <v>85.21</v>
      </c>
    </row>
    <row r="672" spans="1:3" x14ac:dyDescent="0.25">
      <c r="A672" s="2">
        <v>45355</v>
      </c>
      <c r="B672" t="s">
        <v>14</v>
      </c>
      <c r="C672">
        <v>86.174999999999997</v>
      </c>
    </row>
    <row r="673" spans="1:3" x14ac:dyDescent="0.25">
      <c r="A673" s="2">
        <v>45352</v>
      </c>
      <c r="B673" t="s">
        <v>14</v>
      </c>
      <c r="C673">
        <v>87.385000000000005</v>
      </c>
    </row>
    <row r="674" spans="1:3" x14ac:dyDescent="0.25">
      <c r="A674" s="2">
        <v>45351</v>
      </c>
      <c r="B674" t="s">
        <v>14</v>
      </c>
      <c r="C674">
        <v>84.55</v>
      </c>
    </row>
    <row r="675" spans="1:3" x14ac:dyDescent="0.25">
      <c r="A675" s="2">
        <v>45350</v>
      </c>
      <c r="B675" t="s">
        <v>14</v>
      </c>
      <c r="C675">
        <v>83.55</v>
      </c>
    </row>
    <row r="676" spans="1:3" x14ac:dyDescent="0.25">
      <c r="A676" s="2">
        <v>45349</v>
      </c>
      <c r="B676" t="s">
        <v>14</v>
      </c>
      <c r="C676">
        <v>84.01</v>
      </c>
    </row>
    <row r="677" spans="1:3" x14ac:dyDescent="0.25">
      <c r="A677" s="2">
        <v>45348</v>
      </c>
      <c r="B677" t="s">
        <v>14</v>
      </c>
      <c r="C677">
        <v>82.99</v>
      </c>
    </row>
    <row r="678" spans="1:3" x14ac:dyDescent="0.25">
      <c r="A678" s="2">
        <v>45345</v>
      </c>
      <c r="B678" t="s">
        <v>14</v>
      </c>
      <c r="C678">
        <v>83.55</v>
      </c>
    </row>
    <row r="679" spans="1:3" x14ac:dyDescent="0.25">
      <c r="A679" s="2">
        <v>45344</v>
      </c>
      <c r="B679" t="s">
        <v>14</v>
      </c>
      <c r="C679">
        <v>85.504999999999995</v>
      </c>
    </row>
    <row r="680" spans="1:3" x14ac:dyDescent="0.25">
      <c r="A680" s="2">
        <v>45343</v>
      </c>
      <c r="B680" t="s">
        <v>14</v>
      </c>
      <c r="C680">
        <v>85.385000000000005</v>
      </c>
    </row>
    <row r="681" spans="1:3" x14ac:dyDescent="0.25">
      <c r="A681" s="2">
        <v>45342</v>
      </c>
      <c r="B681" t="s">
        <v>14</v>
      </c>
      <c r="C681">
        <v>84.82</v>
      </c>
    </row>
    <row r="682" spans="1:3" x14ac:dyDescent="0.25">
      <c r="A682" s="2">
        <v>45341</v>
      </c>
      <c r="B682" t="s">
        <v>14</v>
      </c>
      <c r="C682">
        <v>86.41</v>
      </c>
    </row>
    <row r="683" spans="1:3" x14ac:dyDescent="0.25">
      <c r="A683" s="2">
        <v>45338</v>
      </c>
      <c r="B683" t="s">
        <v>14</v>
      </c>
      <c r="C683">
        <v>86.094999999999999</v>
      </c>
    </row>
    <row r="684" spans="1:3" x14ac:dyDescent="0.25">
      <c r="A684" s="2">
        <v>45337</v>
      </c>
      <c r="B684" t="s">
        <v>14</v>
      </c>
      <c r="C684">
        <v>85.305000000000007</v>
      </c>
    </row>
    <row r="685" spans="1:3" x14ac:dyDescent="0.25">
      <c r="A685" s="2">
        <v>45336</v>
      </c>
      <c r="B685" t="s">
        <v>14</v>
      </c>
      <c r="C685">
        <v>84.81</v>
      </c>
    </row>
    <row r="686" spans="1:3" x14ac:dyDescent="0.25">
      <c r="A686" s="2">
        <v>45335</v>
      </c>
      <c r="B686" t="s">
        <v>14</v>
      </c>
      <c r="C686">
        <v>85.77</v>
      </c>
    </row>
    <row r="687" spans="1:3" x14ac:dyDescent="0.25">
      <c r="A687" s="2">
        <v>45334</v>
      </c>
      <c r="B687" t="s">
        <v>14</v>
      </c>
      <c r="C687">
        <v>84.375</v>
      </c>
    </row>
    <row r="688" spans="1:3" x14ac:dyDescent="0.25">
      <c r="A688" s="2">
        <v>45331</v>
      </c>
      <c r="B688" t="s">
        <v>14</v>
      </c>
      <c r="C688">
        <v>84.65</v>
      </c>
    </row>
    <row r="689" spans="1:3" x14ac:dyDescent="0.25">
      <c r="A689" s="2">
        <v>45330</v>
      </c>
      <c r="B689" t="s">
        <v>14</v>
      </c>
      <c r="C689">
        <v>84.2</v>
      </c>
    </row>
    <row r="690" spans="1:3" x14ac:dyDescent="0.25">
      <c r="A690" s="2">
        <v>45329</v>
      </c>
      <c r="B690" t="s">
        <v>14</v>
      </c>
      <c r="C690">
        <v>81.400000000000006</v>
      </c>
    </row>
    <row r="691" spans="1:3" x14ac:dyDescent="0.25">
      <c r="A691" s="2">
        <v>45328</v>
      </c>
      <c r="B691" t="s">
        <v>14</v>
      </c>
      <c r="C691">
        <v>80.724999999999994</v>
      </c>
    </row>
    <row r="692" spans="1:3" x14ac:dyDescent="0.25">
      <c r="A692" s="2">
        <v>45327</v>
      </c>
      <c r="B692" t="s">
        <v>14</v>
      </c>
      <c r="C692">
        <v>78.989999999999995</v>
      </c>
    </row>
    <row r="693" spans="1:3" x14ac:dyDescent="0.25">
      <c r="A693" s="2">
        <v>45324</v>
      </c>
      <c r="B693" t="s">
        <v>14</v>
      </c>
      <c r="C693">
        <v>78.894999999999996</v>
      </c>
    </row>
    <row r="694" spans="1:3" x14ac:dyDescent="0.25">
      <c r="A694" s="2">
        <v>45323</v>
      </c>
      <c r="B694" t="s">
        <v>14</v>
      </c>
      <c r="C694">
        <v>83.06</v>
      </c>
    </row>
    <row r="695" spans="1:3" x14ac:dyDescent="0.25">
      <c r="A695" s="2">
        <v>45322</v>
      </c>
      <c r="B695" t="s">
        <v>14</v>
      </c>
      <c r="C695">
        <v>82.74</v>
      </c>
    </row>
    <row r="696" spans="1:3" x14ac:dyDescent="0.25">
      <c r="A696" s="2">
        <v>45321</v>
      </c>
      <c r="B696" t="s">
        <v>14</v>
      </c>
      <c r="C696">
        <v>84.125</v>
      </c>
    </row>
    <row r="697" spans="1:3" x14ac:dyDescent="0.25">
      <c r="A697" s="2">
        <v>45320</v>
      </c>
      <c r="B697" t="s">
        <v>14</v>
      </c>
      <c r="C697">
        <v>83.935000000000002</v>
      </c>
    </row>
    <row r="698" spans="1:3" x14ac:dyDescent="0.25">
      <c r="A698" s="2">
        <v>45317</v>
      </c>
      <c r="B698" t="s">
        <v>14</v>
      </c>
      <c r="C698">
        <v>83.28</v>
      </c>
    </row>
    <row r="699" spans="1:3" x14ac:dyDescent="0.25">
      <c r="A699" s="2">
        <v>45316</v>
      </c>
      <c r="B699" t="s">
        <v>14</v>
      </c>
      <c r="C699">
        <v>83.13</v>
      </c>
    </row>
    <row r="700" spans="1:3" x14ac:dyDescent="0.25">
      <c r="A700" s="2">
        <v>45315</v>
      </c>
      <c r="B700" t="s">
        <v>14</v>
      </c>
      <c r="C700">
        <v>81.954999999999998</v>
      </c>
    </row>
    <row r="701" spans="1:3" x14ac:dyDescent="0.25">
      <c r="A701" s="2">
        <v>45314</v>
      </c>
      <c r="B701" t="s">
        <v>14</v>
      </c>
      <c r="C701">
        <v>82.105000000000004</v>
      </c>
    </row>
    <row r="702" spans="1:3" x14ac:dyDescent="0.25">
      <c r="A702" s="2">
        <v>45313</v>
      </c>
      <c r="B702" t="s">
        <v>14</v>
      </c>
      <c r="C702">
        <v>82.08</v>
      </c>
    </row>
    <row r="703" spans="1:3" x14ac:dyDescent="0.25">
      <c r="A703" s="2">
        <v>45310</v>
      </c>
      <c r="B703" t="s">
        <v>14</v>
      </c>
      <c r="C703">
        <v>81.09</v>
      </c>
    </row>
    <row r="704" spans="1:3" x14ac:dyDescent="0.25">
      <c r="A704" s="2">
        <v>45309</v>
      </c>
      <c r="B704" t="s">
        <v>14</v>
      </c>
      <c r="C704">
        <v>80.819999999999993</v>
      </c>
    </row>
    <row r="705" spans="1:3" x14ac:dyDescent="0.25">
      <c r="A705" s="2">
        <v>45308</v>
      </c>
      <c r="B705" t="s">
        <v>14</v>
      </c>
      <c r="C705">
        <v>79.38</v>
      </c>
    </row>
    <row r="706" spans="1:3" x14ac:dyDescent="0.25">
      <c r="A706" s="2">
        <v>45307</v>
      </c>
      <c r="B706" t="s">
        <v>14</v>
      </c>
      <c r="C706">
        <v>79.8</v>
      </c>
    </row>
    <row r="707" spans="1:3" x14ac:dyDescent="0.25">
      <c r="A707" s="2">
        <v>45306</v>
      </c>
      <c r="B707" t="s">
        <v>14</v>
      </c>
      <c r="C707">
        <v>79.075000000000003</v>
      </c>
    </row>
    <row r="708" spans="1:3" x14ac:dyDescent="0.25">
      <c r="A708" s="2">
        <v>45303</v>
      </c>
      <c r="B708" t="s">
        <v>14</v>
      </c>
      <c r="C708">
        <v>80.015000000000001</v>
      </c>
    </row>
    <row r="709" spans="1:3" x14ac:dyDescent="0.25">
      <c r="A709" s="2">
        <v>45302</v>
      </c>
      <c r="B709" t="s">
        <v>14</v>
      </c>
      <c r="C709">
        <v>80.495000000000005</v>
      </c>
    </row>
    <row r="710" spans="1:3" x14ac:dyDescent="0.25">
      <c r="A710" s="2">
        <v>45301</v>
      </c>
      <c r="B710" t="s">
        <v>14</v>
      </c>
      <c r="C710">
        <v>78.665000000000006</v>
      </c>
    </row>
    <row r="711" spans="1:3" x14ac:dyDescent="0.25">
      <c r="A711" s="2">
        <v>45300</v>
      </c>
      <c r="B711" t="s">
        <v>14</v>
      </c>
      <c r="C711">
        <v>78.92</v>
      </c>
    </row>
    <row r="712" spans="1:3" x14ac:dyDescent="0.25">
      <c r="A712" s="2">
        <v>45299</v>
      </c>
      <c r="B712" t="s">
        <v>14</v>
      </c>
      <c r="C712">
        <v>75.760000000000005</v>
      </c>
    </row>
    <row r="713" spans="1:3" x14ac:dyDescent="0.25">
      <c r="A713" s="2">
        <v>45296</v>
      </c>
      <c r="B713" t="s">
        <v>14</v>
      </c>
      <c r="C713">
        <v>78.855000000000004</v>
      </c>
    </row>
    <row r="714" spans="1:3" x14ac:dyDescent="0.25">
      <c r="A714" s="2">
        <v>45295</v>
      </c>
      <c r="B714" t="s">
        <v>14</v>
      </c>
      <c r="C714">
        <v>75.805000000000007</v>
      </c>
    </row>
    <row r="715" spans="1:3" x14ac:dyDescent="0.25">
      <c r="A715" s="2">
        <v>45294</v>
      </c>
      <c r="B715" t="s">
        <v>14</v>
      </c>
      <c r="C715">
        <v>77.13</v>
      </c>
    </row>
    <row r="716" spans="1:3" x14ac:dyDescent="0.25">
      <c r="A716" s="2">
        <v>45293</v>
      </c>
      <c r="B716" t="s">
        <v>14</v>
      </c>
      <c r="C716">
        <v>75.844999999999999</v>
      </c>
    </row>
    <row r="717" spans="1:3" x14ac:dyDescent="0.25">
      <c r="A717" s="2">
        <v>45289</v>
      </c>
      <c r="B717" t="s">
        <v>14</v>
      </c>
      <c r="C717">
        <v>77.599999999999994</v>
      </c>
    </row>
    <row r="718" spans="1:3" x14ac:dyDescent="0.25">
      <c r="A718" s="2">
        <v>45288</v>
      </c>
      <c r="B718" t="s">
        <v>14</v>
      </c>
      <c r="C718">
        <v>79.06</v>
      </c>
    </row>
    <row r="719" spans="1:3" x14ac:dyDescent="0.25">
      <c r="A719" s="2">
        <v>45287</v>
      </c>
      <c r="B719" t="s">
        <v>14</v>
      </c>
      <c r="C719">
        <v>80.92</v>
      </c>
    </row>
    <row r="720" spans="1:3" x14ac:dyDescent="0.25">
      <c r="A720" s="2">
        <v>45282</v>
      </c>
      <c r="B720" t="s">
        <v>14</v>
      </c>
      <c r="C720">
        <v>80.724999999999994</v>
      </c>
    </row>
    <row r="721" spans="1:3" x14ac:dyDescent="0.25">
      <c r="A721" s="2">
        <v>45281</v>
      </c>
      <c r="B721" t="s">
        <v>14</v>
      </c>
      <c r="C721">
        <v>80.56</v>
      </c>
    </row>
    <row r="722" spans="1:3" x14ac:dyDescent="0.25">
      <c r="A722" s="2">
        <v>45280</v>
      </c>
      <c r="B722" t="s">
        <v>14</v>
      </c>
      <c r="C722">
        <v>81.540000000000006</v>
      </c>
    </row>
    <row r="723" spans="1:3" x14ac:dyDescent="0.25">
      <c r="A723" s="2">
        <v>45279</v>
      </c>
      <c r="B723" t="s">
        <v>14</v>
      </c>
      <c r="C723">
        <v>80.064999999999998</v>
      </c>
    </row>
    <row r="724" spans="1:3" x14ac:dyDescent="0.25">
      <c r="A724" s="2">
        <v>45278</v>
      </c>
      <c r="B724" t="s">
        <v>14</v>
      </c>
      <c r="C724">
        <v>79.09</v>
      </c>
    </row>
    <row r="725" spans="1:3" x14ac:dyDescent="0.25">
      <c r="A725" s="2">
        <v>45275</v>
      </c>
      <c r="B725" t="s">
        <v>14</v>
      </c>
      <c r="C725">
        <v>77.034999999999997</v>
      </c>
    </row>
    <row r="726" spans="1:3" x14ac:dyDescent="0.25">
      <c r="A726" s="2">
        <v>45274</v>
      </c>
      <c r="B726" t="s">
        <v>14</v>
      </c>
      <c r="C726">
        <v>77.27</v>
      </c>
    </row>
    <row r="727" spans="1:3" x14ac:dyDescent="0.25">
      <c r="A727" s="2">
        <v>45273</v>
      </c>
      <c r="B727" t="s">
        <v>14</v>
      </c>
      <c r="C727">
        <v>74.069999999999993</v>
      </c>
    </row>
    <row r="728" spans="1:3" x14ac:dyDescent="0.25">
      <c r="A728" s="2">
        <v>45272</v>
      </c>
      <c r="B728" t="s">
        <v>14</v>
      </c>
      <c r="C728">
        <v>73.5</v>
      </c>
    </row>
    <row r="729" spans="1:3" x14ac:dyDescent="0.25">
      <c r="A729" s="2">
        <v>45271</v>
      </c>
      <c r="B729" t="s">
        <v>14</v>
      </c>
      <c r="C729">
        <v>75.849999999999994</v>
      </c>
    </row>
    <row r="730" spans="1:3" x14ac:dyDescent="0.25">
      <c r="A730" s="2">
        <v>45268</v>
      </c>
      <c r="B730" t="s">
        <v>14</v>
      </c>
      <c r="C730">
        <v>75.784999999999997</v>
      </c>
    </row>
    <row r="731" spans="1:3" x14ac:dyDescent="0.25">
      <c r="A731" s="2">
        <v>45267</v>
      </c>
      <c r="B731" t="s">
        <v>14</v>
      </c>
      <c r="C731">
        <v>74.314999999999998</v>
      </c>
    </row>
    <row r="732" spans="1:3" x14ac:dyDescent="0.25">
      <c r="A732" s="2">
        <v>45266</v>
      </c>
      <c r="B732" t="s">
        <v>14</v>
      </c>
      <c r="C732">
        <v>74.665000000000006</v>
      </c>
    </row>
    <row r="733" spans="1:3" x14ac:dyDescent="0.25">
      <c r="A733" s="2">
        <v>45265</v>
      </c>
      <c r="B733" t="s">
        <v>14</v>
      </c>
      <c r="C733">
        <v>78.040000000000006</v>
      </c>
    </row>
    <row r="734" spans="1:3" x14ac:dyDescent="0.25">
      <c r="A734" s="2">
        <v>45264</v>
      </c>
      <c r="B734" t="s">
        <v>14</v>
      </c>
      <c r="C734">
        <v>78.204999999999998</v>
      </c>
    </row>
    <row r="735" spans="1:3" x14ac:dyDescent="0.25">
      <c r="A735" s="2">
        <v>45261</v>
      </c>
      <c r="B735" t="s">
        <v>14</v>
      </c>
      <c r="C735">
        <v>81.010000000000005</v>
      </c>
    </row>
    <row r="736" spans="1:3" x14ac:dyDescent="0.25">
      <c r="A736" s="2">
        <v>45260</v>
      </c>
      <c r="B736" t="s">
        <v>14</v>
      </c>
      <c r="C736">
        <v>80.599999999999994</v>
      </c>
    </row>
    <row r="737" spans="1:3" x14ac:dyDescent="0.25">
      <c r="A737" s="2">
        <v>45259</v>
      </c>
      <c r="B737" t="s">
        <v>14</v>
      </c>
      <c r="C737">
        <v>82.364999999999995</v>
      </c>
    </row>
    <row r="738" spans="1:3" x14ac:dyDescent="0.25">
      <c r="A738" s="2">
        <v>45258</v>
      </c>
      <c r="B738" t="s">
        <v>14</v>
      </c>
      <c r="C738">
        <v>82.06</v>
      </c>
    </row>
    <row r="739" spans="1:3" x14ac:dyDescent="0.25">
      <c r="A739" s="2">
        <v>45257</v>
      </c>
      <c r="B739" t="s">
        <v>14</v>
      </c>
      <c r="C739">
        <v>80.16</v>
      </c>
    </row>
    <row r="740" spans="1:3" x14ac:dyDescent="0.25">
      <c r="A740" s="2">
        <v>45254</v>
      </c>
      <c r="B740" t="s">
        <v>14</v>
      </c>
      <c r="C740">
        <v>81.89</v>
      </c>
    </row>
    <row r="741" spans="1:3" x14ac:dyDescent="0.25">
      <c r="A741" s="2">
        <v>45253</v>
      </c>
      <c r="B741" t="s">
        <v>14</v>
      </c>
      <c r="C741">
        <v>80.974999999999994</v>
      </c>
    </row>
    <row r="742" spans="1:3" x14ac:dyDescent="0.25">
      <c r="A742" s="2">
        <v>45252</v>
      </c>
      <c r="B742" t="s">
        <v>14</v>
      </c>
      <c r="C742">
        <v>79.55</v>
      </c>
    </row>
    <row r="743" spans="1:3" x14ac:dyDescent="0.25">
      <c r="A743" s="2">
        <v>45251</v>
      </c>
      <c r="B743" t="s">
        <v>14</v>
      </c>
      <c r="C743">
        <v>82.055000000000007</v>
      </c>
    </row>
    <row r="744" spans="1:3" x14ac:dyDescent="0.25">
      <c r="A744" s="2">
        <v>45250</v>
      </c>
      <c r="B744" t="s">
        <v>14</v>
      </c>
      <c r="C744">
        <v>83.2</v>
      </c>
    </row>
    <row r="745" spans="1:3" x14ac:dyDescent="0.25">
      <c r="A745" s="2">
        <v>45247</v>
      </c>
      <c r="B745" t="s">
        <v>14</v>
      </c>
      <c r="C745">
        <v>80.034999999999997</v>
      </c>
    </row>
    <row r="746" spans="1:3" x14ac:dyDescent="0.25">
      <c r="A746" s="2">
        <v>45246</v>
      </c>
      <c r="B746" t="s">
        <v>14</v>
      </c>
      <c r="C746">
        <v>78.474999999999994</v>
      </c>
    </row>
    <row r="747" spans="1:3" x14ac:dyDescent="0.25">
      <c r="A747" s="2">
        <v>45245</v>
      </c>
      <c r="B747" t="s">
        <v>14</v>
      </c>
      <c r="C747">
        <v>82.48</v>
      </c>
    </row>
    <row r="748" spans="1:3" x14ac:dyDescent="0.25">
      <c r="A748" s="2">
        <v>45244</v>
      </c>
      <c r="B748" t="s">
        <v>14</v>
      </c>
      <c r="C748">
        <v>85.174999999999997</v>
      </c>
    </row>
    <row r="749" spans="1:3" x14ac:dyDescent="0.25">
      <c r="A749" s="2">
        <v>45243</v>
      </c>
      <c r="B749" t="s">
        <v>14</v>
      </c>
      <c r="C749">
        <v>84.394999999999996</v>
      </c>
    </row>
    <row r="750" spans="1:3" x14ac:dyDescent="0.25">
      <c r="A750" s="2">
        <v>45240</v>
      </c>
      <c r="B750" t="s">
        <v>14</v>
      </c>
      <c r="C750">
        <v>83.665000000000006</v>
      </c>
    </row>
    <row r="751" spans="1:3" x14ac:dyDescent="0.25">
      <c r="A751" s="2">
        <v>45239</v>
      </c>
      <c r="B751" t="s">
        <v>14</v>
      </c>
      <c r="C751">
        <v>82.72</v>
      </c>
    </row>
    <row r="752" spans="1:3" x14ac:dyDescent="0.25">
      <c r="A752" s="2">
        <v>45238</v>
      </c>
      <c r="B752" t="s">
        <v>14</v>
      </c>
      <c r="C752">
        <v>82.33</v>
      </c>
    </row>
    <row r="753" spans="1:3" x14ac:dyDescent="0.25">
      <c r="A753" s="2">
        <v>45237</v>
      </c>
      <c r="B753" t="s">
        <v>14</v>
      </c>
      <c r="C753">
        <v>84.71</v>
      </c>
    </row>
    <row r="754" spans="1:3" x14ac:dyDescent="0.25">
      <c r="A754" s="2">
        <v>45236</v>
      </c>
      <c r="B754" t="s">
        <v>14</v>
      </c>
      <c r="C754">
        <v>88.09</v>
      </c>
    </row>
    <row r="755" spans="1:3" x14ac:dyDescent="0.25">
      <c r="A755" s="2">
        <v>45233</v>
      </c>
      <c r="B755" t="s">
        <v>14</v>
      </c>
      <c r="C755">
        <v>87.984999999999999</v>
      </c>
    </row>
    <row r="756" spans="1:3" x14ac:dyDescent="0.25">
      <c r="A756" s="2">
        <v>45232</v>
      </c>
      <c r="B756" t="s">
        <v>14</v>
      </c>
      <c r="C756">
        <v>88.495000000000005</v>
      </c>
    </row>
    <row r="757" spans="1:3" x14ac:dyDescent="0.25">
      <c r="A757" s="2">
        <v>45231</v>
      </c>
      <c r="B757" t="s">
        <v>14</v>
      </c>
      <c r="C757">
        <v>88.625</v>
      </c>
    </row>
    <row r="758" spans="1:3" x14ac:dyDescent="0.25">
      <c r="A758" s="2">
        <v>45230</v>
      </c>
      <c r="B758" t="s">
        <v>14</v>
      </c>
      <c r="C758">
        <v>88.51</v>
      </c>
    </row>
    <row r="759" spans="1:3" x14ac:dyDescent="0.25">
      <c r="A759" s="2">
        <v>45229</v>
      </c>
      <c r="B759" t="s">
        <v>14</v>
      </c>
      <c r="C759">
        <v>89.025000000000006</v>
      </c>
    </row>
    <row r="760" spans="1:3" x14ac:dyDescent="0.25">
      <c r="A760" s="2">
        <v>45226</v>
      </c>
      <c r="B760" t="s">
        <v>14</v>
      </c>
      <c r="C760">
        <v>89.234999999999999</v>
      </c>
    </row>
    <row r="761" spans="1:3" x14ac:dyDescent="0.25">
      <c r="A761" s="2">
        <v>45225</v>
      </c>
      <c r="B761" t="s">
        <v>14</v>
      </c>
      <c r="C761">
        <v>89.69</v>
      </c>
    </row>
    <row r="762" spans="1:3" x14ac:dyDescent="0.25">
      <c r="A762" s="2">
        <v>45224</v>
      </c>
      <c r="B762" t="s">
        <v>14</v>
      </c>
      <c r="C762">
        <v>88.944999999999993</v>
      </c>
    </row>
    <row r="763" spans="1:3" x14ac:dyDescent="0.25">
      <c r="A763" s="2">
        <v>45223</v>
      </c>
      <c r="B763" t="s">
        <v>14</v>
      </c>
      <c r="C763">
        <v>88.745000000000005</v>
      </c>
    </row>
    <row r="764" spans="1:3" x14ac:dyDescent="0.25">
      <c r="A764" s="2">
        <v>45222</v>
      </c>
      <c r="B764" t="s">
        <v>14</v>
      </c>
      <c r="C764">
        <v>93.135000000000005</v>
      </c>
    </row>
    <row r="765" spans="1:3" x14ac:dyDescent="0.25">
      <c r="A765" s="2">
        <v>45219</v>
      </c>
      <c r="B765" t="s">
        <v>14</v>
      </c>
      <c r="C765">
        <v>95.04</v>
      </c>
    </row>
    <row r="766" spans="1:3" x14ac:dyDescent="0.25">
      <c r="A766" s="2">
        <v>45218</v>
      </c>
      <c r="B766" t="s">
        <v>14</v>
      </c>
      <c r="C766">
        <v>93.22</v>
      </c>
    </row>
    <row r="767" spans="1:3" x14ac:dyDescent="0.25">
      <c r="A767" s="2">
        <v>45217</v>
      </c>
      <c r="B767" t="s">
        <v>14</v>
      </c>
      <c r="C767">
        <v>93.07</v>
      </c>
    </row>
    <row r="768" spans="1:3" x14ac:dyDescent="0.25">
      <c r="A768" s="2">
        <v>45216</v>
      </c>
      <c r="B768" t="s">
        <v>14</v>
      </c>
      <c r="C768">
        <v>91.77</v>
      </c>
    </row>
    <row r="769" spans="1:3" x14ac:dyDescent="0.25">
      <c r="A769" s="2">
        <v>45215</v>
      </c>
      <c r="B769" t="s">
        <v>14</v>
      </c>
      <c r="C769">
        <v>93.1</v>
      </c>
    </row>
    <row r="770" spans="1:3" x14ac:dyDescent="0.25">
      <c r="A770" s="2">
        <v>45212</v>
      </c>
      <c r="B770" t="s">
        <v>14</v>
      </c>
      <c r="C770">
        <v>92.76</v>
      </c>
    </row>
    <row r="771" spans="1:3" x14ac:dyDescent="0.25">
      <c r="A771" s="2">
        <v>45211</v>
      </c>
      <c r="B771" t="s">
        <v>14</v>
      </c>
      <c r="C771">
        <v>89.375</v>
      </c>
    </row>
    <row r="772" spans="1:3" x14ac:dyDescent="0.25">
      <c r="A772" s="2">
        <v>45210</v>
      </c>
      <c r="B772" t="s">
        <v>14</v>
      </c>
      <c r="C772">
        <v>88.204999999999998</v>
      </c>
    </row>
    <row r="773" spans="1:3" x14ac:dyDescent="0.25">
      <c r="A773" s="2">
        <v>45209</v>
      </c>
      <c r="B773" t="s">
        <v>14</v>
      </c>
      <c r="C773">
        <v>90.704999999999998</v>
      </c>
    </row>
    <row r="774" spans="1:3" x14ac:dyDescent="0.25">
      <c r="A774" s="2">
        <v>45208</v>
      </c>
      <c r="B774" t="s">
        <v>14</v>
      </c>
      <c r="C774">
        <v>91.375</v>
      </c>
    </row>
    <row r="775" spans="1:3" x14ac:dyDescent="0.25">
      <c r="A775" s="2">
        <v>45205</v>
      </c>
      <c r="B775" t="s">
        <v>14</v>
      </c>
      <c r="C775">
        <v>88.114999999999995</v>
      </c>
    </row>
    <row r="776" spans="1:3" x14ac:dyDescent="0.25">
      <c r="A776" s="2">
        <v>45204</v>
      </c>
      <c r="B776" t="s">
        <v>14</v>
      </c>
      <c r="C776">
        <v>88.355000000000004</v>
      </c>
    </row>
    <row r="777" spans="1:3" x14ac:dyDescent="0.25">
      <c r="A777" s="2">
        <v>45203</v>
      </c>
      <c r="B777" t="s">
        <v>14</v>
      </c>
      <c r="C777">
        <v>91.68</v>
      </c>
    </row>
    <row r="778" spans="1:3" x14ac:dyDescent="0.25">
      <c r="A778" s="2">
        <v>45202</v>
      </c>
      <c r="B778" t="s">
        <v>14</v>
      </c>
      <c r="C778">
        <v>94.644999999999996</v>
      </c>
    </row>
    <row r="779" spans="1:3" x14ac:dyDescent="0.25">
      <c r="A779" s="2">
        <v>45201</v>
      </c>
      <c r="B779" t="s">
        <v>14</v>
      </c>
      <c r="C779">
        <v>94.635000000000005</v>
      </c>
    </row>
    <row r="780" spans="1:3" x14ac:dyDescent="0.25">
      <c r="A780" s="2">
        <v>45198</v>
      </c>
      <c r="B780" t="s">
        <v>14</v>
      </c>
      <c r="C780">
        <v>96.3</v>
      </c>
    </row>
    <row r="781" spans="1:3" x14ac:dyDescent="0.25">
      <c r="A781" s="2">
        <v>45197</v>
      </c>
      <c r="B781" t="s">
        <v>14</v>
      </c>
      <c r="C781">
        <v>97.814999999999998</v>
      </c>
    </row>
    <row r="782" spans="1:3" x14ac:dyDescent="0.25">
      <c r="A782" s="2">
        <v>45196</v>
      </c>
      <c r="B782" t="s">
        <v>14</v>
      </c>
      <c r="C782">
        <v>97.79</v>
      </c>
    </row>
    <row r="783" spans="1:3" x14ac:dyDescent="0.25">
      <c r="A783" s="2">
        <v>45195</v>
      </c>
      <c r="B783" t="s">
        <v>14</v>
      </c>
      <c r="C783">
        <v>94.08</v>
      </c>
    </row>
    <row r="784" spans="1:3" x14ac:dyDescent="0.25">
      <c r="A784" s="2">
        <v>45194</v>
      </c>
      <c r="B784" t="s">
        <v>14</v>
      </c>
      <c r="C784">
        <v>93.364999999999995</v>
      </c>
    </row>
    <row r="785" spans="1:3" x14ac:dyDescent="0.25">
      <c r="A785" s="2">
        <v>45191</v>
      </c>
      <c r="B785" t="s">
        <v>14</v>
      </c>
      <c r="C785">
        <v>94.355000000000004</v>
      </c>
    </row>
    <row r="786" spans="1:3" x14ac:dyDescent="0.25">
      <c r="A786" s="2">
        <v>45190</v>
      </c>
      <c r="B786" t="s">
        <v>14</v>
      </c>
      <c r="C786">
        <v>94.85</v>
      </c>
    </row>
    <row r="787" spans="1:3" x14ac:dyDescent="0.25">
      <c r="A787" s="2">
        <v>45189</v>
      </c>
      <c r="B787" t="s">
        <v>14</v>
      </c>
      <c r="C787">
        <v>95.67</v>
      </c>
    </row>
    <row r="788" spans="1:3" x14ac:dyDescent="0.25">
      <c r="A788" s="2">
        <v>45188</v>
      </c>
      <c r="B788" t="s">
        <v>14</v>
      </c>
      <c r="C788">
        <v>96.784999999999997</v>
      </c>
    </row>
    <row r="789" spans="1:3" x14ac:dyDescent="0.25">
      <c r="A789" s="2">
        <v>45187</v>
      </c>
      <c r="B789" t="s">
        <v>14</v>
      </c>
      <c r="C789">
        <v>96.204999999999998</v>
      </c>
    </row>
    <row r="790" spans="1:3" x14ac:dyDescent="0.25">
      <c r="A790" s="2">
        <v>45184</v>
      </c>
      <c r="B790" t="s">
        <v>14</v>
      </c>
      <c r="C790">
        <v>95.094999999999999</v>
      </c>
    </row>
    <row r="791" spans="1:3" x14ac:dyDescent="0.25">
      <c r="A791" s="2">
        <v>45183</v>
      </c>
      <c r="B791" t="s">
        <v>14</v>
      </c>
      <c r="C791">
        <v>95.045000000000002</v>
      </c>
    </row>
    <row r="792" spans="1:3" x14ac:dyDescent="0.25">
      <c r="A792" s="2">
        <v>45182</v>
      </c>
      <c r="B792" t="s">
        <v>14</v>
      </c>
      <c r="C792">
        <v>93.394999999999996</v>
      </c>
    </row>
    <row r="793" spans="1:3" x14ac:dyDescent="0.25">
      <c r="A793" s="2">
        <v>45181</v>
      </c>
      <c r="B793" t="s">
        <v>14</v>
      </c>
      <c r="C793">
        <v>93.6</v>
      </c>
    </row>
    <row r="794" spans="1:3" x14ac:dyDescent="0.25">
      <c r="A794" s="2">
        <v>45180</v>
      </c>
      <c r="B794" t="s">
        <v>14</v>
      </c>
      <c r="C794">
        <v>92.064999999999998</v>
      </c>
    </row>
    <row r="795" spans="1:3" x14ac:dyDescent="0.25">
      <c r="A795" s="2">
        <v>45177</v>
      </c>
      <c r="B795" t="s">
        <v>14</v>
      </c>
      <c r="C795">
        <v>92.43</v>
      </c>
    </row>
    <row r="796" spans="1:3" x14ac:dyDescent="0.25">
      <c r="A796" s="2">
        <v>45176</v>
      </c>
      <c r="B796" t="s">
        <v>14</v>
      </c>
      <c r="C796">
        <v>91.915000000000006</v>
      </c>
    </row>
    <row r="797" spans="1:3" x14ac:dyDescent="0.25">
      <c r="A797" s="2">
        <v>45175</v>
      </c>
      <c r="B797" t="s">
        <v>14</v>
      </c>
      <c r="C797">
        <v>91.314999999999998</v>
      </c>
    </row>
    <row r="798" spans="1:3" x14ac:dyDescent="0.25">
      <c r="A798" s="2">
        <v>45174</v>
      </c>
      <c r="B798" t="s">
        <v>14</v>
      </c>
      <c r="C798">
        <v>91.87</v>
      </c>
    </row>
    <row r="799" spans="1:3" x14ac:dyDescent="0.25">
      <c r="A799" s="2">
        <v>45173</v>
      </c>
      <c r="B799" t="s">
        <v>14</v>
      </c>
      <c r="C799">
        <v>90.575000000000003</v>
      </c>
    </row>
    <row r="800" spans="1:3" x14ac:dyDescent="0.25">
      <c r="A800" s="2">
        <v>45170</v>
      </c>
      <c r="B800" t="s">
        <v>14</v>
      </c>
      <c r="C800">
        <v>89.484999999999999</v>
      </c>
    </row>
    <row r="801" spans="1:3" x14ac:dyDescent="0.25">
      <c r="A801" s="2">
        <v>45169</v>
      </c>
      <c r="B801" t="s">
        <v>14</v>
      </c>
      <c r="C801">
        <v>87.41</v>
      </c>
    </row>
    <row r="802" spans="1:3" x14ac:dyDescent="0.25">
      <c r="A802" s="2">
        <v>45168</v>
      </c>
      <c r="B802" t="s">
        <v>14</v>
      </c>
      <c r="C802">
        <v>86.3</v>
      </c>
    </row>
    <row r="803" spans="1:3" x14ac:dyDescent="0.25">
      <c r="A803" s="2">
        <v>45167</v>
      </c>
      <c r="B803" t="s">
        <v>14</v>
      </c>
      <c r="C803">
        <v>86.16</v>
      </c>
    </row>
    <row r="804" spans="1:3" x14ac:dyDescent="0.25">
      <c r="A804" s="2">
        <v>45163</v>
      </c>
      <c r="B804" t="s">
        <v>14</v>
      </c>
      <c r="C804">
        <v>85.19</v>
      </c>
    </row>
    <row r="805" spans="1:3" x14ac:dyDescent="0.25">
      <c r="A805" s="2">
        <v>45162</v>
      </c>
      <c r="B805" t="s">
        <v>14</v>
      </c>
      <c r="C805">
        <v>83.924999999999997</v>
      </c>
    </row>
    <row r="806" spans="1:3" x14ac:dyDescent="0.25">
      <c r="A806" s="2">
        <v>45161</v>
      </c>
      <c r="B806" t="s">
        <v>14</v>
      </c>
      <c r="C806">
        <v>84.084999999999994</v>
      </c>
    </row>
    <row r="807" spans="1:3" x14ac:dyDescent="0.25">
      <c r="A807" s="2">
        <v>45160</v>
      </c>
      <c r="B807" t="s">
        <v>14</v>
      </c>
      <c r="C807">
        <v>85.37</v>
      </c>
    </row>
    <row r="808" spans="1:3" x14ac:dyDescent="0.25">
      <c r="A808" s="2">
        <v>45159</v>
      </c>
      <c r="B808" t="s">
        <v>14</v>
      </c>
      <c r="C808">
        <v>86.35</v>
      </c>
    </row>
    <row r="809" spans="1:3" x14ac:dyDescent="0.25">
      <c r="A809" s="2">
        <v>45156</v>
      </c>
      <c r="B809" t="s">
        <v>14</v>
      </c>
      <c r="C809">
        <v>85.57</v>
      </c>
    </row>
    <row r="810" spans="1:3" x14ac:dyDescent="0.25">
      <c r="A810" s="2">
        <v>45155</v>
      </c>
      <c r="B810" t="s">
        <v>14</v>
      </c>
      <c r="C810">
        <v>85.644999999999996</v>
      </c>
    </row>
    <row r="811" spans="1:3" x14ac:dyDescent="0.25">
      <c r="A811" s="2">
        <v>45154</v>
      </c>
      <c r="B811" t="s">
        <v>14</v>
      </c>
      <c r="C811">
        <v>86.04</v>
      </c>
    </row>
    <row r="812" spans="1:3" x14ac:dyDescent="0.25">
      <c r="A812" s="2">
        <v>45153</v>
      </c>
      <c r="B812" t="s">
        <v>14</v>
      </c>
      <c r="C812">
        <v>86.144999999999996</v>
      </c>
    </row>
    <row r="813" spans="1:3" x14ac:dyDescent="0.25">
      <c r="A813" s="2">
        <v>45152</v>
      </c>
      <c r="B813" t="s">
        <v>14</v>
      </c>
      <c r="C813">
        <v>87.665000000000006</v>
      </c>
    </row>
    <row r="814" spans="1:3" x14ac:dyDescent="0.25">
      <c r="A814" s="2">
        <v>45149</v>
      </c>
      <c r="B814" t="s">
        <v>14</v>
      </c>
      <c r="C814">
        <v>88.33</v>
      </c>
    </row>
    <row r="815" spans="1:3" x14ac:dyDescent="0.25">
      <c r="A815" s="2">
        <v>45148</v>
      </c>
      <c r="B815" t="s">
        <v>14</v>
      </c>
      <c r="C815">
        <v>88.22</v>
      </c>
    </row>
    <row r="816" spans="1:3" x14ac:dyDescent="0.25">
      <c r="A816" s="2">
        <v>45147</v>
      </c>
      <c r="B816" t="s">
        <v>14</v>
      </c>
      <c r="C816">
        <v>88.42</v>
      </c>
    </row>
    <row r="817" spans="1:3" x14ac:dyDescent="0.25">
      <c r="A817" s="2">
        <v>45146</v>
      </c>
      <c r="B817" t="s">
        <v>14</v>
      </c>
      <c r="C817">
        <v>86.7</v>
      </c>
    </row>
    <row r="818" spans="1:3" x14ac:dyDescent="0.25">
      <c r="A818" s="2">
        <v>45145</v>
      </c>
      <c r="B818" t="s">
        <v>14</v>
      </c>
      <c r="C818">
        <v>86.14</v>
      </c>
    </row>
    <row r="819" spans="1:3" x14ac:dyDescent="0.25">
      <c r="A819" s="2">
        <v>45142</v>
      </c>
      <c r="B819" t="s">
        <v>14</v>
      </c>
      <c r="C819">
        <v>86.805000000000007</v>
      </c>
    </row>
    <row r="820" spans="1:3" x14ac:dyDescent="0.25">
      <c r="A820" s="2">
        <v>45141</v>
      </c>
      <c r="B820" t="s">
        <v>14</v>
      </c>
      <c r="C820">
        <v>85.69</v>
      </c>
    </row>
    <row r="821" spans="1:3" x14ac:dyDescent="0.25">
      <c r="A821" s="2">
        <v>45140</v>
      </c>
      <c r="B821" t="s">
        <v>14</v>
      </c>
      <c r="C821">
        <v>84.07</v>
      </c>
    </row>
    <row r="822" spans="1:3" x14ac:dyDescent="0.25">
      <c r="A822" s="2">
        <v>45139</v>
      </c>
      <c r="B822" t="s">
        <v>14</v>
      </c>
      <c r="C822">
        <v>85.35</v>
      </c>
    </row>
    <row r="823" spans="1:3" x14ac:dyDescent="0.25">
      <c r="A823" s="2">
        <v>45138</v>
      </c>
      <c r="B823" t="s">
        <v>14</v>
      </c>
      <c r="C823">
        <v>85.64</v>
      </c>
    </row>
    <row r="824" spans="1:3" x14ac:dyDescent="0.25">
      <c r="A824" s="2">
        <v>45135</v>
      </c>
      <c r="B824" t="s">
        <v>14</v>
      </c>
      <c r="C824">
        <v>84.105000000000004</v>
      </c>
    </row>
    <row r="825" spans="1:3" x14ac:dyDescent="0.25">
      <c r="A825" s="2">
        <v>45134</v>
      </c>
      <c r="B825" t="s">
        <v>14</v>
      </c>
      <c r="C825">
        <v>83.864999999999995</v>
      </c>
    </row>
    <row r="826" spans="1:3" x14ac:dyDescent="0.25">
      <c r="A826" s="2">
        <v>45133</v>
      </c>
      <c r="B826" t="s">
        <v>14</v>
      </c>
      <c r="C826">
        <v>83.76</v>
      </c>
    </row>
    <row r="827" spans="1:3" x14ac:dyDescent="0.25">
      <c r="A827" s="2">
        <v>45132</v>
      </c>
      <c r="B827" t="s">
        <v>14</v>
      </c>
      <c r="C827">
        <v>82.984999999999999</v>
      </c>
    </row>
    <row r="828" spans="1:3" x14ac:dyDescent="0.25">
      <c r="A828" s="2">
        <v>45131</v>
      </c>
      <c r="B828" t="s">
        <v>14</v>
      </c>
      <c r="C828">
        <v>82.594999999999999</v>
      </c>
    </row>
    <row r="829" spans="1:3" x14ac:dyDescent="0.25">
      <c r="A829" s="2">
        <v>45128</v>
      </c>
      <c r="B829" t="s">
        <v>14</v>
      </c>
      <c r="C829">
        <v>80.27</v>
      </c>
    </row>
    <row r="830" spans="1:3" x14ac:dyDescent="0.25">
      <c r="A830" s="2">
        <v>45127</v>
      </c>
      <c r="B830" t="s">
        <v>14</v>
      </c>
      <c r="C830">
        <v>79.05</v>
      </c>
    </row>
    <row r="831" spans="1:3" x14ac:dyDescent="0.25">
      <c r="A831" s="2">
        <v>45126</v>
      </c>
      <c r="B831" t="s">
        <v>14</v>
      </c>
      <c r="C831">
        <v>80.144999999999996</v>
      </c>
    </row>
    <row r="832" spans="1:3" x14ac:dyDescent="0.25">
      <c r="A832" s="2">
        <v>45125</v>
      </c>
      <c r="B832" t="s">
        <v>14</v>
      </c>
      <c r="C832">
        <v>79.334999999999994</v>
      </c>
    </row>
    <row r="833" spans="1:3" x14ac:dyDescent="0.25">
      <c r="A833" s="2">
        <v>45124</v>
      </c>
      <c r="B833" t="s">
        <v>14</v>
      </c>
      <c r="C833">
        <v>78.7</v>
      </c>
    </row>
    <row r="834" spans="1:3" x14ac:dyDescent="0.25">
      <c r="A834" s="2">
        <v>45121</v>
      </c>
      <c r="B834" t="s">
        <v>14</v>
      </c>
      <c r="C834">
        <v>79.894999999999996</v>
      </c>
    </row>
    <row r="835" spans="1:3" x14ac:dyDescent="0.25">
      <c r="A835" s="2">
        <v>45120</v>
      </c>
      <c r="B835" t="s">
        <v>14</v>
      </c>
      <c r="C835">
        <v>80.424999999999997</v>
      </c>
    </row>
    <row r="836" spans="1:3" x14ac:dyDescent="0.25">
      <c r="A836" s="2">
        <v>45119</v>
      </c>
      <c r="B836" t="s">
        <v>14</v>
      </c>
      <c r="C836">
        <v>80.314999999999998</v>
      </c>
    </row>
    <row r="837" spans="1:3" x14ac:dyDescent="0.25">
      <c r="A837" s="2">
        <v>45118</v>
      </c>
      <c r="B837" t="s">
        <v>14</v>
      </c>
      <c r="C837">
        <v>79.444999999999993</v>
      </c>
    </row>
    <row r="838" spans="1:3" x14ac:dyDescent="0.25">
      <c r="A838" s="2">
        <v>45117</v>
      </c>
      <c r="B838" t="s">
        <v>14</v>
      </c>
      <c r="C838">
        <v>78.734999999999999</v>
      </c>
    </row>
    <row r="839" spans="1:3" x14ac:dyDescent="0.25">
      <c r="A839" s="2">
        <v>45114</v>
      </c>
      <c r="B839" t="s">
        <v>14</v>
      </c>
      <c r="C839">
        <v>77.905000000000001</v>
      </c>
    </row>
    <row r="840" spans="1:3" x14ac:dyDescent="0.25">
      <c r="A840" s="2">
        <v>45113</v>
      </c>
      <c r="B840" t="s">
        <v>14</v>
      </c>
      <c r="C840">
        <v>75.465000000000003</v>
      </c>
    </row>
    <row r="841" spans="1:3" x14ac:dyDescent="0.25">
      <c r="A841" s="2">
        <v>45112</v>
      </c>
      <c r="B841" t="s">
        <v>14</v>
      </c>
      <c r="C841">
        <v>76.67</v>
      </c>
    </row>
    <row r="842" spans="1:3" x14ac:dyDescent="0.25">
      <c r="A842" s="2">
        <v>45111</v>
      </c>
      <c r="B842" t="s">
        <v>14</v>
      </c>
      <c r="C842">
        <v>75.86</v>
      </c>
    </row>
    <row r="843" spans="1:3" x14ac:dyDescent="0.25">
      <c r="A843" s="2">
        <v>45110</v>
      </c>
      <c r="B843" t="s">
        <v>14</v>
      </c>
      <c r="C843">
        <v>75.465000000000003</v>
      </c>
    </row>
    <row r="844" spans="1:3" x14ac:dyDescent="0.25">
      <c r="A844" s="2">
        <v>45107</v>
      </c>
      <c r="B844" t="s">
        <v>14</v>
      </c>
      <c r="C844">
        <v>74.97</v>
      </c>
    </row>
    <row r="845" spans="1:3" x14ac:dyDescent="0.25">
      <c r="A845" s="2">
        <v>45106</v>
      </c>
      <c r="B845" t="s">
        <v>14</v>
      </c>
      <c r="C845">
        <v>73.075000000000003</v>
      </c>
    </row>
    <row r="846" spans="1:3" x14ac:dyDescent="0.25">
      <c r="A846" s="2">
        <v>45105</v>
      </c>
      <c r="B846" t="s">
        <v>14</v>
      </c>
      <c r="C846">
        <v>73.260000000000005</v>
      </c>
    </row>
    <row r="847" spans="1:3" x14ac:dyDescent="0.25">
      <c r="A847" s="2">
        <v>45104</v>
      </c>
      <c r="B847" t="s">
        <v>14</v>
      </c>
      <c r="C847">
        <v>72.754999999999995</v>
      </c>
    </row>
    <row r="848" spans="1:3" x14ac:dyDescent="0.25">
      <c r="A848" s="2">
        <v>45103</v>
      </c>
      <c r="B848" t="s">
        <v>14</v>
      </c>
      <c r="C848">
        <v>73.489999999999995</v>
      </c>
    </row>
    <row r="849" spans="1:3" x14ac:dyDescent="0.25">
      <c r="A849" s="2">
        <v>45100</v>
      </c>
      <c r="B849" t="s">
        <v>14</v>
      </c>
      <c r="C849">
        <v>73.174999999999997</v>
      </c>
    </row>
    <row r="850" spans="1:3" x14ac:dyDescent="0.25">
      <c r="A850" s="2">
        <v>45099</v>
      </c>
      <c r="B850" t="s">
        <v>14</v>
      </c>
      <c r="C850">
        <v>73.805000000000007</v>
      </c>
    </row>
    <row r="851" spans="1:3" x14ac:dyDescent="0.25">
      <c r="A851" s="2">
        <v>45098</v>
      </c>
      <c r="B851" t="s">
        <v>14</v>
      </c>
      <c r="C851">
        <v>76.424999999999997</v>
      </c>
    </row>
    <row r="852" spans="1:3" x14ac:dyDescent="0.25">
      <c r="A852" s="2">
        <v>45097</v>
      </c>
      <c r="B852" t="s">
        <v>14</v>
      </c>
      <c r="C852">
        <v>74.47</v>
      </c>
    </row>
    <row r="853" spans="1:3" x14ac:dyDescent="0.25">
      <c r="A853" s="2">
        <v>45096</v>
      </c>
      <c r="B853" t="s">
        <v>14</v>
      </c>
      <c r="C853">
        <v>75.489999999999995</v>
      </c>
    </row>
    <row r="854" spans="1:3" x14ac:dyDescent="0.25">
      <c r="A854" s="2">
        <v>45093</v>
      </c>
      <c r="B854" t="s">
        <v>14</v>
      </c>
      <c r="C854">
        <v>75.45</v>
      </c>
    </row>
    <row r="855" spans="1:3" x14ac:dyDescent="0.25">
      <c r="A855" s="2">
        <v>45092</v>
      </c>
      <c r="B855" t="s">
        <v>14</v>
      </c>
      <c r="C855">
        <v>74.540000000000006</v>
      </c>
    </row>
    <row r="856" spans="1:3" x14ac:dyDescent="0.25">
      <c r="A856" s="2">
        <v>45091</v>
      </c>
      <c r="B856" t="s">
        <v>14</v>
      </c>
      <c r="C856">
        <v>73.924999999999997</v>
      </c>
    </row>
    <row r="857" spans="1:3" x14ac:dyDescent="0.25">
      <c r="A857" s="2">
        <v>45090</v>
      </c>
      <c r="B857" t="s">
        <v>14</v>
      </c>
      <c r="C857">
        <v>74.015000000000001</v>
      </c>
    </row>
    <row r="858" spans="1:3" x14ac:dyDescent="0.25">
      <c r="A858" s="2">
        <v>45089</v>
      </c>
      <c r="B858" t="s">
        <v>14</v>
      </c>
      <c r="C858">
        <v>72.465000000000003</v>
      </c>
    </row>
    <row r="859" spans="1:3" x14ac:dyDescent="0.25">
      <c r="A859" s="2">
        <v>45086</v>
      </c>
      <c r="B859" t="s">
        <v>14</v>
      </c>
      <c r="C859">
        <v>75.674999999999997</v>
      </c>
    </row>
    <row r="860" spans="1:3" x14ac:dyDescent="0.25">
      <c r="A860" s="2">
        <v>45085</v>
      </c>
      <c r="B860" t="s">
        <v>14</v>
      </c>
      <c r="C860">
        <v>75.674999999999997</v>
      </c>
    </row>
    <row r="861" spans="1:3" x14ac:dyDescent="0.25">
      <c r="A861" s="2">
        <v>45084</v>
      </c>
      <c r="B861" t="s">
        <v>14</v>
      </c>
      <c r="C861">
        <v>76.584999999999994</v>
      </c>
    </row>
    <row r="862" spans="1:3" x14ac:dyDescent="0.25">
      <c r="A862" s="2">
        <v>45083</v>
      </c>
      <c r="B862" t="s">
        <v>14</v>
      </c>
      <c r="C862">
        <v>76.22</v>
      </c>
    </row>
    <row r="863" spans="1:3" x14ac:dyDescent="0.25">
      <c r="A863" s="2">
        <v>45082</v>
      </c>
      <c r="B863" t="s">
        <v>14</v>
      </c>
      <c r="C863">
        <v>77.194999999999993</v>
      </c>
    </row>
    <row r="864" spans="1:3" x14ac:dyDescent="0.25">
      <c r="A864" s="2">
        <v>45079</v>
      </c>
      <c r="B864" t="s">
        <v>14</v>
      </c>
      <c r="C864">
        <v>75.775000000000006</v>
      </c>
    </row>
    <row r="865" spans="1:3" x14ac:dyDescent="0.25">
      <c r="A865" s="2">
        <v>45078</v>
      </c>
      <c r="B865" t="s">
        <v>14</v>
      </c>
      <c r="C865">
        <v>74.459999999999994</v>
      </c>
    </row>
    <row r="866" spans="1:3" x14ac:dyDescent="0.25">
      <c r="A866" s="2">
        <v>45077</v>
      </c>
      <c r="B866" t="s">
        <v>14</v>
      </c>
      <c r="C866">
        <v>72.844999999999999</v>
      </c>
    </row>
    <row r="867" spans="1:3" x14ac:dyDescent="0.25">
      <c r="A867" s="2">
        <v>45076</v>
      </c>
      <c r="B867" t="s">
        <v>14</v>
      </c>
      <c r="C867">
        <v>73.995000000000005</v>
      </c>
    </row>
    <row r="868" spans="1:3" x14ac:dyDescent="0.25">
      <c r="A868" s="2">
        <v>45072</v>
      </c>
      <c r="B868" t="s">
        <v>14</v>
      </c>
      <c r="C868">
        <v>76.284999999999997</v>
      </c>
    </row>
    <row r="869" spans="1:3" x14ac:dyDescent="0.25">
      <c r="A869" s="2">
        <v>45071</v>
      </c>
      <c r="B869" t="s">
        <v>14</v>
      </c>
      <c r="C869">
        <v>75.625</v>
      </c>
    </row>
    <row r="870" spans="1:3" x14ac:dyDescent="0.25">
      <c r="A870" s="2">
        <v>45070</v>
      </c>
      <c r="B870" t="s">
        <v>14</v>
      </c>
      <c r="C870">
        <v>77.635000000000005</v>
      </c>
    </row>
    <row r="871" spans="1:3" x14ac:dyDescent="0.25">
      <c r="A871" s="2">
        <v>45069</v>
      </c>
      <c r="B871" t="s">
        <v>14</v>
      </c>
      <c r="C871">
        <v>76.954999999999998</v>
      </c>
    </row>
    <row r="872" spans="1:3" x14ac:dyDescent="0.25">
      <c r="A872" s="2">
        <v>45068</v>
      </c>
      <c r="B872" t="s">
        <v>14</v>
      </c>
      <c r="C872">
        <v>75.930000000000007</v>
      </c>
    </row>
    <row r="873" spans="1:3" x14ac:dyDescent="0.25">
      <c r="A873" s="2">
        <v>45065</v>
      </c>
      <c r="B873" t="s">
        <v>14</v>
      </c>
      <c r="C873">
        <v>75.95</v>
      </c>
    </row>
    <row r="874" spans="1:3" x14ac:dyDescent="0.25">
      <c r="A874" s="2">
        <v>45064</v>
      </c>
      <c r="B874" t="s">
        <v>14</v>
      </c>
      <c r="C874">
        <v>75.954999999999998</v>
      </c>
    </row>
    <row r="875" spans="1:3" x14ac:dyDescent="0.25">
      <c r="A875" s="2">
        <v>45063</v>
      </c>
      <c r="B875" t="s">
        <v>14</v>
      </c>
      <c r="C875">
        <v>76.325000000000003</v>
      </c>
    </row>
    <row r="876" spans="1:3" x14ac:dyDescent="0.25">
      <c r="A876" s="2">
        <v>45062</v>
      </c>
      <c r="B876" t="s">
        <v>14</v>
      </c>
      <c r="C876">
        <v>75.334999999999994</v>
      </c>
    </row>
    <row r="877" spans="1:3" x14ac:dyDescent="0.25">
      <c r="A877" s="2">
        <v>45061</v>
      </c>
      <c r="B877" t="s">
        <v>14</v>
      </c>
      <c r="C877">
        <v>75.459999999999994</v>
      </c>
    </row>
    <row r="878" spans="1:3" x14ac:dyDescent="0.25">
      <c r="A878" s="2">
        <v>45058</v>
      </c>
      <c r="B878" t="s">
        <v>14</v>
      </c>
      <c r="C878">
        <v>75.254999999999995</v>
      </c>
    </row>
    <row r="879" spans="1:3" x14ac:dyDescent="0.25">
      <c r="A879" s="2">
        <v>45057</v>
      </c>
      <c r="B879" t="s">
        <v>14</v>
      </c>
      <c r="C879">
        <v>76.194999999999993</v>
      </c>
    </row>
    <row r="880" spans="1:3" x14ac:dyDescent="0.25">
      <c r="A880" s="2">
        <v>45056</v>
      </c>
      <c r="B880" t="s">
        <v>14</v>
      </c>
      <c r="C880">
        <v>77.34</v>
      </c>
    </row>
    <row r="881" spans="1:3" x14ac:dyDescent="0.25">
      <c r="A881" s="2">
        <v>45055</v>
      </c>
      <c r="B881" t="s">
        <v>14</v>
      </c>
      <c r="C881">
        <v>75.680000000000007</v>
      </c>
    </row>
    <row r="882" spans="1:3" x14ac:dyDescent="0.25">
      <c r="A882" s="2">
        <v>45051</v>
      </c>
      <c r="B882" t="s">
        <v>14</v>
      </c>
      <c r="C882">
        <v>75.760000000000005</v>
      </c>
    </row>
    <row r="883" spans="1:3" x14ac:dyDescent="0.25">
      <c r="A883" s="2">
        <v>45050</v>
      </c>
      <c r="B883" t="s">
        <v>14</v>
      </c>
      <c r="C883">
        <v>73.185000000000002</v>
      </c>
    </row>
    <row r="884" spans="1:3" x14ac:dyDescent="0.25">
      <c r="A884" s="2">
        <v>45049</v>
      </c>
      <c r="B884" t="s">
        <v>14</v>
      </c>
      <c r="C884">
        <v>72.635000000000005</v>
      </c>
    </row>
    <row r="885" spans="1:3" x14ac:dyDescent="0.25">
      <c r="A885" s="2">
        <v>45048</v>
      </c>
      <c r="B885" t="s">
        <v>14</v>
      </c>
      <c r="C885">
        <v>77.180000000000007</v>
      </c>
    </row>
    <row r="886" spans="1:3" x14ac:dyDescent="0.25">
      <c r="A886" s="2">
        <v>45044</v>
      </c>
      <c r="B886" t="s">
        <v>14</v>
      </c>
      <c r="C886">
        <v>82.144999999999996</v>
      </c>
    </row>
    <row r="887" spans="1:3" x14ac:dyDescent="0.25">
      <c r="A887" s="2">
        <v>45043</v>
      </c>
      <c r="B887" t="s">
        <v>14</v>
      </c>
      <c r="C887">
        <v>80.025000000000006</v>
      </c>
    </row>
    <row r="888" spans="1:3" x14ac:dyDescent="0.25">
      <c r="A888" s="2">
        <v>45042</v>
      </c>
      <c r="B888" t="s">
        <v>14</v>
      </c>
      <c r="C888">
        <v>82.21</v>
      </c>
    </row>
    <row r="889" spans="1:3" x14ac:dyDescent="0.25">
      <c r="A889" s="2">
        <v>45041</v>
      </c>
      <c r="B889" t="s">
        <v>14</v>
      </c>
      <c r="C889">
        <v>82.465000000000003</v>
      </c>
    </row>
    <row r="890" spans="1:3" x14ac:dyDescent="0.25">
      <c r="A890" s="2">
        <v>45040</v>
      </c>
      <c r="B890" t="s">
        <v>14</v>
      </c>
      <c r="C890">
        <v>84.254999999999995</v>
      </c>
    </row>
    <row r="891" spans="1:3" x14ac:dyDescent="0.25">
      <c r="A891" s="2">
        <v>45037</v>
      </c>
      <c r="B891" t="s">
        <v>14</v>
      </c>
      <c r="C891">
        <v>83.364999999999995</v>
      </c>
    </row>
    <row r="892" spans="1:3" x14ac:dyDescent="0.25">
      <c r="A892" s="2">
        <v>45036</v>
      </c>
      <c r="B892" t="s">
        <v>14</v>
      </c>
      <c r="C892">
        <v>83.11</v>
      </c>
    </row>
    <row r="893" spans="1:3" x14ac:dyDescent="0.25">
      <c r="A893" s="2">
        <v>45035</v>
      </c>
      <c r="B893" t="s">
        <v>14</v>
      </c>
      <c r="C893">
        <v>85.5</v>
      </c>
    </row>
    <row r="894" spans="1:3" x14ac:dyDescent="0.25">
      <c r="A894" s="2">
        <v>45034</v>
      </c>
      <c r="B894" t="s">
        <v>14</v>
      </c>
      <c r="C894">
        <v>86.575000000000003</v>
      </c>
    </row>
    <row r="895" spans="1:3" x14ac:dyDescent="0.25">
      <c r="A895" s="2">
        <v>45033</v>
      </c>
      <c r="B895" t="s">
        <v>14</v>
      </c>
      <c r="C895">
        <v>86.48</v>
      </c>
    </row>
    <row r="896" spans="1:3" x14ac:dyDescent="0.25">
      <c r="A896" s="2">
        <v>45030</v>
      </c>
      <c r="B896" t="s">
        <v>14</v>
      </c>
      <c r="C896">
        <v>87.724999999999994</v>
      </c>
    </row>
    <row r="897" spans="1:3" x14ac:dyDescent="0.25">
      <c r="A897" s="2">
        <v>45029</v>
      </c>
      <c r="B897" t="s">
        <v>14</v>
      </c>
      <c r="C897">
        <v>87.875</v>
      </c>
    </row>
    <row r="898" spans="1:3" x14ac:dyDescent="0.25">
      <c r="A898" s="2">
        <v>45028</v>
      </c>
      <c r="B898" t="s">
        <v>14</v>
      </c>
      <c r="C898">
        <v>88.18</v>
      </c>
    </row>
    <row r="899" spans="1:3" x14ac:dyDescent="0.25">
      <c r="A899" s="2">
        <v>45027</v>
      </c>
      <c r="B899" t="s">
        <v>14</v>
      </c>
      <c r="C899">
        <v>86.08</v>
      </c>
    </row>
    <row r="900" spans="1:3" x14ac:dyDescent="0.25">
      <c r="A900" s="2">
        <v>45022</v>
      </c>
      <c r="B900" t="s">
        <v>14</v>
      </c>
      <c r="C900">
        <v>86.15</v>
      </c>
    </row>
    <row r="901" spans="1:3" x14ac:dyDescent="0.25">
      <c r="A901" s="2">
        <v>45021</v>
      </c>
      <c r="B901" t="s">
        <v>14</v>
      </c>
      <c r="C901">
        <v>85.55</v>
      </c>
    </row>
    <row r="902" spans="1:3" x14ac:dyDescent="0.25">
      <c r="A902" s="2">
        <v>45020</v>
      </c>
      <c r="B902" t="s">
        <v>14</v>
      </c>
      <c r="C902">
        <v>85.31</v>
      </c>
    </row>
    <row r="903" spans="1:3" x14ac:dyDescent="0.25">
      <c r="A903" s="2">
        <v>45019</v>
      </c>
      <c r="B903" t="s">
        <v>14</v>
      </c>
      <c r="C903">
        <v>85.36</v>
      </c>
    </row>
    <row r="904" spans="1:3" x14ac:dyDescent="0.25">
      <c r="A904" s="2">
        <v>45016</v>
      </c>
      <c r="B904" t="s">
        <v>14</v>
      </c>
      <c r="C904">
        <v>79.045000000000002</v>
      </c>
    </row>
    <row r="905" spans="1:3" x14ac:dyDescent="0.25">
      <c r="A905" s="2">
        <v>45015</v>
      </c>
      <c r="B905" t="s">
        <v>14</v>
      </c>
      <c r="C905">
        <v>78</v>
      </c>
    </row>
    <row r="906" spans="1:3" x14ac:dyDescent="0.25">
      <c r="A906" s="2">
        <v>45014</v>
      </c>
      <c r="B906" t="s">
        <v>14</v>
      </c>
      <c r="C906">
        <v>78.064999999999998</v>
      </c>
    </row>
    <row r="907" spans="1:3" x14ac:dyDescent="0.25">
      <c r="A907" s="2">
        <v>45013</v>
      </c>
      <c r="B907" t="s">
        <v>14</v>
      </c>
      <c r="C907">
        <v>77.894999999999996</v>
      </c>
    </row>
    <row r="908" spans="1:3" x14ac:dyDescent="0.25">
      <c r="A908" s="2">
        <v>45012</v>
      </c>
      <c r="B908" t="s">
        <v>14</v>
      </c>
      <c r="C908">
        <v>75.305000000000007</v>
      </c>
    </row>
    <row r="909" spans="1:3" x14ac:dyDescent="0.25">
      <c r="A909" s="2">
        <v>45009</v>
      </c>
      <c r="B909" t="s">
        <v>14</v>
      </c>
      <c r="C909">
        <v>73.25</v>
      </c>
    </row>
    <row r="910" spans="1:3" x14ac:dyDescent="0.25">
      <c r="A910" s="2">
        <v>45008</v>
      </c>
      <c r="B910" t="s">
        <v>14</v>
      </c>
      <c r="C910">
        <v>75.61</v>
      </c>
    </row>
    <row r="911" spans="1:3" x14ac:dyDescent="0.25">
      <c r="A911" s="2">
        <v>45007</v>
      </c>
      <c r="B911" t="s">
        <v>14</v>
      </c>
      <c r="C911">
        <v>75.135000000000005</v>
      </c>
    </row>
    <row r="912" spans="1:3" x14ac:dyDescent="0.25">
      <c r="A912" s="2">
        <v>45006</v>
      </c>
      <c r="B912" t="s">
        <v>14</v>
      </c>
      <c r="C912">
        <v>73.64</v>
      </c>
    </row>
    <row r="913" spans="1:3" x14ac:dyDescent="0.25">
      <c r="A913" s="2">
        <v>45005</v>
      </c>
      <c r="B913" t="s">
        <v>14</v>
      </c>
      <c r="C913">
        <v>71.489999999999995</v>
      </c>
    </row>
    <row r="914" spans="1:3" x14ac:dyDescent="0.25">
      <c r="A914" s="2">
        <v>45002</v>
      </c>
      <c r="B914" t="s">
        <v>14</v>
      </c>
      <c r="C914">
        <v>72.069999999999993</v>
      </c>
    </row>
    <row r="915" spans="1:3" x14ac:dyDescent="0.25">
      <c r="A915" s="2">
        <v>45001</v>
      </c>
      <c r="B915" t="s">
        <v>14</v>
      </c>
      <c r="C915">
        <v>73</v>
      </c>
    </row>
    <row r="916" spans="1:3" x14ac:dyDescent="0.25">
      <c r="A916" s="2">
        <v>45000</v>
      </c>
      <c r="B916" t="s">
        <v>14</v>
      </c>
      <c r="C916">
        <v>71.69</v>
      </c>
    </row>
    <row r="917" spans="1:3" x14ac:dyDescent="0.25">
      <c r="A917" s="2">
        <v>44999</v>
      </c>
      <c r="B917" t="s">
        <v>14</v>
      </c>
      <c r="C917">
        <v>78.72</v>
      </c>
    </row>
    <row r="918" spans="1:3" x14ac:dyDescent="0.25">
      <c r="A918" s="2">
        <v>44998</v>
      </c>
      <c r="B918" t="s">
        <v>14</v>
      </c>
      <c r="C918">
        <v>81.02</v>
      </c>
    </row>
    <row r="919" spans="1:3" x14ac:dyDescent="0.25">
      <c r="A919" s="2">
        <v>44995</v>
      </c>
      <c r="B919" t="s">
        <v>14</v>
      </c>
      <c r="C919">
        <v>82.234999999999999</v>
      </c>
    </row>
    <row r="920" spans="1:3" x14ac:dyDescent="0.25">
      <c r="A920" s="2">
        <v>44994</v>
      </c>
      <c r="B920" t="s">
        <v>14</v>
      </c>
      <c r="C920">
        <v>83.084999999999994</v>
      </c>
    </row>
    <row r="921" spans="1:3" x14ac:dyDescent="0.25">
      <c r="A921" s="2">
        <v>44993</v>
      </c>
      <c r="B921" t="s">
        <v>14</v>
      </c>
      <c r="C921">
        <v>82.37</v>
      </c>
    </row>
    <row r="922" spans="1:3" x14ac:dyDescent="0.25">
      <c r="A922" s="2">
        <v>44992</v>
      </c>
      <c r="B922" t="s">
        <v>14</v>
      </c>
      <c r="C922">
        <v>83.9</v>
      </c>
    </row>
    <row r="923" spans="1:3" x14ac:dyDescent="0.25">
      <c r="A923" s="2">
        <v>44991</v>
      </c>
      <c r="B923" t="s">
        <v>14</v>
      </c>
      <c r="C923">
        <v>85.78</v>
      </c>
    </row>
    <row r="924" spans="1:3" x14ac:dyDescent="0.25">
      <c r="A924" s="2">
        <v>44988</v>
      </c>
      <c r="B924" t="s">
        <v>14</v>
      </c>
      <c r="C924">
        <v>85.114999999999995</v>
      </c>
    </row>
    <row r="925" spans="1:3" x14ac:dyDescent="0.25">
      <c r="A925" s="2">
        <v>44987</v>
      </c>
      <c r="B925" t="s">
        <v>14</v>
      </c>
      <c r="C925">
        <v>85.05</v>
      </c>
    </row>
    <row r="926" spans="1:3" x14ac:dyDescent="0.25">
      <c r="A926" s="2">
        <v>44986</v>
      </c>
      <c r="B926" t="s">
        <v>14</v>
      </c>
      <c r="C926">
        <v>83.454999999999998</v>
      </c>
    </row>
    <row r="927" spans="1:3" x14ac:dyDescent="0.25">
      <c r="A927" s="2">
        <v>44985</v>
      </c>
      <c r="B927" t="s">
        <v>14</v>
      </c>
      <c r="C927">
        <v>83.15</v>
      </c>
    </row>
    <row r="928" spans="1:3" x14ac:dyDescent="0.25">
      <c r="A928" s="2">
        <v>44984</v>
      </c>
      <c r="B928" t="s">
        <v>14</v>
      </c>
      <c r="C928">
        <v>81.44</v>
      </c>
    </row>
    <row r="929" spans="1:3" x14ac:dyDescent="0.25">
      <c r="A929" s="2">
        <v>44981</v>
      </c>
      <c r="B929" t="s">
        <v>14</v>
      </c>
      <c r="C929">
        <v>81.819999999999993</v>
      </c>
    </row>
    <row r="930" spans="1:3" x14ac:dyDescent="0.25">
      <c r="A930" s="2">
        <v>44980</v>
      </c>
      <c r="B930" t="s">
        <v>14</v>
      </c>
      <c r="C930">
        <v>80.905000000000001</v>
      </c>
    </row>
    <row r="931" spans="1:3" x14ac:dyDescent="0.25">
      <c r="A931" s="2">
        <v>44979</v>
      </c>
      <c r="B931" t="s">
        <v>14</v>
      </c>
      <c r="C931">
        <v>80.349999999999994</v>
      </c>
    </row>
    <row r="932" spans="1:3" x14ac:dyDescent="0.25">
      <c r="A932" s="2">
        <v>44978</v>
      </c>
      <c r="B932" t="s">
        <v>14</v>
      </c>
      <c r="C932">
        <v>81.905000000000001</v>
      </c>
    </row>
    <row r="933" spans="1:3" x14ac:dyDescent="0.25">
      <c r="A933" s="2">
        <v>44977</v>
      </c>
      <c r="B933" t="s">
        <v>14</v>
      </c>
      <c r="C933">
        <v>82.355000000000004</v>
      </c>
    </row>
    <row r="934" spans="1:3" x14ac:dyDescent="0.25">
      <c r="A934" s="2">
        <v>44974</v>
      </c>
      <c r="B934" t="s">
        <v>14</v>
      </c>
      <c r="C934">
        <v>82.7</v>
      </c>
    </row>
    <row r="935" spans="1:3" x14ac:dyDescent="0.25">
      <c r="A935" s="2">
        <v>44973</v>
      </c>
      <c r="B935" t="s">
        <v>14</v>
      </c>
      <c r="C935">
        <v>84.194999999999993</v>
      </c>
    </row>
    <row r="936" spans="1:3" x14ac:dyDescent="0.25">
      <c r="A936" s="2">
        <v>44972</v>
      </c>
      <c r="B936" t="s">
        <v>14</v>
      </c>
      <c r="C936">
        <v>83.534999999999997</v>
      </c>
    </row>
    <row r="937" spans="1:3" x14ac:dyDescent="0.25">
      <c r="A937" s="2">
        <v>44971</v>
      </c>
      <c r="B937" t="s">
        <v>14</v>
      </c>
      <c r="C937">
        <v>84.575000000000003</v>
      </c>
    </row>
    <row r="938" spans="1:3" x14ac:dyDescent="0.25">
      <c r="A938" s="2">
        <v>44970</v>
      </c>
      <c r="B938" t="s">
        <v>14</v>
      </c>
      <c r="C938">
        <v>85.48</v>
      </c>
    </row>
    <row r="939" spans="1:3" x14ac:dyDescent="0.25">
      <c r="A939" s="2">
        <v>44967</v>
      </c>
      <c r="B939" t="s">
        <v>14</v>
      </c>
      <c r="C939">
        <v>85.66</v>
      </c>
    </row>
    <row r="940" spans="1:3" x14ac:dyDescent="0.25">
      <c r="A940" s="2">
        <v>44966</v>
      </c>
      <c r="B940" t="s">
        <v>14</v>
      </c>
      <c r="C940">
        <v>83.28</v>
      </c>
    </row>
    <row r="941" spans="1:3" x14ac:dyDescent="0.25">
      <c r="A941" s="2">
        <v>44965</v>
      </c>
      <c r="B941" t="s">
        <v>14</v>
      </c>
      <c r="C941">
        <v>83.224999999999994</v>
      </c>
    </row>
    <row r="942" spans="1:3" x14ac:dyDescent="0.25">
      <c r="A942" s="2">
        <v>44964</v>
      </c>
      <c r="B942" t="s">
        <v>14</v>
      </c>
      <c r="C942">
        <v>82.24</v>
      </c>
    </row>
    <row r="943" spans="1:3" x14ac:dyDescent="0.25">
      <c r="A943" s="2">
        <v>44963</v>
      </c>
      <c r="B943" t="s">
        <v>14</v>
      </c>
      <c r="C943">
        <v>79.58</v>
      </c>
    </row>
    <row r="944" spans="1:3" x14ac:dyDescent="0.25">
      <c r="A944" s="2">
        <v>44960</v>
      </c>
      <c r="B944" t="s">
        <v>14</v>
      </c>
      <c r="C944">
        <v>80.614999999999995</v>
      </c>
    </row>
    <row r="945" spans="1:3" x14ac:dyDescent="0.25">
      <c r="A945" s="2">
        <v>44959</v>
      </c>
      <c r="B945" t="s">
        <v>14</v>
      </c>
      <c r="C945">
        <v>80.665000000000006</v>
      </c>
    </row>
    <row r="946" spans="1:3" x14ac:dyDescent="0.25">
      <c r="A946" s="2">
        <v>44958</v>
      </c>
      <c r="B946" t="s">
        <v>14</v>
      </c>
      <c r="C946">
        <v>82.95</v>
      </c>
    </row>
    <row r="947" spans="1:3" x14ac:dyDescent="0.25">
      <c r="A947" s="2">
        <v>44957</v>
      </c>
      <c r="B947" t="s">
        <v>14</v>
      </c>
      <c r="C947">
        <v>84.435000000000002</v>
      </c>
    </row>
    <row r="948" spans="1:3" x14ac:dyDescent="0.25">
      <c r="A948" s="2">
        <v>44956</v>
      </c>
      <c r="B948" t="s">
        <v>14</v>
      </c>
      <c r="C948">
        <v>84.594999999999999</v>
      </c>
    </row>
    <row r="949" spans="1:3" x14ac:dyDescent="0.25">
      <c r="A949" s="2">
        <v>44953</v>
      </c>
      <c r="B949" t="s">
        <v>14</v>
      </c>
      <c r="C949">
        <v>86.084999999999994</v>
      </c>
    </row>
    <row r="950" spans="1:3" x14ac:dyDescent="0.25">
      <c r="A950" s="2">
        <v>44952</v>
      </c>
      <c r="B950" t="s">
        <v>14</v>
      </c>
      <c r="C950">
        <v>86.905000000000001</v>
      </c>
    </row>
    <row r="951" spans="1:3" x14ac:dyDescent="0.25">
      <c r="A951" s="2">
        <v>44951</v>
      </c>
      <c r="B951" t="s">
        <v>14</v>
      </c>
      <c r="C951">
        <v>85.89</v>
      </c>
    </row>
    <row r="952" spans="1:3" x14ac:dyDescent="0.25">
      <c r="A952" s="2">
        <v>44950</v>
      </c>
      <c r="B952" t="s">
        <v>14</v>
      </c>
      <c r="C952">
        <v>86.034999999999997</v>
      </c>
    </row>
    <row r="953" spans="1:3" x14ac:dyDescent="0.25">
      <c r="A953" s="2">
        <v>44949</v>
      </c>
      <c r="B953" t="s">
        <v>14</v>
      </c>
      <c r="C953">
        <v>88.185000000000002</v>
      </c>
    </row>
    <row r="954" spans="1:3" x14ac:dyDescent="0.25">
      <c r="A954" s="2">
        <v>44946</v>
      </c>
      <c r="B954" t="s">
        <v>14</v>
      </c>
      <c r="C954">
        <v>85.864999999999995</v>
      </c>
    </row>
    <row r="955" spans="1:3" x14ac:dyDescent="0.25">
      <c r="A955" s="2">
        <v>44945</v>
      </c>
      <c r="B955" t="s">
        <v>14</v>
      </c>
      <c r="C955">
        <v>84.504999999999995</v>
      </c>
    </row>
    <row r="956" spans="1:3" x14ac:dyDescent="0.25">
      <c r="A956" s="2">
        <v>44944</v>
      </c>
      <c r="B956" t="s">
        <v>14</v>
      </c>
      <c r="C956">
        <v>85.924999999999997</v>
      </c>
    </row>
    <row r="957" spans="1:3" x14ac:dyDescent="0.25">
      <c r="A957" s="2">
        <v>44943</v>
      </c>
      <c r="B957" t="s">
        <v>14</v>
      </c>
      <c r="C957">
        <v>84.355000000000004</v>
      </c>
    </row>
    <row r="958" spans="1:3" x14ac:dyDescent="0.25">
      <c r="A958" s="2">
        <v>44942</v>
      </c>
      <c r="B958" t="s">
        <v>14</v>
      </c>
      <c r="C958">
        <v>82.75</v>
      </c>
    </row>
    <row r="959" spans="1:3" x14ac:dyDescent="0.25">
      <c r="A959" s="2">
        <v>44939</v>
      </c>
      <c r="B959" t="s">
        <v>14</v>
      </c>
      <c r="C959">
        <v>83.33</v>
      </c>
    </row>
    <row r="960" spans="1:3" x14ac:dyDescent="0.25">
      <c r="A960" s="2">
        <v>44938</v>
      </c>
      <c r="B960" t="s">
        <v>14</v>
      </c>
      <c r="C960">
        <v>82.984999999999999</v>
      </c>
    </row>
    <row r="961" spans="1:3" x14ac:dyDescent="0.25">
      <c r="A961" s="2">
        <v>44937</v>
      </c>
      <c r="B961" t="s">
        <v>14</v>
      </c>
      <c r="C961">
        <v>80.569999999999993</v>
      </c>
    </row>
    <row r="962" spans="1:3" x14ac:dyDescent="0.25">
      <c r="A962" s="2">
        <v>44936</v>
      </c>
      <c r="B962" t="s">
        <v>14</v>
      </c>
      <c r="C962">
        <v>78.015000000000001</v>
      </c>
    </row>
    <row r="963" spans="1:3" x14ac:dyDescent="0.25">
      <c r="A963" s="2">
        <v>44935</v>
      </c>
      <c r="B963" t="s">
        <v>14</v>
      </c>
      <c r="C963">
        <v>77.36</v>
      </c>
    </row>
    <row r="964" spans="1:3" x14ac:dyDescent="0.25">
      <c r="A964" s="2">
        <v>44932</v>
      </c>
      <c r="B964" t="s">
        <v>14</v>
      </c>
      <c r="C964">
        <v>77.430000000000007</v>
      </c>
    </row>
    <row r="965" spans="1:3" x14ac:dyDescent="0.25">
      <c r="A965" s="2">
        <v>44931</v>
      </c>
      <c r="B965" t="s">
        <v>14</v>
      </c>
      <c r="C965">
        <v>76.92</v>
      </c>
    </row>
    <row r="966" spans="1:3" x14ac:dyDescent="0.25">
      <c r="A966" s="2">
        <v>44930</v>
      </c>
      <c r="B966" t="s">
        <v>14</v>
      </c>
      <c r="C966">
        <v>75.56</v>
      </c>
    </row>
    <row r="967" spans="1:3" x14ac:dyDescent="0.25">
      <c r="A967" s="2">
        <v>44929</v>
      </c>
      <c r="B967" t="s">
        <v>14</v>
      </c>
      <c r="C967">
        <v>81.144999999999996</v>
      </c>
    </row>
    <row r="968" spans="1:3" x14ac:dyDescent="0.25">
      <c r="A968" s="2">
        <v>44925</v>
      </c>
      <c r="B968" t="s">
        <v>14</v>
      </c>
      <c r="C968">
        <v>81.344999999999999</v>
      </c>
    </row>
    <row r="969" spans="1:3" x14ac:dyDescent="0.25">
      <c r="A969" s="2">
        <v>44924</v>
      </c>
      <c r="B969" t="s">
        <v>14</v>
      </c>
      <c r="C969">
        <v>80.790000000000006</v>
      </c>
    </row>
    <row r="970" spans="1:3" x14ac:dyDescent="0.25">
      <c r="A970" s="2">
        <v>44923</v>
      </c>
      <c r="B970" t="s">
        <v>14</v>
      </c>
      <c r="C970">
        <v>81.09</v>
      </c>
    </row>
    <row r="971" spans="1:3" x14ac:dyDescent="0.25">
      <c r="A971" s="2">
        <v>44918</v>
      </c>
      <c r="B971" t="s">
        <v>14</v>
      </c>
      <c r="C971">
        <v>80.915000000000006</v>
      </c>
    </row>
    <row r="972" spans="1:3" x14ac:dyDescent="0.25">
      <c r="A972" s="2">
        <v>44917</v>
      </c>
      <c r="B972" t="s">
        <v>14</v>
      </c>
      <c r="C972">
        <v>80.75</v>
      </c>
    </row>
    <row r="973" spans="1:3" x14ac:dyDescent="0.25">
      <c r="A973" s="2">
        <v>44916</v>
      </c>
      <c r="B973" t="s">
        <v>14</v>
      </c>
      <c r="C973">
        <v>80.204999999999998</v>
      </c>
    </row>
    <row r="974" spans="1:3" x14ac:dyDescent="0.25">
      <c r="A974" s="2">
        <v>44915</v>
      </c>
      <c r="B974" t="s">
        <v>14</v>
      </c>
      <c r="C974">
        <v>78.844999999999999</v>
      </c>
    </row>
    <row r="975" spans="1:3" x14ac:dyDescent="0.25">
      <c r="A975" s="2">
        <v>44914</v>
      </c>
      <c r="B975" t="s">
        <v>14</v>
      </c>
      <c r="C975">
        <v>79.73</v>
      </c>
    </row>
    <row r="976" spans="1:3" x14ac:dyDescent="0.25">
      <c r="A976" s="2">
        <v>44911</v>
      </c>
      <c r="B976" t="s">
        <v>14</v>
      </c>
      <c r="C976">
        <v>79.034999999999997</v>
      </c>
    </row>
    <row r="977" spans="1:3" x14ac:dyDescent="0.25">
      <c r="A977" s="2">
        <v>44910</v>
      </c>
      <c r="B977" t="s">
        <v>14</v>
      </c>
      <c r="C977">
        <v>81.734999999999999</v>
      </c>
    </row>
    <row r="978" spans="1:3" x14ac:dyDescent="0.25">
      <c r="A978" s="2">
        <v>44909</v>
      </c>
      <c r="B978" t="s">
        <v>14</v>
      </c>
      <c r="C978">
        <v>83.515000000000001</v>
      </c>
    </row>
    <row r="979" spans="1:3" x14ac:dyDescent="0.25">
      <c r="A979" s="2">
        <v>44908</v>
      </c>
      <c r="B979" t="s">
        <v>14</v>
      </c>
      <c r="C979">
        <v>80.84</v>
      </c>
    </row>
    <row r="980" spans="1:3" x14ac:dyDescent="0.25">
      <c r="A980" s="2">
        <v>44907</v>
      </c>
      <c r="B980" t="s">
        <v>14</v>
      </c>
      <c r="C980">
        <v>78.67</v>
      </c>
    </row>
    <row r="981" spans="1:3" x14ac:dyDescent="0.25">
      <c r="A981" s="2">
        <v>44904</v>
      </c>
      <c r="B981" t="s">
        <v>14</v>
      </c>
      <c r="C981">
        <v>77.540000000000006</v>
      </c>
    </row>
    <row r="982" spans="1:3" x14ac:dyDescent="0.25">
      <c r="A982" s="2">
        <v>44903</v>
      </c>
      <c r="B982" t="s">
        <v>14</v>
      </c>
      <c r="C982">
        <v>76.48</v>
      </c>
    </row>
    <row r="983" spans="1:3" x14ac:dyDescent="0.25">
      <c r="A983" s="2">
        <v>44902</v>
      </c>
      <c r="B983" t="s">
        <v>14</v>
      </c>
      <c r="C983">
        <v>79.204999999999998</v>
      </c>
    </row>
    <row r="984" spans="1:3" x14ac:dyDescent="0.25">
      <c r="A984" s="2">
        <v>44901</v>
      </c>
      <c r="B984" t="s">
        <v>14</v>
      </c>
      <c r="C984">
        <v>80.680000000000007</v>
      </c>
    </row>
    <row r="985" spans="1:3" x14ac:dyDescent="0.25">
      <c r="A985" s="2">
        <v>44900</v>
      </c>
      <c r="B985" t="s">
        <v>14</v>
      </c>
      <c r="C985">
        <v>85.59</v>
      </c>
    </row>
    <row r="986" spans="1:3" x14ac:dyDescent="0.25">
      <c r="A986" s="2">
        <v>44897</v>
      </c>
      <c r="B986" t="s">
        <v>14</v>
      </c>
      <c r="C986">
        <v>87.05</v>
      </c>
    </row>
    <row r="987" spans="1:3" x14ac:dyDescent="0.25">
      <c r="A987" s="2">
        <v>44896</v>
      </c>
      <c r="B987" t="s">
        <v>14</v>
      </c>
      <c r="C987">
        <v>89.17</v>
      </c>
    </row>
    <row r="988" spans="1:3" x14ac:dyDescent="0.25">
      <c r="A988" s="2">
        <v>44895</v>
      </c>
      <c r="B988" t="s">
        <v>14</v>
      </c>
      <c r="C988">
        <v>86.594999999999999</v>
      </c>
    </row>
    <row r="989" spans="1:3" x14ac:dyDescent="0.25">
      <c r="A989" s="2">
        <v>44894</v>
      </c>
      <c r="B989" t="s">
        <v>14</v>
      </c>
      <c r="C989">
        <v>83.564999999999998</v>
      </c>
    </row>
    <row r="990" spans="1:3" x14ac:dyDescent="0.25">
      <c r="A990" s="2">
        <v>44893</v>
      </c>
      <c r="B990" t="s">
        <v>14</v>
      </c>
      <c r="C990">
        <v>82.62</v>
      </c>
    </row>
    <row r="991" spans="1:3" x14ac:dyDescent="0.25">
      <c r="A991" s="2">
        <v>44890</v>
      </c>
      <c r="B991" t="s">
        <v>14</v>
      </c>
      <c r="C991">
        <v>85.51</v>
      </c>
    </row>
    <row r="992" spans="1:3" x14ac:dyDescent="0.25">
      <c r="A992" s="2">
        <v>44889</v>
      </c>
      <c r="B992" t="s">
        <v>14</v>
      </c>
      <c r="C992">
        <v>85.55</v>
      </c>
    </row>
    <row r="993" spans="1:3" x14ac:dyDescent="0.25">
      <c r="A993" s="2">
        <v>44888</v>
      </c>
      <c r="B993" t="s">
        <v>14</v>
      </c>
      <c r="C993">
        <v>85.234999999999999</v>
      </c>
    </row>
    <row r="994" spans="1:3" x14ac:dyDescent="0.25">
      <c r="A994" s="2">
        <v>44887</v>
      </c>
      <c r="B994" t="s">
        <v>14</v>
      </c>
      <c r="C994">
        <v>89.165000000000006</v>
      </c>
    </row>
    <row r="995" spans="1:3" x14ac:dyDescent="0.25">
      <c r="A995" s="2">
        <v>44886</v>
      </c>
      <c r="B995" t="s">
        <v>14</v>
      </c>
      <c r="C995">
        <v>83.16</v>
      </c>
    </row>
    <row r="996" spans="1:3" x14ac:dyDescent="0.25">
      <c r="A996" s="2">
        <v>44883</v>
      </c>
      <c r="B996" t="s">
        <v>14</v>
      </c>
      <c r="C996">
        <v>88.11</v>
      </c>
    </row>
    <row r="997" spans="1:3" x14ac:dyDescent="0.25">
      <c r="A997" s="2">
        <v>44882</v>
      </c>
      <c r="B997" t="s">
        <v>14</v>
      </c>
      <c r="C997">
        <v>91.25</v>
      </c>
    </row>
    <row r="998" spans="1:3" x14ac:dyDescent="0.25">
      <c r="A998" s="2">
        <v>44881</v>
      </c>
      <c r="B998" t="s">
        <v>14</v>
      </c>
      <c r="C998">
        <v>92.614999999999995</v>
      </c>
    </row>
    <row r="999" spans="1:3" x14ac:dyDescent="0.25">
      <c r="A999" s="2">
        <v>44880</v>
      </c>
      <c r="B999" t="s">
        <v>14</v>
      </c>
      <c r="C999">
        <v>93.995000000000005</v>
      </c>
    </row>
    <row r="1000" spans="1:3" x14ac:dyDescent="0.25">
      <c r="A1000" s="2">
        <v>44879</v>
      </c>
      <c r="B1000" t="s">
        <v>14</v>
      </c>
      <c r="C1000">
        <v>95.6</v>
      </c>
    </row>
    <row r="1001" spans="1:3" x14ac:dyDescent="0.25">
      <c r="A1001" s="2">
        <v>44876</v>
      </c>
      <c r="B1001" t="s">
        <v>14</v>
      </c>
      <c r="C1001">
        <v>96.91</v>
      </c>
    </row>
    <row r="1002" spans="1:3" x14ac:dyDescent="0.25">
      <c r="A1002" s="2">
        <v>44875</v>
      </c>
      <c r="B1002" t="s">
        <v>14</v>
      </c>
      <c r="C1002">
        <v>94.504999999999995</v>
      </c>
    </row>
    <row r="1003" spans="1:3" x14ac:dyDescent="0.25">
      <c r="A1003" s="2">
        <v>44874</v>
      </c>
      <c r="B1003" t="s">
        <v>14</v>
      </c>
      <c r="C1003">
        <v>94.954999999999998</v>
      </c>
    </row>
    <row r="1004" spans="1:3" x14ac:dyDescent="0.25">
      <c r="A1004" s="2">
        <v>44873</v>
      </c>
      <c r="B1004" t="s">
        <v>14</v>
      </c>
      <c r="C1004">
        <v>99.055000000000007</v>
      </c>
    </row>
    <row r="1005" spans="1:3" x14ac:dyDescent="0.25">
      <c r="A1005" s="2">
        <v>44872</v>
      </c>
      <c r="B1005" t="s">
        <v>14</v>
      </c>
      <c r="C1005">
        <v>101.88</v>
      </c>
    </row>
    <row r="1006" spans="1:3" x14ac:dyDescent="0.25">
      <c r="A1006" s="2">
        <v>44869</v>
      </c>
      <c r="B1006" t="s">
        <v>14</v>
      </c>
      <c r="C1006">
        <v>98.765000000000001</v>
      </c>
    </row>
    <row r="1007" spans="1:3" x14ac:dyDescent="0.25">
      <c r="A1007" s="2">
        <v>44868</v>
      </c>
      <c r="B1007" t="s">
        <v>14</v>
      </c>
      <c r="C1007">
        <v>95.84</v>
      </c>
    </row>
    <row r="1008" spans="1:3" x14ac:dyDescent="0.25">
      <c r="A1008" s="2">
        <v>44867</v>
      </c>
      <c r="B1008" t="s">
        <v>14</v>
      </c>
      <c r="C1008">
        <v>97.045000000000002</v>
      </c>
    </row>
    <row r="1009" spans="1:3" x14ac:dyDescent="0.25">
      <c r="A1009" s="2">
        <v>44866</v>
      </c>
      <c r="B1009" t="s">
        <v>14</v>
      </c>
      <c r="C1009">
        <v>94.92</v>
      </c>
    </row>
    <row r="1010" spans="1:3" x14ac:dyDescent="0.25">
      <c r="A1010" s="2">
        <v>44865</v>
      </c>
      <c r="B1010" t="s">
        <v>14</v>
      </c>
      <c r="C1010">
        <v>92.77</v>
      </c>
    </row>
    <row r="1011" spans="1:3" x14ac:dyDescent="0.25">
      <c r="A1011" s="2">
        <v>44862</v>
      </c>
      <c r="B1011" t="s">
        <v>14</v>
      </c>
      <c r="C1011">
        <v>94.04</v>
      </c>
    </row>
    <row r="1012" spans="1:3" x14ac:dyDescent="0.25">
      <c r="A1012" s="2">
        <v>44861</v>
      </c>
      <c r="B1012" t="s">
        <v>14</v>
      </c>
      <c r="C1012">
        <v>95.25</v>
      </c>
    </row>
    <row r="1013" spans="1:3" x14ac:dyDescent="0.25">
      <c r="A1013" s="2">
        <v>44860</v>
      </c>
      <c r="B1013" t="s">
        <v>14</v>
      </c>
      <c r="C1013">
        <v>93.984999999999999</v>
      </c>
    </row>
    <row r="1014" spans="1:3" x14ac:dyDescent="0.25">
      <c r="A1014" s="2">
        <v>44859</v>
      </c>
      <c r="B1014" t="s">
        <v>14</v>
      </c>
      <c r="C1014">
        <v>91.655000000000001</v>
      </c>
    </row>
    <row r="1015" spans="1:3" x14ac:dyDescent="0.25">
      <c r="A1015" s="2">
        <v>44858</v>
      </c>
      <c r="B1015" t="s">
        <v>14</v>
      </c>
      <c r="C1015">
        <v>91.504999999999995</v>
      </c>
    </row>
    <row r="1016" spans="1:3" x14ac:dyDescent="0.25">
      <c r="A1016" s="2">
        <v>44855</v>
      </c>
      <c r="B1016" t="s">
        <v>14</v>
      </c>
      <c r="C1016">
        <v>91.35</v>
      </c>
    </row>
    <row r="1017" spans="1:3" x14ac:dyDescent="0.25">
      <c r="A1017" s="2">
        <v>44854</v>
      </c>
      <c r="B1017" t="s">
        <v>14</v>
      </c>
      <c r="C1017">
        <v>92.66</v>
      </c>
    </row>
    <row r="1018" spans="1:3" x14ac:dyDescent="0.25">
      <c r="A1018" s="2">
        <v>44853</v>
      </c>
      <c r="B1018" t="s">
        <v>14</v>
      </c>
      <c r="C1018">
        <v>89.91</v>
      </c>
    </row>
    <row r="1019" spans="1:3" x14ac:dyDescent="0.25">
      <c r="A1019" s="2">
        <v>44852</v>
      </c>
      <c r="B1019" t="s">
        <v>14</v>
      </c>
      <c r="C1019">
        <v>88.06</v>
      </c>
    </row>
    <row r="1020" spans="1:3" x14ac:dyDescent="0.25">
      <c r="A1020" s="2">
        <v>44851</v>
      </c>
      <c r="B1020" t="s">
        <v>14</v>
      </c>
      <c r="C1020">
        <v>91.41</v>
      </c>
    </row>
    <row r="1021" spans="1:3" x14ac:dyDescent="0.25">
      <c r="A1021" s="2">
        <v>44848</v>
      </c>
      <c r="B1021" t="s">
        <v>14</v>
      </c>
      <c r="C1021">
        <v>92.924999999999997</v>
      </c>
    </row>
    <row r="1022" spans="1:3" x14ac:dyDescent="0.25">
      <c r="A1022" s="2">
        <v>44847</v>
      </c>
      <c r="B1022" t="s">
        <v>14</v>
      </c>
      <c r="C1022">
        <v>94.1</v>
      </c>
    </row>
    <row r="1023" spans="1:3" x14ac:dyDescent="0.25">
      <c r="A1023" s="2">
        <v>44846</v>
      </c>
      <c r="B1023" t="s">
        <v>14</v>
      </c>
      <c r="C1023">
        <v>93.15</v>
      </c>
    </row>
    <row r="1024" spans="1:3" x14ac:dyDescent="0.25">
      <c r="A1024" s="2">
        <v>44845</v>
      </c>
      <c r="B1024" t="s">
        <v>14</v>
      </c>
      <c r="C1024">
        <v>95.31</v>
      </c>
    </row>
    <row r="1025" spans="1:3" x14ac:dyDescent="0.25">
      <c r="A1025" s="2">
        <v>44844</v>
      </c>
      <c r="B1025" t="s">
        <v>14</v>
      </c>
      <c r="C1025">
        <v>98.555000000000007</v>
      </c>
    </row>
    <row r="1026" spans="1:3" x14ac:dyDescent="0.25">
      <c r="A1026" s="2">
        <v>44841</v>
      </c>
      <c r="B1026" t="s">
        <v>14</v>
      </c>
      <c r="C1026">
        <v>98.64</v>
      </c>
    </row>
    <row r="1027" spans="1:3" x14ac:dyDescent="0.25">
      <c r="A1027" s="2">
        <v>44840</v>
      </c>
      <c r="B1027" t="s">
        <v>14</v>
      </c>
      <c r="C1027">
        <v>95.805000000000007</v>
      </c>
    </row>
    <row r="1028" spans="1:3" x14ac:dyDescent="0.25">
      <c r="A1028" s="2">
        <v>44839</v>
      </c>
      <c r="B1028" t="s">
        <v>14</v>
      </c>
      <c r="C1028">
        <v>95.26</v>
      </c>
    </row>
    <row r="1029" spans="1:3" x14ac:dyDescent="0.25">
      <c r="A1029" s="2">
        <v>44838</v>
      </c>
      <c r="B1029" t="s">
        <v>14</v>
      </c>
      <c r="C1029">
        <v>93.64</v>
      </c>
    </row>
    <row r="1030" spans="1:3" x14ac:dyDescent="0.25">
      <c r="A1030" s="2">
        <v>44837</v>
      </c>
      <c r="B1030" t="s">
        <v>14</v>
      </c>
      <c r="C1030">
        <v>90</v>
      </c>
    </row>
    <row r="1031" spans="1:3" x14ac:dyDescent="0.25">
      <c r="A1031" s="2">
        <v>44834</v>
      </c>
      <c r="B1031" t="s">
        <v>14</v>
      </c>
      <c r="C1031">
        <v>87.625</v>
      </c>
    </row>
    <row r="1032" spans="1:3" x14ac:dyDescent="0.25">
      <c r="A1032" s="2">
        <v>44833</v>
      </c>
      <c r="B1032" t="s">
        <v>14</v>
      </c>
      <c r="C1032">
        <v>89.97</v>
      </c>
    </row>
    <row r="1033" spans="1:3" x14ac:dyDescent="0.25">
      <c r="A1033" s="2">
        <v>44832</v>
      </c>
      <c r="B1033" t="s">
        <v>14</v>
      </c>
      <c r="C1033">
        <v>88.545000000000002</v>
      </c>
    </row>
    <row r="1034" spans="1:3" x14ac:dyDescent="0.25">
      <c r="A1034" s="2">
        <v>44831</v>
      </c>
      <c r="B1034" t="s">
        <v>14</v>
      </c>
      <c r="C1034">
        <v>86.58</v>
      </c>
    </row>
    <row r="1035" spans="1:3" x14ac:dyDescent="0.25">
      <c r="A1035" s="2">
        <v>44830</v>
      </c>
      <c r="B1035" t="s">
        <v>14</v>
      </c>
      <c r="C1035">
        <v>84.584999999999994</v>
      </c>
    </row>
    <row r="1036" spans="1:3" x14ac:dyDescent="0.25">
      <c r="A1036" s="2">
        <v>44827</v>
      </c>
      <c r="B1036" t="s">
        <v>14</v>
      </c>
      <c r="C1036">
        <v>85.295000000000002</v>
      </c>
    </row>
    <row r="1037" spans="1:3" x14ac:dyDescent="0.25">
      <c r="A1037" s="2">
        <v>44826</v>
      </c>
      <c r="B1037" t="s">
        <v>14</v>
      </c>
      <c r="C1037">
        <v>89.394999999999996</v>
      </c>
    </row>
    <row r="1038" spans="1:3" x14ac:dyDescent="0.25">
      <c r="A1038" s="2">
        <v>44825</v>
      </c>
      <c r="B1038" t="s">
        <v>14</v>
      </c>
      <c r="C1038">
        <v>88.1</v>
      </c>
    </row>
    <row r="1039" spans="1:3" x14ac:dyDescent="0.25">
      <c r="A1039" s="2">
        <v>44824</v>
      </c>
      <c r="B1039" t="s">
        <v>14</v>
      </c>
      <c r="C1039">
        <v>89.224999999999994</v>
      </c>
    </row>
    <row r="1040" spans="1:3" x14ac:dyDescent="0.25">
      <c r="A1040" s="2">
        <v>44820</v>
      </c>
      <c r="B1040" t="s">
        <v>14</v>
      </c>
      <c r="C1040">
        <v>91.15</v>
      </c>
    </row>
    <row r="1041" spans="1:3" x14ac:dyDescent="0.25">
      <c r="A1041" s="2">
        <v>44819</v>
      </c>
      <c r="B1041" t="s">
        <v>14</v>
      </c>
      <c r="C1041">
        <v>89.42</v>
      </c>
    </row>
    <row r="1042" spans="1:3" x14ac:dyDescent="0.25">
      <c r="A1042" s="2">
        <v>44818</v>
      </c>
      <c r="B1042" t="s">
        <v>14</v>
      </c>
      <c r="C1042">
        <v>93.06</v>
      </c>
    </row>
    <row r="1043" spans="1:3" x14ac:dyDescent="0.25">
      <c r="A1043" s="2">
        <v>44817</v>
      </c>
      <c r="B1043" t="s">
        <v>14</v>
      </c>
      <c r="C1043">
        <v>91.375</v>
      </c>
    </row>
    <row r="1044" spans="1:3" x14ac:dyDescent="0.25">
      <c r="A1044" s="2">
        <v>44816</v>
      </c>
      <c r="B1044" t="s">
        <v>14</v>
      </c>
      <c r="C1044">
        <v>93.064999999999998</v>
      </c>
    </row>
    <row r="1045" spans="1:3" x14ac:dyDescent="0.25">
      <c r="A1045" s="2">
        <v>44813</v>
      </c>
      <c r="B1045" t="s">
        <v>14</v>
      </c>
      <c r="C1045">
        <v>90.555000000000007</v>
      </c>
    </row>
    <row r="1046" spans="1:3" x14ac:dyDescent="0.25">
      <c r="A1046" s="2">
        <v>44812</v>
      </c>
      <c r="B1046" t="s">
        <v>14</v>
      </c>
      <c r="C1046">
        <v>87.704999999999998</v>
      </c>
    </row>
    <row r="1047" spans="1:3" x14ac:dyDescent="0.25">
      <c r="A1047" s="2">
        <v>44811</v>
      </c>
      <c r="B1047" t="s">
        <v>14</v>
      </c>
      <c r="C1047">
        <v>88.14</v>
      </c>
    </row>
    <row r="1048" spans="1:3" x14ac:dyDescent="0.25">
      <c r="A1048" s="2">
        <v>44810</v>
      </c>
      <c r="B1048" t="s">
        <v>14</v>
      </c>
      <c r="C1048">
        <v>92.11</v>
      </c>
    </row>
    <row r="1049" spans="1:3" x14ac:dyDescent="0.25">
      <c r="A1049" s="2">
        <v>44809</v>
      </c>
      <c r="B1049" t="s">
        <v>14</v>
      </c>
      <c r="C1049">
        <v>94.52</v>
      </c>
    </row>
    <row r="1050" spans="1:3" x14ac:dyDescent="0.25">
      <c r="A1050" s="2">
        <v>44806</v>
      </c>
      <c r="B1050" t="s">
        <v>14</v>
      </c>
      <c r="C1050">
        <v>94.06</v>
      </c>
    </row>
    <row r="1051" spans="1:3" x14ac:dyDescent="0.25">
      <c r="A1051" s="2">
        <v>44805</v>
      </c>
      <c r="B1051" t="s">
        <v>14</v>
      </c>
      <c r="C1051">
        <v>92.54</v>
      </c>
    </row>
    <row r="1052" spans="1:3" x14ac:dyDescent="0.25">
      <c r="A1052" s="2">
        <v>44804</v>
      </c>
      <c r="B1052" t="s">
        <v>14</v>
      </c>
      <c r="C1052">
        <v>96.68</v>
      </c>
    </row>
    <row r="1053" spans="1:3" x14ac:dyDescent="0.25">
      <c r="A1053" s="2">
        <v>44803</v>
      </c>
      <c r="B1053" t="s">
        <v>14</v>
      </c>
      <c r="C1053">
        <v>99.665000000000006</v>
      </c>
    </row>
    <row r="1054" spans="1:3" x14ac:dyDescent="0.25">
      <c r="A1054" s="2">
        <v>44799</v>
      </c>
      <c r="B1054" t="s">
        <v>14</v>
      </c>
      <c r="C1054">
        <v>98.64</v>
      </c>
    </row>
    <row r="1055" spans="1:3" x14ac:dyDescent="0.25">
      <c r="A1055" s="2">
        <v>44798</v>
      </c>
      <c r="B1055" t="s">
        <v>14</v>
      </c>
      <c r="C1055">
        <v>99.965000000000003</v>
      </c>
    </row>
    <row r="1056" spans="1:3" x14ac:dyDescent="0.25">
      <c r="A1056" s="2">
        <v>44797</v>
      </c>
      <c r="B1056" t="s">
        <v>14</v>
      </c>
      <c r="C1056">
        <v>98.74</v>
      </c>
    </row>
    <row r="1057" spans="1:3" x14ac:dyDescent="0.25">
      <c r="A1057" s="2">
        <v>44796</v>
      </c>
      <c r="B1057" t="s">
        <v>14</v>
      </c>
      <c r="C1057">
        <v>98.344999999999999</v>
      </c>
    </row>
    <row r="1058" spans="1:3" x14ac:dyDescent="0.25">
      <c r="A1058" s="2">
        <v>44795</v>
      </c>
      <c r="B1058" t="s">
        <v>14</v>
      </c>
      <c r="C1058">
        <v>93.775000000000006</v>
      </c>
    </row>
    <row r="1059" spans="1:3" x14ac:dyDescent="0.25">
      <c r="A1059" s="2">
        <v>44792</v>
      </c>
      <c r="B1059" t="s">
        <v>14</v>
      </c>
      <c r="C1059">
        <v>97.025000000000006</v>
      </c>
    </row>
    <row r="1060" spans="1:3" x14ac:dyDescent="0.25">
      <c r="A1060" s="2">
        <v>44791</v>
      </c>
      <c r="B1060" t="s">
        <v>14</v>
      </c>
      <c r="C1060">
        <v>96.28</v>
      </c>
    </row>
    <row r="1061" spans="1:3" x14ac:dyDescent="0.25">
      <c r="A1061" s="2">
        <v>44790</v>
      </c>
      <c r="B1061" t="s">
        <v>14</v>
      </c>
      <c r="C1061">
        <v>93.29</v>
      </c>
    </row>
    <row r="1062" spans="1:3" x14ac:dyDescent="0.25">
      <c r="A1062" s="2">
        <v>44789</v>
      </c>
      <c r="B1062" t="s">
        <v>14</v>
      </c>
      <c r="C1062">
        <v>96.194999999999993</v>
      </c>
    </row>
    <row r="1063" spans="1:3" x14ac:dyDescent="0.25">
      <c r="A1063" s="2">
        <v>44788</v>
      </c>
      <c r="B1063" t="s">
        <v>14</v>
      </c>
      <c r="C1063">
        <v>97.495000000000005</v>
      </c>
    </row>
    <row r="1064" spans="1:3" x14ac:dyDescent="0.25">
      <c r="A1064" s="2">
        <v>44785</v>
      </c>
      <c r="B1064" t="s">
        <v>14</v>
      </c>
      <c r="C1064">
        <v>102.995</v>
      </c>
    </row>
    <row r="1065" spans="1:3" x14ac:dyDescent="0.25">
      <c r="A1065" s="2">
        <v>44784</v>
      </c>
      <c r="B1065" t="s">
        <v>14</v>
      </c>
      <c r="C1065">
        <v>104.59</v>
      </c>
    </row>
    <row r="1066" spans="1:3" x14ac:dyDescent="0.25">
      <c r="A1066" s="2">
        <v>44783</v>
      </c>
      <c r="B1066" t="s">
        <v>14</v>
      </c>
      <c r="C1066">
        <v>100.33</v>
      </c>
    </row>
    <row r="1067" spans="1:3" x14ac:dyDescent="0.25">
      <c r="A1067" s="2">
        <v>44782</v>
      </c>
      <c r="B1067" t="s">
        <v>14</v>
      </c>
      <c r="C1067">
        <v>103.88</v>
      </c>
    </row>
    <row r="1068" spans="1:3" x14ac:dyDescent="0.25">
      <c r="A1068" s="2">
        <v>44781</v>
      </c>
      <c r="B1068" t="s">
        <v>14</v>
      </c>
      <c r="C1068">
        <v>103.535</v>
      </c>
    </row>
    <row r="1069" spans="1:3" x14ac:dyDescent="0.25">
      <c r="A1069" s="2">
        <v>44778</v>
      </c>
      <c r="B1069" t="s">
        <v>14</v>
      </c>
      <c r="C1069">
        <v>101.175</v>
      </c>
    </row>
    <row r="1070" spans="1:3" x14ac:dyDescent="0.25">
      <c r="A1070" s="2">
        <v>44777</v>
      </c>
      <c r="B1070" t="s">
        <v>14</v>
      </c>
      <c r="C1070">
        <v>98.18</v>
      </c>
    </row>
    <row r="1071" spans="1:3" x14ac:dyDescent="0.25">
      <c r="A1071" s="2">
        <v>44776</v>
      </c>
      <c r="B1071" t="s">
        <v>14</v>
      </c>
      <c r="C1071">
        <v>103.36499999999999</v>
      </c>
    </row>
    <row r="1072" spans="1:3" x14ac:dyDescent="0.25">
      <c r="A1072" s="2">
        <v>44775</v>
      </c>
      <c r="B1072" t="s">
        <v>14</v>
      </c>
      <c r="C1072">
        <v>106.205</v>
      </c>
    </row>
    <row r="1073" spans="1:3" x14ac:dyDescent="0.25">
      <c r="A1073" s="2">
        <v>44774</v>
      </c>
      <c r="B1073" t="s">
        <v>14</v>
      </c>
      <c r="C1073">
        <v>106.82</v>
      </c>
    </row>
    <row r="1074" spans="1:3" x14ac:dyDescent="0.25">
      <c r="A1074" s="2">
        <v>44771</v>
      </c>
      <c r="B1074" t="s">
        <v>14</v>
      </c>
      <c r="C1074">
        <v>114.13</v>
      </c>
    </row>
    <row r="1075" spans="1:3" x14ac:dyDescent="0.25">
      <c r="A1075" s="2">
        <v>44770</v>
      </c>
      <c r="B1075" t="s">
        <v>14</v>
      </c>
      <c r="C1075">
        <v>111.8</v>
      </c>
    </row>
    <row r="1076" spans="1:3" x14ac:dyDescent="0.25">
      <c r="A1076" s="2">
        <v>44769</v>
      </c>
      <c r="B1076" t="s">
        <v>14</v>
      </c>
      <c r="C1076">
        <v>110.52500000000001</v>
      </c>
    </row>
    <row r="1077" spans="1:3" x14ac:dyDescent="0.25">
      <c r="A1077" s="2">
        <v>44768</v>
      </c>
      <c r="B1077" t="s">
        <v>14</v>
      </c>
      <c r="C1077">
        <v>109.395</v>
      </c>
    </row>
    <row r="1078" spans="1:3" x14ac:dyDescent="0.25">
      <c r="A1078" s="2">
        <v>44767</v>
      </c>
      <c r="B1078" t="s">
        <v>14</v>
      </c>
      <c r="C1078">
        <v>108.61499999999999</v>
      </c>
    </row>
    <row r="1079" spans="1:3" x14ac:dyDescent="0.25">
      <c r="A1079" s="2">
        <v>44764</v>
      </c>
      <c r="B1079" t="s">
        <v>14</v>
      </c>
      <c r="C1079">
        <v>109.97499999999999</v>
      </c>
    </row>
    <row r="1080" spans="1:3" x14ac:dyDescent="0.25">
      <c r="A1080" s="2">
        <v>44763</v>
      </c>
      <c r="B1080" t="s">
        <v>14</v>
      </c>
      <c r="C1080">
        <v>110.93</v>
      </c>
    </row>
    <row r="1081" spans="1:3" x14ac:dyDescent="0.25">
      <c r="A1081" s="2">
        <v>44762</v>
      </c>
      <c r="B1081" t="s">
        <v>14</v>
      </c>
      <c r="C1081">
        <v>113.54</v>
      </c>
    </row>
    <row r="1082" spans="1:3" x14ac:dyDescent="0.25">
      <c r="A1082" s="2">
        <v>44761</v>
      </c>
      <c r="B1082" t="s">
        <v>14</v>
      </c>
      <c r="C1082">
        <v>113.36499999999999</v>
      </c>
    </row>
    <row r="1083" spans="1:3" x14ac:dyDescent="0.25">
      <c r="A1083" s="2">
        <v>44760</v>
      </c>
      <c r="B1083" t="s">
        <v>14</v>
      </c>
      <c r="C1083">
        <v>115.005</v>
      </c>
    </row>
    <row r="1084" spans="1:3" x14ac:dyDescent="0.25">
      <c r="A1084" s="2">
        <v>44757</v>
      </c>
      <c r="B1084" t="s">
        <v>14</v>
      </c>
      <c r="C1084">
        <v>111.16500000000001</v>
      </c>
    </row>
    <row r="1085" spans="1:3" x14ac:dyDescent="0.25">
      <c r="A1085" s="2">
        <v>44756</v>
      </c>
      <c r="B1085" t="s">
        <v>14</v>
      </c>
      <c r="C1085">
        <v>105.985</v>
      </c>
    </row>
    <row r="1086" spans="1:3" x14ac:dyDescent="0.25">
      <c r="A1086" s="2">
        <v>44755</v>
      </c>
      <c r="B1086" t="s">
        <v>14</v>
      </c>
      <c r="C1086">
        <v>108.575</v>
      </c>
    </row>
    <row r="1087" spans="1:3" x14ac:dyDescent="0.25">
      <c r="A1087" s="2">
        <v>44754</v>
      </c>
      <c r="B1087" t="s">
        <v>14</v>
      </c>
      <c r="C1087">
        <v>108.825</v>
      </c>
    </row>
    <row r="1088" spans="1:3" x14ac:dyDescent="0.25">
      <c r="A1088" s="2">
        <v>44753</v>
      </c>
      <c r="B1088" t="s">
        <v>14</v>
      </c>
      <c r="C1088">
        <v>114.59</v>
      </c>
    </row>
    <row r="1089" spans="1:3" x14ac:dyDescent="0.25">
      <c r="A1089" s="2">
        <v>44750</v>
      </c>
      <c r="B1089" t="s">
        <v>14</v>
      </c>
      <c r="C1089">
        <v>115.855</v>
      </c>
    </row>
    <row r="1090" spans="1:3" x14ac:dyDescent="0.25">
      <c r="A1090" s="2">
        <v>44749</v>
      </c>
      <c r="B1090" t="s">
        <v>14</v>
      </c>
      <c r="C1090">
        <v>114.66500000000001</v>
      </c>
    </row>
    <row r="1091" spans="1:3" x14ac:dyDescent="0.25">
      <c r="A1091" s="2">
        <v>44748</v>
      </c>
      <c r="B1091" t="s">
        <v>14</v>
      </c>
      <c r="C1091">
        <v>109.995</v>
      </c>
    </row>
    <row r="1092" spans="1:3" x14ac:dyDescent="0.25">
      <c r="A1092" s="2">
        <v>44747</v>
      </c>
      <c r="B1092" t="s">
        <v>14</v>
      </c>
      <c r="C1092">
        <v>113.44</v>
      </c>
    </row>
    <row r="1093" spans="1:3" x14ac:dyDescent="0.25">
      <c r="A1093" s="2">
        <v>44746</v>
      </c>
      <c r="B1093" t="s">
        <v>14</v>
      </c>
      <c r="C1093">
        <v>124.85</v>
      </c>
    </row>
    <row r="1094" spans="1:3" x14ac:dyDescent="0.25">
      <c r="A1094" s="2">
        <v>44743</v>
      </c>
      <c r="B1094" t="s">
        <v>14</v>
      </c>
      <c r="C1094">
        <v>121.52</v>
      </c>
    </row>
    <row r="1095" spans="1:3" x14ac:dyDescent="0.25">
      <c r="A1095" s="2">
        <v>44742</v>
      </c>
      <c r="B1095" t="s">
        <v>14</v>
      </c>
      <c r="C1095">
        <v>120.47499999999999</v>
      </c>
    </row>
    <row r="1096" spans="1:3" x14ac:dyDescent="0.25">
      <c r="A1096" s="2">
        <v>44741</v>
      </c>
      <c r="B1096" t="s">
        <v>14</v>
      </c>
      <c r="C1096">
        <v>124.61</v>
      </c>
    </row>
    <row r="1097" spans="1:3" x14ac:dyDescent="0.25">
      <c r="A1097" s="2">
        <v>44740</v>
      </c>
      <c r="B1097" t="s">
        <v>14</v>
      </c>
      <c r="C1097">
        <v>122.875</v>
      </c>
    </row>
    <row r="1098" spans="1:3" x14ac:dyDescent="0.25">
      <c r="A1098" s="2">
        <v>44739</v>
      </c>
      <c r="B1098" t="s">
        <v>14</v>
      </c>
      <c r="C1098">
        <v>120.655</v>
      </c>
    </row>
    <row r="1099" spans="1:3" x14ac:dyDescent="0.25">
      <c r="A1099" s="2">
        <v>44736</v>
      </c>
      <c r="B1099" t="s">
        <v>14</v>
      </c>
      <c r="C1099">
        <v>119.965</v>
      </c>
    </row>
    <row r="1100" spans="1:3" x14ac:dyDescent="0.25">
      <c r="A1100" s="2">
        <v>44735</v>
      </c>
      <c r="B1100" t="s">
        <v>14</v>
      </c>
      <c r="C1100">
        <v>117.34</v>
      </c>
    </row>
    <row r="1101" spans="1:3" x14ac:dyDescent="0.25">
      <c r="A1101" s="2">
        <v>44734</v>
      </c>
      <c r="B1101" t="s">
        <v>14</v>
      </c>
      <c r="C1101">
        <v>116.59</v>
      </c>
    </row>
    <row r="1102" spans="1:3" x14ac:dyDescent="0.25">
      <c r="A1102" s="2">
        <v>44733</v>
      </c>
      <c r="B1102" t="s">
        <v>14</v>
      </c>
      <c r="C1102">
        <v>120.55</v>
      </c>
    </row>
    <row r="1103" spans="1:3" x14ac:dyDescent="0.25">
      <c r="A1103" s="2">
        <v>44732</v>
      </c>
      <c r="B1103" t="s">
        <v>14</v>
      </c>
      <c r="C1103">
        <v>119.755</v>
      </c>
    </row>
    <row r="1104" spans="1:3" x14ac:dyDescent="0.25">
      <c r="A1104" s="2">
        <v>44729</v>
      </c>
      <c r="B1104" t="s">
        <v>14</v>
      </c>
      <c r="C1104">
        <v>120.795</v>
      </c>
    </row>
    <row r="1105" spans="1:3" x14ac:dyDescent="0.25">
      <c r="A1105" s="2">
        <v>44728</v>
      </c>
      <c r="B1105" t="s">
        <v>14</v>
      </c>
      <c r="C1105">
        <v>124.27500000000001</v>
      </c>
    </row>
    <row r="1106" spans="1:3" x14ac:dyDescent="0.25">
      <c r="A1106" s="2">
        <v>44727</v>
      </c>
      <c r="B1106" t="s">
        <v>14</v>
      </c>
      <c r="C1106">
        <v>128.18</v>
      </c>
    </row>
    <row r="1107" spans="1:3" x14ac:dyDescent="0.25">
      <c r="A1107" s="2">
        <v>44726</v>
      </c>
      <c r="B1107" t="s">
        <v>14</v>
      </c>
      <c r="C1107">
        <v>132.07</v>
      </c>
    </row>
    <row r="1108" spans="1:3" x14ac:dyDescent="0.25">
      <c r="A1108" s="2">
        <v>44725</v>
      </c>
      <c r="B1108" t="s">
        <v>14</v>
      </c>
      <c r="C1108">
        <v>127.985</v>
      </c>
    </row>
    <row r="1109" spans="1:3" x14ac:dyDescent="0.25">
      <c r="A1109" s="2">
        <v>44722</v>
      </c>
      <c r="B1109" t="s">
        <v>14</v>
      </c>
      <c r="C1109">
        <v>127.405</v>
      </c>
    </row>
    <row r="1110" spans="1:3" x14ac:dyDescent="0.25">
      <c r="A1110" s="2">
        <v>44721</v>
      </c>
      <c r="B1110" t="s">
        <v>14</v>
      </c>
      <c r="C1110">
        <v>129.14500000000001</v>
      </c>
    </row>
    <row r="1111" spans="1:3" x14ac:dyDescent="0.25">
      <c r="A1111" s="2">
        <v>44720</v>
      </c>
      <c r="B1111" t="s">
        <v>14</v>
      </c>
      <c r="C1111">
        <v>128.215</v>
      </c>
    </row>
    <row r="1112" spans="1:3" x14ac:dyDescent="0.25">
      <c r="A1112" s="2">
        <v>44719</v>
      </c>
      <c r="B1112" t="s">
        <v>14</v>
      </c>
      <c r="C1112">
        <v>126.045</v>
      </c>
    </row>
    <row r="1113" spans="1:3" x14ac:dyDescent="0.25">
      <c r="A1113" s="2">
        <v>44718</v>
      </c>
      <c r="B1113" t="s">
        <v>14</v>
      </c>
      <c r="C1113">
        <v>124.47499999999999</v>
      </c>
    </row>
    <row r="1114" spans="1:3" x14ac:dyDescent="0.25">
      <c r="A1114" s="2">
        <v>44713</v>
      </c>
      <c r="B1114" t="s">
        <v>14</v>
      </c>
      <c r="C1114">
        <v>122.83499999999999</v>
      </c>
    </row>
    <row r="1115" spans="1:3" x14ac:dyDescent="0.25">
      <c r="A1115" s="2">
        <v>44712</v>
      </c>
      <c r="B1115" t="s">
        <v>14</v>
      </c>
      <c r="C1115">
        <v>124.17</v>
      </c>
    </row>
    <row r="1116" spans="1:3" x14ac:dyDescent="0.25">
      <c r="A1116" s="2">
        <v>44711</v>
      </c>
      <c r="B1116" t="s">
        <v>14</v>
      </c>
      <c r="C1116">
        <v>122.05</v>
      </c>
    </row>
    <row r="1117" spans="1:3" x14ac:dyDescent="0.25">
      <c r="A1117" s="2">
        <v>44708</v>
      </c>
      <c r="B1117" t="s">
        <v>14</v>
      </c>
      <c r="C1117">
        <v>119.44</v>
      </c>
    </row>
    <row r="1118" spans="1:3" x14ac:dyDescent="0.25">
      <c r="A1118" s="2">
        <v>44707</v>
      </c>
      <c r="B1118" t="s">
        <v>14</v>
      </c>
      <c r="C1118">
        <v>118.83</v>
      </c>
    </row>
    <row r="1119" spans="1:3" x14ac:dyDescent="0.25">
      <c r="A1119" s="2">
        <v>44706</v>
      </c>
      <c r="B1119" t="s">
        <v>14</v>
      </c>
      <c r="C1119">
        <v>115.58499999999999</v>
      </c>
    </row>
    <row r="1120" spans="1:3" x14ac:dyDescent="0.25">
      <c r="A1120" s="2">
        <v>44705</v>
      </c>
      <c r="B1120" t="s">
        <v>14</v>
      </c>
      <c r="C1120">
        <v>115.59</v>
      </c>
    </row>
    <row r="1121" spans="1:3" x14ac:dyDescent="0.25">
      <c r="A1121" s="2">
        <v>44704</v>
      </c>
      <c r="B1121" t="s">
        <v>14</v>
      </c>
      <c r="C1121">
        <v>115.46</v>
      </c>
    </row>
    <row r="1122" spans="1:3" x14ac:dyDescent="0.25">
      <c r="A1122" s="2">
        <v>44701</v>
      </c>
      <c r="B1122" t="s">
        <v>14</v>
      </c>
      <c r="C1122">
        <v>113.87</v>
      </c>
    </row>
    <row r="1123" spans="1:3" x14ac:dyDescent="0.25">
      <c r="A1123" s="2">
        <v>44700</v>
      </c>
      <c r="B1123" t="s">
        <v>14</v>
      </c>
      <c r="C1123">
        <v>111.435</v>
      </c>
    </row>
    <row r="1124" spans="1:3" x14ac:dyDescent="0.25">
      <c r="A1124" s="2">
        <v>44699</v>
      </c>
      <c r="B1124" t="s">
        <v>14</v>
      </c>
      <c r="C1124">
        <v>111.27500000000001</v>
      </c>
    </row>
    <row r="1125" spans="1:3" x14ac:dyDescent="0.25">
      <c r="A1125" s="2">
        <v>44698</v>
      </c>
      <c r="B1125" t="s">
        <v>14</v>
      </c>
      <c r="C1125">
        <v>116.25</v>
      </c>
    </row>
    <row r="1126" spans="1:3" x14ac:dyDescent="0.25">
      <c r="A1126" s="2">
        <v>44697</v>
      </c>
      <c r="B1126" t="s">
        <v>14</v>
      </c>
      <c r="C1126">
        <v>113.07</v>
      </c>
    </row>
    <row r="1127" spans="1:3" x14ac:dyDescent="0.25">
      <c r="A1127" s="2">
        <v>44694</v>
      </c>
      <c r="B1127" t="s">
        <v>14</v>
      </c>
      <c r="C1127">
        <v>111.33</v>
      </c>
    </row>
    <row r="1128" spans="1:3" x14ac:dyDescent="0.25">
      <c r="A1128" s="2">
        <v>44693</v>
      </c>
      <c r="B1128" t="s">
        <v>14</v>
      </c>
      <c r="C1128">
        <v>108.81</v>
      </c>
    </row>
    <row r="1129" spans="1:3" x14ac:dyDescent="0.25">
      <c r="A1129" s="2">
        <v>44692</v>
      </c>
      <c r="B1129" t="s">
        <v>14</v>
      </c>
      <c r="C1129">
        <v>107.645</v>
      </c>
    </row>
    <row r="1130" spans="1:3" x14ac:dyDescent="0.25">
      <c r="A1130" s="2">
        <v>44691</v>
      </c>
      <c r="B1130" t="s">
        <v>14</v>
      </c>
      <c r="C1130">
        <v>103.97499999999999</v>
      </c>
    </row>
    <row r="1131" spans="1:3" x14ac:dyDescent="0.25">
      <c r="A1131" s="2">
        <v>44690</v>
      </c>
      <c r="B1131" t="s">
        <v>14</v>
      </c>
      <c r="C1131">
        <v>106.785</v>
      </c>
    </row>
    <row r="1132" spans="1:3" x14ac:dyDescent="0.25">
      <c r="A1132" s="2">
        <v>44687</v>
      </c>
      <c r="B1132" t="s">
        <v>14</v>
      </c>
      <c r="C1132">
        <v>114.23</v>
      </c>
    </row>
    <row r="1133" spans="1:3" x14ac:dyDescent="0.25">
      <c r="A1133" s="2">
        <v>44686</v>
      </c>
      <c r="B1133" t="s">
        <v>14</v>
      </c>
      <c r="C1133">
        <v>112.16</v>
      </c>
    </row>
    <row r="1134" spans="1:3" x14ac:dyDescent="0.25">
      <c r="A1134" s="2">
        <v>44685</v>
      </c>
      <c r="B1134" t="s">
        <v>14</v>
      </c>
      <c r="C1134">
        <v>108.81</v>
      </c>
    </row>
    <row r="1135" spans="1:3" x14ac:dyDescent="0.25">
      <c r="A1135" s="2">
        <v>44684</v>
      </c>
      <c r="B1135" t="s">
        <v>14</v>
      </c>
      <c r="C1135">
        <v>106.02500000000001</v>
      </c>
    </row>
    <row r="1136" spans="1:3" x14ac:dyDescent="0.25">
      <c r="A1136" s="2">
        <v>44680</v>
      </c>
      <c r="B1136" t="s">
        <v>14</v>
      </c>
      <c r="C1136">
        <v>108.15</v>
      </c>
    </row>
    <row r="1137" spans="1:3" x14ac:dyDescent="0.25">
      <c r="A1137" s="2">
        <v>44679</v>
      </c>
      <c r="B1137" t="s">
        <v>14</v>
      </c>
      <c r="C1137">
        <v>105.705</v>
      </c>
    </row>
    <row r="1138" spans="1:3" x14ac:dyDescent="0.25">
      <c r="A1138" s="2">
        <v>44678</v>
      </c>
      <c r="B1138" t="s">
        <v>14</v>
      </c>
      <c r="C1138">
        <v>102.88500000000001</v>
      </c>
    </row>
    <row r="1139" spans="1:3" x14ac:dyDescent="0.25">
      <c r="A1139" s="2">
        <v>44677</v>
      </c>
      <c r="B1139" t="s">
        <v>14</v>
      </c>
      <c r="C1139">
        <v>102.19499999999999</v>
      </c>
    </row>
    <row r="1140" spans="1:3" x14ac:dyDescent="0.25">
      <c r="A1140" s="2">
        <v>44676</v>
      </c>
      <c r="B1140" t="s">
        <v>14</v>
      </c>
      <c r="C1140">
        <v>97.69</v>
      </c>
    </row>
    <row r="1141" spans="1:3" x14ac:dyDescent="0.25">
      <c r="A1141" s="2">
        <v>44673</v>
      </c>
      <c r="B1141" t="s">
        <v>14</v>
      </c>
      <c r="C1141">
        <v>105.505</v>
      </c>
    </row>
    <row r="1142" spans="1:3" x14ac:dyDescent="0.25">
      <c r="A1142" s="2">
        <v>44672</v>
      </c>
      <c r="B1142" t="s">
        <v>14</v>
      </c>
      <c r="C1142">
        <v>106.325</v>
      </c>
    </row>
    <row r="1143" spans="1:3" x14ac:dyDescent="0.25">
      <c r="A1143" s="2">
        <v>44671</v>
      </c>
      <c r="B1143" t="s">
        <v>14</v>
      </c>
      <c r="C1143">
        <v>105.53</v>
      </c>
    </row>
    <row r="1144" spans="1:3" x14ac:dyDescent="0.25">
      <c r="A1144" s="2">
        <v>44670</v>
      </c>
      <c r="B1144" t="s">
        <v>14</v>
      </c>
      <c r="C1144">
        <v>105.765</v>
      </c>
    </row>
    <row r="1145" spans="1:3" x14ac:dyDescent="0.25">
      <c r="A1145" s="2">
        <v>44665</v>
      </c>
      <c r="B1145" t="s">
        <v>14</v>
      </c>
      <c r="C1145">
        <v>106.89</v>
      </c>
    </row>
    <row r="1146" spans="1:3" x14ac:dyDescent="0.25">
      <c r="A1146" s="2">
        <v>44664</v>
      </c>
      <c r="B1146" t="s">
        <v>14</v>
      </c>
      <c r="C1146">
        <v>106.495</v>
      </c>
    </row>
    <row r="1147" spans="1:3" x14ac:dyDescent="0.25">
      <c r="A1147" s="2">
        <v>44663</v>
      </c>
      <c r="B1147" t="s">
        <v>14</v>
      </c>
      <c r="C1147">
        <v>104.91500000000001</v>
      </c>
    </row>
    <row r="1148" spans="1:3" x14ac:dyDescent="0.25">
      <c r="A1148" s="2">
        <v>44662</v>
      </c>
      <c r="B1148" t="s">
        <v>14</v>
      </c>
      <c r="C1148">
        <v>98.43</v>
      </c>
    </row>
    <row r="1149" spans="1:3" x14ac:dyDescent="0.25">
      <c r="A1149" s="2">
        <v>44659</v>
      </c>
      <c r="B1149" t="s">
        <v>14</v>
      </c>
      <c r="C1149">
        <v>99.965000000000003</v>
      </c>
    </row>
    <row r="1150" spans="1:3" x14ac:dyDescent="0.25">
      <c r="A1150" s="2">
        <v>44658</v>
      </c>
      <c r="B1150" t="s">
        <v>14</v>
      </c>
      <c r="C1150">
        <v>98.844999999999999</v>
      </c>
    </row>
    <row r="1151" spans="1:3" x14ac:dyDescent="0.25">
      <c r="A1151" s="2">
        <v>44657</v>
      </c>
      <c r="B1151" t="s">
        <v>14</v>
      </c>
      <c r="C1151">
        <v>104.34</v>
      </c>
    </row>
    <row r="1152" spans="1:3" x14ac:dyDescent="0.25">
      <c r="A1152" s="2">
        <v>44656</v>
      </c>
      <c r="B1152" t="s">
        <v>14</v>
      </c>
      <c r="C1152">
        <v>107.185</v>
      </c>
    </row>
    <row r="1153" spans="1:3" x14ac:dyDescent="0.25">
      <c r="A1153" s="2">
        <v>44655</v>
      </c>
      <c r="B1153" t="s">
        <v>14</v>
      </c>
      <c r="C1153">
        <v>108.435</v>
      </c>
    </row>
    <row r="1154" spans="1:3" x14ac:dyDescent="0.25">
      <c r="A1154" s="2">
        <v>44652</v>
      </c>
      <c r="B1154" t="s">
        <v>14</v>
      </c>
      <c r="C1154">
        <v>107.015</v>
      </c>
    </row>
    <row r="1155" spans="1:3" x14ac:dyDescent="0.25">
      <c r="A1155" s="2">
        <v>44651</v>
      </c>
      <c r="B1155" t="s">
        <v>14</v>
      </c>
      <c r="C1155">
        <v>110.29</v>
      </c>
    </row>
    <row r="1156" spans="1:3" x14ac:dyDescent="0.25">
      <c r="A1156" s="2">
        <v>44650</v>
      </c>
      <c r="B1156" t="s">
        <v>14</v>
      </c>
      <c r="C1156">
        <v>115.43</v>
      </c>
    </row>
    <row r="1157" spans="1:3" x14ac:dyDescent="0.25">
      <c r="A1157" s="2">
        <v>44649</v>
      </c>
      <c r="B1157" t="s">
        <v>14</v>
      </c>
      <c r="C1157">
        <v>112.035</v>
      </c>
    </row>
    <row r="1158" spans="1:3" x14ac:dyDescent="0.25">
      <c r="A1158" s="2">
        <v>44648</v>
      </c>
      <c r="B1158" t="s">
        <v>14</v>
      </c>
      <c r="C1158">
        <v>117.015</v>
      </c>
    </row>
    <row r="1159" spans="1:3" x14ac:dyDescent="0.25">
      <c r="A1159" s="2">
        <v>44645</v>
      </c>
      <c r="B1159" t="s">
        <v>14</v>
      </c>
      <c r="C1159">
        <v>124.2</v>
      </c>
    </row>
    <row r="1160" spans="1:3" x14ac:dyDescent="0.25">
      <c r="A1160" s="2">
        <v>44644</v>
      </c>
      <c r="B1160" t="s">
        <v>14</v>
      </c>
      <c r="C1160">
        <v>123.86499999999999</v>
      </c>
    </row>
    <row r="1161" spans="1:3" x14ac:dyDescent="0.25">
      <c r="A1161" s="2">
        <v>44643</v>
      </c>
      <c r="B1161" t="s">
        <v>14</v>
      </c>
      <c r="C1161">
        <v>126.61499999999999</v>
      </c>
    </row>
    <row r="1162" spans="1:3" x14ac:dyDescent="0.25">
      <c r="A1162" s="2">
        <v>44642</v>
      </c>
      <c r="B1162" t="s">
        <v>14</v>
      </c>
      <c r="C1162">
        <v>120.325</v>
      </c>
    </row>
    <row r="1163" spans="1:3" x14ac:dyDescent="0.25">
      <c r="A1163" s="2">
        <v>44641</v>
      </c>
      <c r="B1163" t="s">
        <v>14</v>
      </c>
      <c r="C1163">
        <v>120.43</v>
      </c>
    </row>
    <row r="1164" spans="1:3" x14ac:dyDescent="0.25">
      <c r="A1164" s="2">
        <v>44638</v>
      </c>
      <c r="B1164" t="s">
        <v>14</v>
      </c>
      <c r="C1164">
        <v>113.52500000000001</v>
      </c>
    </row>
    <row r="1165" spans="1:3" x14ac:dyDescent="0.25">
      <c r="A1165" s="2">
        <v>44637</v>
      </c>
      <c r="B1165" t="s">
        <v>14</v>
      </c>
      <c r="C1165">
        <v>113.565</v>
      </c>
    </row>
    <row r="1166" spans="1:3" x14ac:dyDescent="0.25">
      <c r="A1166" s="2">
        <v>44636</v>
      </c>
      <c r="B1166" t="s">
        <v>14</v>
      </c>
      <c r="C1166">
        <v>106.075</v>
      </c>
    </row>
    <row r="1167" spans="1:3" x14ac:dyDescent="0.25">
      <c r="A1167" s="2">
        <v>44635</v>
      </c>
      <c r="B1167" t="s">
        <v>14</v>
      </c>
      <c r="C1167">
        <v>107.88500000000001</v>
      </c>
    </row>
    <row r="1168" spans="1:3" x14ac:dyDescent="0.25">
      <c r="A1168" s="2">
        <v>44634</v>
      </c>
      <c r="B1168" t="s">
        <v>14</v>
      </c>
      <c r="C1168">
        <v>111.455</v>
      </c>
    </row>
    <row r="1169" spans="1:3" x14ac:dyDescent="0.25">
      <c r="A1169" s="2">
        <v>44631</v>
      </c>
      <c r="B1169" t="s">
        <v>14</v>
      </c>
      <c r="C1169">
        <v>118.88500000000001</v>
      </c>
    </row>
    <row r="1170" spans="1:3" x14ac:dyDescent="0.25">
      <c r="A1170" s="2">
        <v>44630</v>
      </c>
      <c r="B1170" t="s">
        <v>14</v>
      </c>
      <c r="C1170">
        <v>121.285</v>
      </c>
    </row>
    <row r="1171" spans="1:3" x14ac:dyDescent="0.25">
      <c r="A1171" s="2">
        <v>44629</v>
      </c>
      <c r="B1171" t="s">
        <v>14</v>
      </c>
      <c r="C1171">
        <v>129.55500000000001</v>
      </c>
    </row>
    <row r="1172" spans="1:3" x14ac:dyDescent="0.25">
      <c r="A1172" s="2">
        <v>44628</v>
      </c>
      <c r="B1172" t="s">
        <v>14</v>
      </c>
      <c r="C1172">
        <v>137.66499999999999</v>
      </c>
    </row>
    <row r="1173" spans="1:3" x14ac:dyDescent="0.25">
      <c r="A1173" s="2">
        <v>44627</v>
      </c>
      <c r="B1173" t="s">
        <v>14</v>
      </c>
      <c r="C1173">
        <v>130.005</v>
      </c>
    </row>
    <row r="1174" spans="1:3" x14ac:dyDescent="0.25">
      <c r="A1174" s="2">
        <v>44624</v>
      </c>
      <c r="B1174" t="s">
        <v>14</v>
      </c>
      <c r="C1174">
        <v>119.97</v>
      </c>
    </row>
    <row r="1175" spans="1:3" x14ac:dyDescent="0.25">
      <c r="A1175" s="2">
        <v>44623</v>
      </c>
      <c r="B1175" t="s">
        <v>14</v>
      </c>
      <c r="C1175">
        <v>119.795</v>
      </c>
    </row>
    <row r="1176" spans="1:3" x14ac:dyDescent="0.25">
      <c r="A1176" s="2">
        <v>44622</v>
      </c>
      <c r="B1176" t="s">
        <v>14</v>
      </c>
      <c r="C1176">
        <v>117.26</v>
      </c>
    </row>
    <row r="1177" spans="1:3" x14ac:dyDescent="0.25">
      <c r="A1177" s="2">
        <v>44621</v>
      </c>
      <c r="B1177" t="s">
        <v>14</v>
      </c>
      <c r="C1177">
        <v>112.895</v>
      </c>
    </row>
    <row r="1178" spans="1:3" x14ac:dyDescent="0.25">
      <c r="A1178" s="2">
        <v>44620</v>
      </c>
      <c r="B1178" t="s">
        <v>14</v>
      </c>
      <c r="C1178">
        <v>103.33499999999999</v>
      </c>
    </row>
    <row r="1179" spans="1:3" x14ac:dyDescent="0.25">
      <c r="A1179" s="2">
        <v>44617</v>
      </c>
      <c r="B1179" t="s">
        <v>14</v>
      </c>
      <c r="C1179">
        <v>99.484999999999999</v>
      </c>
    </row>
    <row r="1180" spans="1:3" x14ac:dyDescent="0.25">
      <c r="A1180" s="2">
        <v>44616</v>
      </c>
      <c r="B1180" t="s">
        <v>14</v>
      </c>
      <c r="C1180">
        <v>106.5</v>
      </c>
    </row>
    <row r="1181" spans="1:3" x14ac:dyDescent="0.25">
      <c r="A1181" s="2">
        <v>44615</v>
      </c>
      <c r="B1181" t="s">
        <v>14</v>
      </c>
      <c r="C1181">
        <v>100.47</v>
      </c>
    </row>
    <row r="1182" spans="1:3" x14ac:dyDescent="0.25">
      <c r="A1182" s="2">
        <v>44614</v>
      </c>
      <c r="B1182" t="s">
        <v>14</v>
      </c>
      <c r="C1182">
        <v>100.34</v>
      </c>
    </row>
    <row r="1183" spans="1:3" x14ac:dyDescent="0.25">
      <c r="A1183" s="2">
        <v>44613</v>
      </c>
      <c r="B1183" t="s">
        <v>14</v>
      </c>
      <c r="C1183">
        <v>99.19</v>
      </c>
    </row>
    <row r="1184" spans="1:3" x14ac:dyDescent="0.25">
      <c r="A1184" s="2">
        <v>44610</v>
      </c>
      <c r="B1184" t="s">
        <v>14</v>
      </c>
      <c r="C1184">
        <v>97.34</v>
      </c>
    </row>
    <row r="1185" spans="1:3" x14ac:dyDescent="0.25">
      <c r="A1185" s="2">
        <v>44609</v>
      </c>
      <c r="B1185" t="s">
        <v>14</v>
      </c>
      <c r="C1185">
        <v>97.114999999999995</v>
      </c>
    </row>
    <row r="1186" spans="1:3" x14ac:dyDescent="0.25">
      <c r="A1186" s="2">
        <v>44608</v>
      </c>
      <c r="B1186" t="s">
        <v>14</v>
      </c>
      <c r="C1186">
        <v>100.91500000000001</v>
      </c>
    </row>
    <row r="1187" spans="1:3" x14ac:dyDescent="0.25">
      <c r="A1187" s="2">
        <v>44607</v>
      </c>
      <c r="B1187" t="s">
        <v>14</v>
      </c>
      <c r="C1187">
        <v>97.674999999999997</v>
      </c>
    </row>
    <row r="1188" spans="1:3" x14ac:dyDescent="0.25">
      <c r="A1188" s="2">
        <v>44606</v>
      </c>
      <c r="B1188" t="s">
        <v>14</v>
      </c>
      <c r="C1188">
        <v>99.525000000000006</v>
      </c>
    </row>
    <row r="1189" spans="1:3" x14ac:dyDescent="0.25">
      <c r="A1189" s="2">
        <v>44603</v>
      </c>
      <c r="B1189" t="s">
        <v>14</v>
      </c>
      <c r="C1189">
        <v>97.944999999999993</v>
      </c>
    </row>
    <row r="1190" spans="1:3" x14ac:dyDescent="0.25">
      <c r="A1190" s="2">
        <v>44602</v>
      </c>
      <c r="B1190" t="s">
        <v>14</v>
      </c>
      <c r="C1190">
        <v>97.38</v>
      </c>
    </row>
    <row r="1191" spans="1:3" x14ac:dyDescent="0.25">
      <c r="A1191" s="2">
        <v>44601</v>
      </c>
      <c r="B1191" t="s">
        <v>14</v>
      </c>
      <c r="C1191">
        <v>96.78</v>
      </c>
    </row>
    <row r="1192" spans="1:3" x14ac:dyDescent="0.25">
      <c r="A1192" s="2">
        <v>44600</v>
      </c>
      <c r="B1192" t="s">
        <v>14</v>
      </c>
      <c r="C1192">
        <v>95.454999999999998</v>
      </c>
    </row>
    <row r="1193" spans="1:3" x14ac:dyDescent="0.25">
      <c r="A1193" s="2">
        <v>44599</v>
      </c>
      <c r="B1193" t="s">
        <v>14</v>
      </c>
      <c r="C1193">
        <v>98.224999999999994</v>
      </c>
    </row>
    <row r="1194" spans="1:3" x14ac:dyDescent="0.25">
      <c r="A1194" s="2">
        <v>44596</v>
      </c>
      <c r="B1194" t="s">
        <v>14</v>
      </c>
      <c r="C1194">
        <v>97.625</v>
      </c>
    </row>
    <row r="1195" spans="1:3" x14ac:dyDescent="0.25">
      <c r="A1195" s="2">
        <v>44595</v>
      </c>
      <c r="B1195" t="s">
        <v>14</v>
      </c>
      <c r="C1195">
        <v>93.385000000000005</v>
      </c>
    </row>
    <row r="1196" spans="1:3" x14ac:dyDescent="0.25">
      <c r="A1196" s="2">
        <v>44594</v>
      </c>
      <c r="B1196" t="s">
        <v>14</v>
      </c>
      <c r="C1196">
        <v>92.034999999999997</v>
      </c>
    </row>
    <row r="1197" spans="1:3" x14ac:dyDescent="0.25">
      <c r="A1197" s="2">
        <v>44593</v>
      </c>
      <c r="B1197" t="s">
        <v>14</v>
      </c>
      <c r="C1197">
        <v>93.254999999999995</v>
      </c>
    </row>
    <row r="1198" spans="1:3" x14ac:dyDescent="0.25">
      <c r="A1198" s="2">
        <v>44592</v>
      </c>
      <c r="B1198" t="s">
        <v>14</v>
      </c>
      <c r="C1198">
        <v>92.484999999999999</v>
      </c>
    </row>
    <row r="1199" spans="1:3" x14ac:dyDescent="0.25">
      <c r="A1199" s="2">
        <v>44589</v>
      </c>
      <c r="B1199" t="s">
        <v>14</v>
      </c>
      <c r="C1199">
        <v>92.87</v>
      </c>
    </row>
    <row r="1200" spans="1:3" x14ac:dyDescent="0.25">
      <c r="A1200" s="2">
        <v>44588</v>
      </c>
      <c r="B1200" t="s">
        <v>14</v>
      </c>
      <c r="C1200">
        <v>91.284999999999997</v>
      </c>
    </row>
    <row r="1201" spans="1:3" x14ac:dyDescent="0.25">
      <c r="A1201" s="2">
        <v>44587</v>
      </c>
      <c r="B1201" t="s">
        <v>14</v>
      </c>
      <c r="C1201">
        <v>92.025000000000006</v>
      </c>
    </row>
    <row r="1202" spans="1:3" x14ac:dyDescent="0.25">
      <c r="A1202" s="2">
        <v>44586</v>
      </c>
      <c r="B1202" t="s">
        <v>14</v>
      </c>
      <c r="C1202">
        <v>89.465000000000003</v>
      </c>
    </row>
    <row r="1203" spans="1:3" x14ac:dyDescent="0.25">
      <c r="A1203" s="2">
        <v>44585</v>
      </c>
      <c r="B1203" t="s">
        <v>14</v>
      </c>
      <c r="C1203">
        <v>87.51</v>
      </c>
    </row>
    <row r="1204" spans="1:3" x14ac:dyDescent="0.25">
      <c r="A1204" s="2">
        <v>44582</v>
      </c>
      <c r="B1204" t="s">
        <v>14</v>
      </c>
      <c r="C1204">
        <v>89.704999999999998</v>
      </c>
    </row>
    <row r="1205" spans="1:3" x14ac:dyDescent="0.25">
      <c r="A1205" s="2">
        <v>44581</v>
      </c>
      <c r="B1205" t="s">
        <v>14</v>
      </c>
      <c r="C1205">
        <v>90.9</v>
      </c>
    </row>
    <row r="1206" spans="1:3" x14ac:dyDescent="0.25">
      <c r="A1206" s="2">
        <v>44580</v>
      </c>
      <c r="B1206" t="s">
        <v>14</v>
      </c>
      <c r="C1206">
        <v>90.515000000000001</v>
      </c>
    </row>
    <row r="1207" spans="1:3" x14ac:dyDescent="0.25">
      <c r="A1207" s="2">
        <v>44579</v>
      </c>
      <c r="B1207" t="s">
        <v>14</v>
      </c>
      <c r="C1207">
        <v>88.495000000000005</v>
      </c>
    </row>
    <row r="1208" spans="1:3" x14ac:dyDescent="0.25">
      <c r="A1208" s="2">
        <v>44578</v>
      </c>
      <c r="B1208" t="s">
        <v>14</v>
      </c>
      <c r="C1208">
        <v>87.73</v>
      </c>
    </row>
    <row r="1209" spans="1:3" x14ac:dyDescent="0.25">
      <c r="A1209" s="2">
        <v>44575</v>
      </c>
      <c r="B1209" t="s">
        <v>14</v>
      </c>
      <c r="C1209">
        <v>86.944999999999993</v>
      </c>
    </row>
    <row r="1210" spans="1:3" x14ac:dyDescent="0.25">
      <c r="A1210" s="2">
        <v>44574</v>
      </c>
      <c r="B1210" t="s">
        <v>14</v>
      </c>
      <c r="C1210">
        <v>86.194999999999993</v>
      </c>
    </row>
    <row r="1211" spans="1:3" x14ac:dyDescent="0.25">
      <c r="A1211" s="2">
        <v>44573</v>
      </c>
      <c r="B1211" t="s">
        <v>14</v>
      </c>
      <c r="C1211">
        <v>86.534999999999997</v>
      </c>
    </row>
    <row r="1212" spans="1:3" x14ac:dyDescent="0.25">
      <c r="A1212" s="2">
        <v>44572</v>
      </c>
      <c r="B1212" t="s">
        <v>14</v>
      </c>
      <c r="C1212">
        <v>84.55</v>
      </c>
    </row>
    <row r="1213" spans="1:3" x14ac:dyDescent="0.25">
      <c r="A1213" s="2">
        <v>44571</v>
      </c>
      <c r="B1213" t="s">
        <v>14</v>
      </c>
      <c r="C1213">
        <v>82.23</v>
      </c>
    </row>
    <row r="1214" spans="1:3" x14ac:dyDescent="0.25">
      <c r="A1214" s="2">
        <v>44568</v>
      </c>
      <c r="B1214" t="s">
        <v>14</v>
      </c>
      <c r="C1214">
        <v>82.265000000000001</v>
      </c>
    </row>
    <row r="1215" spans="1:3" x14ac:dyDescent="0.25">
      <c r="A1215" s="2">
        <v>44567</v>
      </c>
      <c r="B1215" t="s">
        <v>14</v>
      </c>
      <c r="C1215">
        <v>82.26</v>
      </c>
    </row>
    <row r="1216" spans="1:3" x14ac:dyDescent="0.25">
      <c r="A1216" s="2">
        <v>44566</v>
      </c>
      <c r="B1216" t="s">
        <v>14</v>
      </c>
      <c r="C1216">
        <v>80.849999999999994</v>
      </c>
    </row>
    <row r="1217" spans="1:3" x14ac:dyDescent="0.25">
      <c r="A1217" s="2">
        <v>44565</v>
      </c>
      <c r="B1217" t="s">
        <v>14</v>
      </c>
      <c r="C1217">
        <v>79.004999999999995</v>
      </c>
    </row>
    <row r="1218" spans="1:3" x14ac:dyDescent="0.25">
      <c r="A1218" s="2">
        <v>44561</v>
      </c>
      <c r="B1218" t="s">
        <v>14</v>
      </c>
      <c r="C1218">
        <v>77.069999999999993</v>
      </c>
    </row>
    <row r="1219" spans="1:3" x14ac:dyDescent="0.25">
      <c r="A1219" s="2">
        <v>44560</v>
      </c>
      <c r="B1219" t="s">
        <v>14</v>
      </c>
      <c r="C1219">
        <v>78.325000000000003</v>
      </c>
    </row>
    <row r="1220" spans="1:3" x14ac:dyDescent="0.25">
      <c r="A1220" s="2">
        <v>44559</v>
      </c>
      <c r="B1220" t="s">
        <v>14</v>
      </c>
      <c r="C1220">
        <v>77.474999999999994</v>
      </c>
    </row>
    <row r="1221" spans="1:3" x14ac:dyDescent="0.25">
      <c r="A1221" s="2">
        <v>44554</v>
      </c>
      <c r="B1221" t="s">
        <v>14</v>
      </c>
      <c r="C1221">
        <v>75.435000000000002</v>
      </c>
    </row>
    <row r="1222" spans="1:3" x14ac:dyDescent="0.25">
      <c r="A1222" s="2">
        <v>44553</v>
      </c>
      <c r="B1222" t="s">
        <v>14</v>
      </c>
      <c r="C1222">
        <v>75.7</v>
      </c>
    </row>
    <row r="1223" spans="1:3" x14ac:dyDescent="0.25">
      <c r="A1223" s="2">
        <v>44552</v>
      </c>
      <c r="B1223" t="s">
        <v>14</v>
      </c>
      <c r="C1223">
        <v>74.13</v>
      </c>
    </row>
    <row r="1224" spans="1:3" x14ac:dyDescent="0.25">
      <c r="A1224" s="2">
        <v>44551</v>
      </c>
      <c r="B1224" t="s">
        <v>14</v>
      </c>
      <c r="C1224">
        <v>72.72</v>
      </c>
    </row>
    <row r="1225" spans="1:3" x14ac:dyDescent="0.25">
      <c r="A1225" s="2">
        <v>44550</v>
      </c>
      <c r="B1225" t="s">
        <v>14</v>
      </c>
      <c r="C1225">
        <v>69.08</v>
      </c>
    </row>
    <row r="1226" spans="1:3" x14ac:dyDescent="0.25">
      <c r="A1226" s="2">
        <v>44547</v>
      </c>
      <c r="B1226" t="s">
        <v>14</v>
      </c>
      <c r="C1226">
        <v>72.995000000000005</v>
      </c>
    </row>
    <row r="1227" spans="1:3" x14ac:dyDescent="0.25">
      <c r="A1227" s="2">
        <v>44546</v>
      </c>
      <c r="B1227" t="s">
        <v>14</v>
      </c>
      <c r="C1227">
        <v>74.739999999999995</v>
      </c>
    </row>
    <row r="1228" spans="1:3" x14ac:dyDescent="0.25">
      <c r="A1228" s="2">
        <v>44545</v>
      </c>
      <c r="B1228" t="s">
        <v>14</v>
      </c>
      <c r="C1228">
        <v>72.88</v>
      </c>
    </row>
    <row r="1229" spans="1:3" x14ac:dyDescent="0.25">
      <c r="A1229" s="2">
        <v>44544</v>
      </c>
      <c r="B1229" t="s">
        <v>14</v>
      </c>
      <c r="C1229">
        <v>73.37</v>
      </c>
    </row>
    <row r="1230" spans="1:3" x14ac:dyDescent="0.25">
      <c r="A1230" s="2">
        <v>44543</v>
      </c>
      <c r="B1230" t="s">
        <v>14</v>
      </c>
      <c r="C1230">
        <v>74.275000000000006</v>
      </c>
    </row>
    <row r="1231" spans="1:3" x14ac:dyDescent="0.25">
      <c r="A1231" s="2">
        <v>44540</v>
      </c>
      <c r="B1231" t="s">
        <v>14</v>
      </c>
      <c r="C1231">
        <v>74.364999999999995</v>
      </c>
    </row>
    <row r="1232" spans="1:3" x14ac:dyDescent="0.25">
      <c r="A1232" s="2">
        <v>44539</v>
      </c>
      <c r="B1232" t="s">
        <v>14</v>
      </c>
      <c r="C1232">
        <v>75.254999999999995</v>
      </c>
    </row>
    <row r="1233" spans="1:3" x14ac:dyDescent="0.25">
      <c r="A1233" s="2">
        <v>44538</v>
      </c>
      <c r="B1233" t="s">
        <v>14</v>
      </c>
      <c r="C1233">
        <v>75.694999999999993</v>
      </c>
    </row>
    <row r="1234" spans="1:3" x14ac:dyDescent="0.25">
      <c r="A1234" s="2">
        <v>44537</v>
      </c>
      <c r="B1234" t="s">
        <v>14</v>
      </c>
      <c r="C1234">
        <v>75.790000000000006</v>
      </c>
    </row>
    <row r="1235" spans="1:3" x14ac:dyDescent="0.25">
      <c r="A1235" s="2">
        <v>44536</v>
      </c>
      <c r="B1235" t="s">
        <v>14</v>
      </c>
      <c r="C1235">
        <v>72.144999999999996</v>
      </c>
    </row>
    <row r="1236" spans="1:3" x14ac:dyDescent="0.25">
      <c r="A1236" s="2">
        <v>44533</v>
      </c>
      <c r="B1236" t="s">
        <v>14</v>
      </c>
      <c r="C1236">
        <v>71.930000000000007</v>
      </c>
    </row>
    <row r="1237" spans="1:3" x14ac:dyDescent="0.25">
      <c r="A1237" s="2">
        <v>44532</v>
      </c>
      <c r="B1237" t="s">
        <v>14</v>
      </c>
      <c r="C1237">
        <v>70.62</v>
      </c>
    </row>
    <row r="1238" spans="1:3" x14ac:dyDescent="0.25">
      <c r="A1238" s="2">
        <v>44531</v>
      </c>
      <c r="B1238" t="s">
        <v>14</v>
      </c>
      <c r="C1238">
        <v>71.814999999999998</v>
      </c>
    </row>
    <row r="1239" spans="1:3" x14ac:dyDescent="0.25">
      <c r="A1239" s="2">
        <v>44530</v>
      </c>
      <c r="B1239" t="s">
        <v>14</v>
      </c>
      <c r="C1239">
        <v>70.924999999999997</v>
      </c>
    </row>
    <row r="1240" spans="1:3" x14ac:dyDescent="0.25">
      <c r="A1240" s="2">
        <v>44529</v>
      </c>
      <c r="B1240" t="s">
        <v>14</v>
      </c>
      <c r="C1240">
        <v>74.935000000000002</v>
      </c>
    </row>
    <row r="1241" spans="1:3" x14ac:dyDescent="0.25">
      <c r="A1241" s="2">
        <v>44526</v>
      </c>
      <c r="B1241" t="s">
        <v>14</v>
      </c>
      <c r="C1241">
        <v>73.265000000000001</v>
      </c>
    </row>
    <row r="1242" spans="1:3" x14ac:dyDescent="0.25">
      <c r="A1242" s="2">
        <v>44525</v>
      </c>
      <c r="B1242" t="s">
        <v>14</v>
      </c>
      <c r="C1242">
        <v>82.21</v>
      </c>
    </row>
    <row r="1243" spans="1:3" x14ac:dyDescent="0.25">
      <c r="A1243" s="2">
        <v>44524</v>
      </c>
      <c r="B1243" t="s">
        <v>14</v>
      </c>
      <c r="C1243">
        <v>83.105000000000004</v>
      </c>
    </row>
    <row r="1244" spans="1:3" x14ac:dyDescent="0.25">
      <c r="A1244" s="2">
        <v>44523</v>
      </c>
      <c r="B1244" t="s">
        <v>14</v>
      </c>
      <c r="C1244">
        <v>82.76</v>
      </c>
    </row>
    <row r="1245" spans="1:3" x14ac:dyDescent="0.25">
      <c r="A1245" s="2">
        <v>44522</v>
      </c>
      <c r="B1245" t="s">
        <v>14</v>
      </c>
      <c r="C1245">
        <v>81.004999999999995</v>
      </c>
    </row>
    <row r="1246" spans="1:3" x14ac:dyDescent="0.25">
      <c r="A1246" s="2">
        <v>44519</v>
      </c>
      <c r="B1246" t="s">
        <v>14</v>
      </c>
      <c r="C1246">
        <v>79.885000000000005</v>
      </c>
    </row>
    <row r="1247" spans="1:3" x14ac:dyDescent="0.25">
      <c r="A1247" s="2">
        <v>44518</v>
      </c>
      <c r="B1247" t="s">
        <v>14</v>
      </c>
      <c r="C1247">
        <v>82.09</v>
      </c>
    </row>
    <row r="1248" spans="1:3" x14ac:dyDescent="0.25">
      <c r="A1248" s="2">
        <v>44517</v>
      </c>
      <c r="B1248" t="s">
        <v>14</v>
      </c>
      <c r="C1248">
        <v>82.375</v>
      </c>
    </row>
    <row r="1249" spans="1:3" x14ac:dyDescent="0.25">
      <c r="A1249" s="2">
        <v>44516</v>
      </c>
      <c r="B1249" t="s">
        <v>14</v>
      </c>
      <c r="C1249">
        <v>82.68</v>
      </c>
    </row>
    <row r="1250" spans="1:3" x14ac:dyDescent="0.25">
      <c r="A1250" s="2">
        <v>44515</v>
      </c>
      <c r="B1250" t="s">
        <v>14</v>
      </c>
      <c r="C1250">
        <v>80.64</v>
      </c>
    </row>
    <row r="1251" spans="1:3" x14ac:dyDescent="0.25">
      <c r="A1251" s="2">
        <v>44512</v>
      </c>
      <c r="B1251" t="s">
        <v>14</v>
      </c>
      <c r="C1251">
        <v>82.1</v>
      </c>
    </row>
    <row r="1252" spans="1:3" x14ac:dyDescent="0.25">
      <c r="A1252" s="2">
        <v>44511</v>
      </c>
      <c r="B1252" t="s">
        <v>14</v>
      </c>
      <c r="C1252">
        <v>82.305000000000007</v>
      </c>
    </row>
    <row r="1253" spans="1:3" x14ac:dyDescent="0.25">
      <c r="A1253" s="2">
        <v>44510</v>
      </c>
      <c r="B1253" t="s">
        <v>14</v>
      </c>
      <c r="C1253">
        <v>83.36</v>
      </c>
    </row>
    <row r="1254" spans="1:3" x14ac:dyDescent="0.25">
      <c r="A1254" s="2">
        <v>44509</v>
      </c>
      <c r="B1254" t="s">
        <v>14</v>
      </c>
      <c r="C1254">
        <v>83.075000000000003</v>
      </c>
    </row>
    <row r="1255" spans="1:3" x14ac:dyDescent="0.25">
      <c r="A1255" s="2">
        <v>44508</v>
      </c>
      <c r="B1255" t="s">
        <v>14</v>
      </c>
      <c r="C1255">
        <v>82.28</v>
      </c>
    </row>
    <row r="1256" spans="1:3" x14ac:dyDescent="0.25">
      <c r="A1256" s="2">
        <v>44505</v>
      </c>
      <c r="B1256" t="s">
        <v>14</v>
      </c>
      <c r="C1256">
        <v>81.325000000000003</v>
      </c>
    </row>
    <row r="1257" spans="1:3" x14ac:dyDescent="0.25">
      <c r="A1257" s="2">
        <v>44504</v>
      </c>
      <c r="B1257" t="s">
        <v>14</v>
      </c>
      <c r="C1257">
        <v>80.42</v>
      </c>
    </row>
    <row r="1258" spans="1:3" x14ac:dyDescent="0.25">
      <c r="A1258" s="2">
        <v>44503</v>
      </c>
      <c r="B1258" t="s">
        <v>14</v>
      </c>
      <c r="C1258">
        <v>80.680000000000007</v>
      </c>
    </row>
    <row r="1259" spans="1:3" x14ac:dyDescent="0.25">
      <c r="A1259" s="2">
        <v>44502</v>
      </c>
      <c r="B1259" t="s">
        <v>14</v>
      </c>
      <c r="C1259">
        <v>83.18</v>
      </c>
    </row>
    <row r="1260" spans="1:3" x14ac:dyDescent="0.25">
      <c r="A1260" s="2">
        <v>44501</v>
      </c>
      <c r="B1260" t="s">
        <v>14</v>
      </c>
      <c r="C1260">
        <v>83.284999999999997</v>
      </c>
    </row>
    <row r="1261" spans="1:3" x14ac:dyDescent="0.25">
      <c r="A1261" s="2">
        <v>44498</v>
      </c>
      <c r="B1261" t="s">
        <v>14</v>
      </c>
      <c r="C1261">
        <v>82.43</v>
      </c>
    </row>
    <row r="1262" spans="1:3" x14ac:dyDescent="0.25">
      <c r="A1262" s="2">
        <v>44497</v>
      </c>
      <c r="B1262" t="s">
        <v>14</v>
      </c>
      <c r="C1262">
        <v>81.95</v>
      </c>
    </row>
    <row r="1263" spans="1:3" x14ac:dyDescent="0.25">
      <c r="A1263" s="2">
        <v>44496</v>
      </c>
      <c r="B1263" t="s">
        <v>14</v>
      </c>
      <c r="C1263">
        <v>83.31</v>
      </c>
    </row>
    <row r="1264" spans="1:3" x14ac:dyDescent="0.25">
      <c r="A1264" s="2">
        <v>44495</v>
      </c>
      <c r="B1264" t="s">
        <v>14</v>
      </c>
      <c r="C1264">
        <v>84.12</v>
      </c>
    </row>
    <row r="1265" spans="1:3" x14ac:dyDescent="0.25">
      <c r="A1265" s="2">
        <v>44494</v>
      </c>
      <c r="B1265" t="s">
        <v>14</v>
      </c>
      <c r="C1265">
        <v>84.435000000000002</v>
      </c>
    </row>
    <row r="1266" spans="1:3" x14ac:dyDescent="0.25">
      <c r="A1266" s="2">
        <v>44491</v>
      </c>
      <c r="B1266" t="s">
        <v>14</v>
      </c>
      <c r="C1266">
        <v>84.084999999999994</v>
      </c>
    </row>
    <row r="1267" spans="1:3" x14ac:dyDescent="0.25">
      <c r="A1267" s="2">
        <v>44490</v>
      </c>
      <c r="B1267" t="s">
        <v>14</v>
      </c>
      <c r="C1267">
        <v>82.85</v>
      </c>
    </row>
    <row r="1268" spans="1:3" x14ac:dyDescent="0.25">
      <c r="A1268" s="2">
        <v>44489</v>
      </c>
      <c r="B1268" t="s">
        <v>14</v>
      </c>
      <c r="C1268">
        <v>84.314999999999998</v>
      </c>
    </row>
    <row r="1269" spans="1:3" x14ac:dyDescent="0.25">
      <c r="A1269" s="2">
        <v>44488</v>
      </c>
      <c r="B1269" t="s">
        <v>14</v>
      </c>
      <c r="C1269">
        <v>83.91</v>
      </c>
    </row>
    <row r="1270" spans="1:3" x14ac:dyDescent="0.25">
      <c r="A1270" s="2">
        <v>44487</v>
      </c>
      <c r="B1270" t="s">
        <v>14</v>
      </c>
      <c r="C1270">
        <v>83.305000000000007</v>
      </c>
    </row>
    <row r="1271" spans="1:3" x14ac:dyDescent="0.25">
      <c r="A1271" s="2">
        <v>44484</v>
      </c>
      <c r="B1271" t="s">
        <v>14</v>
      </c>
      <c r="C1271">
        <v>83.734999999999999</v>
      </c>
    </row>
    <row r="1272" spans="1:3" x14ac:dyDescent="0.25">
      <c r="A1272" s="2">
        <v>44483</v>
      </c>
      <c r="B1272" t="s">
        <v>14</v>
      </c>
      <c r="C1272">
        <v>82.495000000000005</v>
      </c>
    </row>
    <row r="1273" spans="1:3" x14ac:dyDescent="0.25">
      <c r="A1273" s="2">
        <v>44482</v>
      </c>
      <c r="B1273" t="s">
        <v>14</v>
      </c>
      <c r="C1273">
        <v>82.47</v>
      </c>
    </row>
    <row r="1274" spans="1:3" x14ac:dyDescent="0.25">
      <c r="A1274" s="2">
        <v>44481</v>
      </c>
      <c r="B1274" t="s">
        <v>14</v>
      </c>
      <c r="C1274">
        <v>82.644999999999996</v>
      </c>
    </row>
    <row r="1275" spans="1:3" x14ac:dyDescent="0.25">
      <c r="A1275" s="2">
        <v>44480</v>
      </c>
      <c r="B1275" t="s">
        <v>14</v>
      </c>
      <c r="C1275">
        <v>83.24</v>
      </c>
    </row>
    <row r="1276" spans="1:3" x14ac:dyDescent="0.25">
      <c r="A1276" s="2">
        <v>44477</v>
      </c>
      <c r="B1276" t="s">
        <v>14</v>
      </c>
      <c r="C1276">
        <v>81.954999999999998</v>
      </c>
    </row>
    <row r="1277" spans="1:3" x14ac:dyDescent="0.25">
      <c r="A1277" s="2">
        <v>44476</v>
      </c>
      <c r="B1277" t="s">
        <v>14</v>
      </c>
      <c r="C1277">
        <v>81.084999999999994</v>
      </c>
    </row>
    <row r="1278" spans="1:3" x14ac:dyDescent="0.25">
      <c r="A1278" s="2">
        <v>44475</v>
      </c>
      <c r="B1278" t="s">
        <v>14</v>
      </c>
      <c r="C1278">
        <v>80.224999999999994</v>
      </c>
    </row>
    <row r="1279" spans="1:3" x14ac:dyDescent="0.25">
      <c r="A1279" s="2">
        <v>44474</v>
      </c>
      <c r="B1279" t="s">
        <v>14</v>
      </c>
      <c r="C1279">
        <v>81.724999999999994</v>
      </c>
    </row>
    <row r="1280" spans="1:3" x14ac:dyDescent="0.25">
      <c r="A1280" s="2">
        <v>44473</v>
      </c>
      <c r="B1280" t="s">
        <v>14</v>
      </c>
      <c r="C1280">
        <v>80.33</v>
      </c>
    </row>
    <row r="1281" spans="1:3" x14ac:dyDescent="0.25">
      <c r="A1281" s="2">
        <v>44470</v>
      </c>
      <c r="B1281" t="s">
        <v>14</v>
      </c>
      <c r="C1281">
        <v>77.55</v>
      </c>
    </row>
    <row r="1282" spans="1:3" x14ac:dyDescent="0.25">
      <c r="A1282" s="2">
        <v>44469</v>
      </c>
      <c r="B1282" t="s">
        <v>14</v>
      </c>
      <c r="C1282">
        <v>76.694999999999993</v>
      </c>
    </row>
    <row r="1283" spans="1:3" x14ac:dyDescent="0.25">
      <c r="A1283" s="2">
        <v>44468</v>
      </c>
      <c r="B1283" t="s">
        <v>14</v>
      </c>
      <c r="C1283">
        <v>76.83</v>
      </c>
    </row>
    <row r="1284" spans="1:3" x14ac:dyDescent="0.25">
      <c r="A1284" s="2">
        <v>44467</v>
      </c>
      <c r="B1284" t="s">
        <v>14</v>
      </c>
      <c r="C1284">
        <v>77.22</v>
      </c>
    </row>
    <row r="1285" spans="1:3" x14ac:dyDescent="0.25">
      <c r="A1285" s="2">
        <v>44466</v>
      </c>
      <c r="B1285" t="s">
        <v>14</v>
      </c>
      <c r="C1285">
        <v>77.775000000000006</v>
      </c>
    </row>
    <row r="1286" spans="1:3" x14ac:dyDescent="0.25">
      <c r="A1286" s="2">
        <v>44463</v>
      </c>
      <c r="B1286" t="s">
        <v>14</v>
      </c>
      <c r="C1286">
        <v>76</v>
      </c>
    </row>
    <row r="1287" spans="1:3" x14ac:dyDescent="0.25">
      <c r="A1287" s="2">
        <v>44462</v>
      </c>
      <c r="B1287" t="s">
        <v>14</v>
      </c>
      <c r="C1287">
        <v>74.915000000000006</v>
      </c>
    </row>
    <row r="1288" spans="1:3" x14ac:dyDescent="0.25">
      <c r="A1288" s="2">
        <v>44461</v>
      </c>
      <c r="B1288" t="s">
        <v>14</v>
      </c>
      <c r="C1288">
        <v>73.834999999999994</v>
      </c>
    </row>
    <row r="1289" spans="1:3" x14ac:dyDescent="0.25">
      <c r="A1289" s="2">
        <v>44460</v>
      </c>
      <c r="B1289" t="s">
        <v>14</v>
      </c>
      <c r="C1289">
        <v>73.28</v>
      </c>
    </row>
    <row r="1290" spans="1:3" x14ac:dyDescent="0.25">
      <c r="A1290" s="2">
        <v>44459</v>
      </c>
      <c r="B1290" t="s">
        <v>14</v>
      </c>
      <c r="C1290">
        <v>73.48</v>
      </c>
    </row>
    <row r="1291" spans="1:3" x14ac:dyDescent="0.25">
      <c r="A1291" s="2">
        <v>44456</v>
      </c>
      <c r="B1291" t="s">
        <v>14</v>
      </c>
      <c r="C1291">
        <v>73.894999999999996</v>
      </c>
    </row>
    <row r="1292" spans="1:3" x14ac:dyDescent="0.25">
      <c r="A1292" s="2">
        <v>44455</v>
      </c>
      <c r="B1292" t="s">
        <v>14</v>
      </c>
      <c r="C1292">
        <v>74.08</v>
      </c>
    </row>
    <row r="1293" spans="1:3" x14ac:dyDescent="0.25">
      <c r="A1293" s="2">
        <v>44454</v>
      </c>
      <c r="B1293" t="s">
        <v>14</v>
      </c>
      <c r="C1293">
        <v>74.745000000000005</v>
      </c>
    </row>
    <row r="1294" spans="1:3" x14ac:dyDescent="0.25">
      <c r="A1294" s="2">
        <v>44453</v>
      </c>
      <c r="B1294" t="s">
        <v>14</v>
      </c>
      <c r="C1294">
        <v>72.905000000000001</v>
      </c>
    </row>
    <row r="1295" spans="1:3" x14ac:dyDescent="0.25">
      <c r="A1295" s="2">
        <v>44452</v>
      </c>
      <c r="B1295" t="s">
        <v>14</v>
      </c>
      <c r="C1295">
        <v>72.644999999999996</v>
      </c>
    </row>
    <row r="1296" spans="1:3" x14ac:dyDescent="0.25">
      <c r="A1296" s="2">
        <v>44449</v>
      </c>
      <c r="B1296" t="s">
        <v>14</v>
      </c>
      <c r="C1296">
        <v>71.984999999999999</v>
      </c>
    </row>
    <row r="1297" spans="1:3" x14ac:dyDescent="0.25">
      <c r="A1297" s="2">
        <v>44448</v>
      </c>
      <c r="B1297" t="s">
        <v>14</v>
      </c>
      <c r="C1297">
        <v>72.06</v>
      </c>
    </row>
    <row r="1298" spans="1:3" x14ac:dyDescent="0.25">
      <c r="A1298" s="2">
        <v>44447</v>
      </c>
      <c r="B1298" t="s">
        <v>14</v>
      </c>
      <c r="C1298">
        <v>72.144999999999996</v>
      </c>
    </row>
    <row r="1299" spans="1:3" x14ac:dyDescent="0.25">
      <c r="A1299" s="2">
        <v>44446</v>
      </c>
      <c r="B1299" t="s">
        <v>14</v>
      </c>
      <c r="C1299">
        <v>71.405000000000001</v>
      </c>
    </row>
    <row r="1300" spans="1:3" x14ac:dyDescent="0.25">
      <c r="A1300" s="2">
        <v>44445</v>
      </c>
      <c r="B1300" t="s">
        <v>14</v>
      </c>
      <c r="C1300">
        <v>72.39</v>
      </c>
    </row>
    <row r="1301" spans="1:3" x14ac:dyDescent="0.25">
      <c r="A1301" s="2">
        <v>44442</v>
      </c>
      <c r="B1301" t="s">
        <v>14</v>
      </c>
      <c r="C1301">
        <v>73.25</v>
      </c>
    </row>
    <row r="1302" spans="1:3" x14ac:dyDescent="0.25">
      <c r="A1302" s="2">
        <v>44441</v>
      </c>
      <c r="B1302" t="s">
        <v>14</v>
      </c>
      <c r="C1302">
        <v>73.709999999999994</v>
      </c>
    </row>
    <row r="1303" spans="1:3" x14ac:dyDescent="0.25">
      <c r="A1303" s="2">
        <v>44440</v>
      </c>
      <c r="B1303" t="s">
        <v>14</v>
      </c>
      <c r="C1303">
        <v>71.209999999999994</v>
      </c>
    </row>
    <row r="1304" spans="1:3" x14ac:dyDescent="0.25">
      <c r="A1304" s="2">
        <v>44439</v>
      </c>
      <c r="B1304" t="s">
        <v>14</v>
      </c>
      <c r="C1304">
        <v>73.19</v>
      </c>
    </row>
    <row r="1305" spans="1:3" x14ac:dyDescent="0.25">
      <c r="A1305" s="2">
        <v>44435</v>
      </c>
      <c r="B1305" t="s">
        <v>14</v>
      </c>
      <c r="C1305">
        <v>71.905000000000001</v>
      </c>
    </row>
    <row r="1306" spans="1:3" x14ac:dyDescent="0.25">
      <c r="A1306" s="2">
        <v>44434</v>
      </c>
      <c r="B1306" t="s">
        <v>14</v>
      </c>
      <c r="C1306">
        <v>70.81</v>
      </c>
    </row>
    <row r="1307" spans="1:3" x14ac:dyDescent="0.25">
      <c r="A1307" s="2">
        <v>44433</v>
      </c>
      <c r="B1307" t="s">
        <v>14</v>
      </c>
      <c r="C1307">
        <v>71.465000000000003</v>
      </c>
    </row>
    <row r="1308" spans="1:3" x14ac:dyDescent="0.25">
      <c r="A1308" s="2">
        <v>44432</v>
      </c>
      <c r="B1308" t="s">
        <v>14</v>
      </c>
      <c r="C1308">
        <v>70.930000000000007</v>
      </c>
    </row>
    <row r="1309" spans="1:3" x14ac:dyDescent="0.25">
      <c r="A1309" s="2">
        <v>44431</v>
      </c>
      <c r="B1309" t="s">
        <v>14</v>
      </c>
      <c r="C1309">
        <v>69.084999999999994</v>
      </c>
    </row>
    <row r="1310" spans="1:3" x14ac:dyDescent="0.25">
      <c r="A1310" s="2">
        <v>44428</v>
      </c>
      <c r="B1310" t="s">
        <v>14</v>
      </c>
      <c r="C1310">
        <v>66.42</v>
      </c>
    </row>
    <row r="1311" spans="1:3" x14ac:dyDescent="0.25">
      <c r="A1311" s="2">
        <v>44427</v>
      </c>
      <c r="B1311" t="s">
        <v>14</v>
      </c>
      <c r="C1311">
        <v>66.465000000000003</v>
      </c>
    </row>
    <row r="1312" spans="1:3" x14ac:dyDescent="0.25">
      <c r="A1312" s="2">
        <v>44426</v>
      </c>
      <c r="B1312" t="s">
        <v>14</v>
      </c>
      <c r="C1312">
        <v>69.5</v>
      </c>
    </row>
    <row r="1313" spans="1:3" x14ac:dyDescent="0.25">
      <c r="A1313" s="2">
        <v>44425</v>
      </c>
      <c r="B1313" t="s">
        <v>14</v>
      </c>
      <c r="C1313">
        <v>70.135000000000005</v>
      </c>
    </row>
    <row r="1314" spans="1:3" x14ac:dyDescent="0.25">
      <c r="A1314" s="2">
        <v>44424</v>
      </c>
      <c r="B1314" t="s">
        <v>14</v>
      </c>
      <c r="C1314">
        <v>70.069999999999993</v>
      </c>
    </row>
    <row r="1315" spans="1:3" x14ac:dyDescent="0.25">
      <c r="A1315" s="2">
        <v>44421</v>
      </c>
      <c r="B1315" t="s">
        <v>14</v>
      </c>
      <c r="C1315">
        <v>71.385000000000005</v>
      </c>
    </row>
    <row r="1316" spans="1:3" x14ac:dyDescent="0.25">
      <c r="A1316" s="2">
        <v>44420</v>
      </c>
      <c r="B1316" t="s">
        <v>14</v>
      </c>
      <c r="C1316">
        <v>71.525000000000006</v>
      </c>
    </row>
    <row r="1317" spans="1:3" x14ac:dyDescent="0.25">
      <c r="A1317" s="2">
        <v>44419</v>
      </c>
      <c r="B1317" t="s">
        <v>14</v>
      </c>
      <c r="C1317">
        <v>70.745000000000005</v>
      </c>
    </row>
    <row r="1318" spans="1:3" x14ac:dyDescent="0.25">
      <c r="A1318" s="2">
        <v>44418</v>
      </c>
      <c r="B1318" t="s">
        <v>14</v>
      </c>
      <c r="C1318">
        <v>71.319999999999993</v>
      </c>
    </row>
    <row r="1319" spans="1:3" x14ac:dyDescent="0.25">
      <c r="A1319" s="2">
        <v>44417</v>
      </c>
      <c r="B1319" t="s">
        <v>14</v>
      </c>
      <c r="C1319">
        <v>69.435000000000002</v>
      </c>
    </row>
    <row r="1320" spans="1:3" x14ac:dyDescent="0.25">
      <c r="A1320" s="2">
        <v>44414</v>
      </c>
      <c r="B1320" t="s">
        <v>14</v>
      </c>
      <c r="C1320">
        <v>71.7</v>
      </c>
    </row>
    <row r="1321" spans="1:3" x14ac:dyDescent="0.25">
      <c r="A1321" s="2">
        <v>44413</v>
      </c>
      <c r="B1321" t="s">
        <v>14</v>
      </c>
      <c r="C1321">
        <v>72.305000000000007</v>
      </c>
    </row>
    <row r="1322" spans="1:3" x14ac:dyDescent="0.25">
      <c r="A1322" s="2">
        <v>44412</v>
      </c>
      <c r="B1322" t="s">
        <v>14</v>
      </c>
      <c r="C1322">
        <v>71.795000000000002</v>
      </c>
    </row>
    <row r="1323" spans="1:3" x14ac:dyDescent="0.25">
      <c r="A1323" s="2">
        <v>44411</v>
      </c>
      <c r="B1323" t="s">
        <v>14</v>
      </c>
      <c r="C1323">
        <v>73</v>
      </c>
    </row>
    <row r="1324" spans="1:3" x14ac:dyDescent="0.25">
      <c r="A1324" s="2">
        <v>44410</v>
      </c>
      <c r="B1324" t="s">
        <v>14</v>
      </c>
      <c r="C1324">
        <v>73.825000000000003</v>
      </c>
    </row>
    <row r="1325" spans="1:3" x14ac:dyDescent="0.25">
      <c r="A1325" s="2">
        <v>44407</v>
      </c>
      <c r="B1325" t="s">
        <v>14</v>
      </c>
      <c r="C1325">
        <v>76.364999999999995</v>
      </c>
    </row>
    <row r="1326" spans="1:3" x14ac:dyDescent="0.25">
      <c r="A1326" s="2">
        <v>44406</v>
      </c>
      <c r="B1326" t="s">
        <v>14</v>
      </c>
      <c r="C1326">
        <v>75.599999999999994</v>
      </c>
    </row>
    <row r="1327" spans="1:3" x14ac:dyDescent="0.25">
      <c r="A1327" s="2">
        <v>44405</v>
      </c>
      <c r="B1327" t="s">
        <v>14</v>
      </c>
      <c r="C1327">
        <v>74.814999999999998</v>
      </c>
    </row>
    <row r="1328" spans="1:3" x14ac:dyDescent="0.25">
      <c r="A1328" s="2">
        <v>44404</v>
      </c>
      <c r="B1328" t="s">
        <v>14</v>
      </c>
      <c r="C1328">
        <v>74.715000000000003</v>
      </c>
    </row>
    <row r="1329" spans="1:3" x14ac:dyDescent="0.25">
      <c r="A1329" s="2">
        <v>44403</v>
      </c>
      <c r="B1329" t="s">
        <v>14</v>
      </c>
      <c r="C1329">
        <v>74.239999999999995</v>
      </c>
    </row>
    <row r="1330" spans="1:3" x14ac:dyDescent="0.25">
      <c r="A1330" s="2">
        <v>44400</v>
      </c>
      <c r="B1330" t="s">
        <v>14</v>
      </c>
      <c r="C1330">
        <v>74.454999999999998</v>
      </c>
    </row>
    <row r="1331" spans="1:3" x14ac:dyDescent="0.25">
      <c r="A1331" s="2">
        <v>44399</v>
      </c>
      <c r="B1331" t="s">
        <v>14</v>
      </c>
      <c r="C1331">
        <v>73.504999999999995</v>
      </c>
    </row>
    <row r="1332" spans="1:3" x14ac:dyDescent="0.25">
      <c r="A1332" s="2">
        <v>44398</v>
      </c>
      <c r="B1332" t="s">
        <v>14</v>
      </c>
      <c r="C1332">
        <v>72.215000000000003</v>
      </c>
    </row>
    <row r="1333" spans="1:3" x14ac:dyDescent="0.25">
      <c r="A1333" s="2">
        <v>44397</v>
      </c>
      <c r="B1333" t="s">
        <v>14</v>
      </c>
      <c r="C1333">
        <v>69.8</v>
      </c>
    </row>
    <row r="1334" spans="1:3" x14ac:dyDescent="0.25">
      <c r="A1334" s="2">
        <v>44396</v>
      </c>
      <c r="B1334" t="s">
        <v>14</v>
      </c>
      <c r="C1334">
        <v>69.92</v>
      </c>
    </row>
    <row r="1335" spans="1:3" x14ac:dyDescent="0.25">
      <c r="A1335" s="2">
        <v>44393</v>
      </c>
      <c r="B1335" t="s">
        <v>14</v>
      </c>
      <c r="C1335">
        <v>74.415000000000006</v>
      </c>
    </row>
    <row r="1336" spans="1:3" x14ac:dyDescent="0.25">
      <c r="A1336" s="2">
        <v>44392</v>
      </c>
      <c r="B1336" t="s">
        <v>14</v>
      </c>
      <c r="C1336">
        <v>75.2</v>
      </c>
    </row>
    <row r="1337" spans="1:3" x14ac:dyDescent="0.25">
      <c r="A1337" s="2">
        <v>44391</v>
      </c>
      <c r="B1337" t="s">
        <v>14</v>
      </c>
      <c r="C1337">
        <v>76.665000000000006</v>
      </c>
    </row>
    <row r="1338" spans="1:3" x14ac:dyDescent="0.25">
      <c r="A1338" s="2">
        <v>44390</v>
      </c>
      <c r="B1338" t="s">
        <v>14</v>
      </c>
      <c r="C1338">
        <v>76.66</v>
      </c>
    </row>
    <row r="1339" spans="1:3" x14ac:dyDescent="0.25">
      <c r="A1339" s="2">
        <v>44389</v>
      </c>
      <c r="B1339" t="s">
        <v>14</v>
      </c>
      <c r="C1339">
        <v>76.61</v>
      </c>
    </row>
    <row r="1340" spans="1:3" x14ac:dyDescent="0.25">
      <c r="A1340" s="2">
        <v>44386</v>
      </c>
      <c r="B1340" t="s">
        <v>14</v>
      </c>
      <c r="C1340">
        <v>77.114999999999995</v>
      </c>
    </row>
    <row r="1341" spans="1:3" x14ac:dyDescent="0.25">
      <c r="A1341" s="2">
        <v>44385</v>
      </c>
      <c r="B1341" t="s">
        <v>14</v>
      </c>
      <c r="C1341">
        <v>74.605000000000004</v>
      </c>
    </row>
    <row r="1342" spans="1:3" x14ac:dyDescent="0.25">
      <c r="A1342" s="2">
        <v>44384</v>
      </c>
      <c r="B1342" t="s">
        <v>14</v>
      </c>
      <c r="C1342">
        <v>73.944999999999993</v>
      </c>
    </row>
    <row r="1343" spans="1:3" x14ac:dyDescent="0.25">
      <c r="A1343" s="2">
        <v>44383</v>
      </c>
      <c r="B1343" t="s">
        <v>14</v>
      </c>
      <c r="C1343">
        <v>75.97</v>
      </c>
    </row>
    <row r="1344" spans="1:3" x14ac:dyDescent="0.25">
      <c r="A1344" s="2">
        <v>44382</v>
      </c>
      <c r="B1344" t="s">
        <v>14</v>
      </c>
      <c r="C1344">
        <v>77.754999999999995</v>
      </c>
    </row>
    <row r="1345" spans="1:3" x14ac:dyDescent="0.25">
      <c r="A1345" s="2">
        <v>44379</v>
      </c>
      <c r="B1345" t="s">
        <v>14</v>
      </c>
      <c r="C1345">
        <v>77.180000000000007</v>
      </c>
    </row>
    <row r="1346" spans="1:3" x14ac:dyDescent="0.25">
      <c r="A1346" s="2">
        <v>44378</v>
      </c>
      <c r="B1346" t="s">
        <v>14</v>
      </c>
      <c r="C1346">
        <v>76.430000000000007</v>
      </c>
    </row>
    <row r="1347" spans="1:3" x14ac:dyDescent="0.25">
      <c r="A1347" s="2">
        <v>44377</v>
      </c>
      <c r="B1347" t="s">
        <v>14</v>
      </c>
      <c r="C1347">
        <v>76.73</v>
      </c>
    </row>
    <row r="1348" spans="1:3" x14ac:dyDescent="0.25">
      <c r="A1348" s="2">
        <v>44376</v>
      </c>
      <c r="B1348" t="s">
        <v>14</v>
      </c>
      <c r="C1348">
        <v>74.61</v>
      </c>
    </row>
    <row r="1349" spans="1:3" x14ac:dyDescent="0.25">
      <c r="A1349" s="2">
        <v>44375</v>
      </c>
      <c r="B1349" t="s">
        <v>14</v>
      </c>
      <c r="C1349">
        <v>74.48</v>
      </c>
    </row>
    <row r="1350" spans="1:3" x14ac:dyDescent="0.25">
      <c r="A1350" s="2">
        <v>44372</v>
      </c>
      <c r="B1350" t="s">
        <v>14</v>
      </c>
      <c r="C1350">
        <v>75.37</v>
      </c>
    </row>
    <row r="1351" spans="1:3" x14ac:dyDescent="0.25">
      <c r="A1351" s="2">
        <v>44371</v>
      </c>
      <c r="B1351" t="s">
        <v>14</v>
      </c>
      <c r="C1351">
        <v>74.875</v>
      </c>
    </row>
    <row r="1352" spans="1:3" x14ac:dyDescent="0.25">
      <c r="A1352" s="2">
        <v>44370</v>
      </c>
      <c r="B1352" t="s">
        <v>14</v>
      </c>
      <c r="C1352">
        <v>74.655000000000001</v>
      </c>
    </row>
    <row r="1353" spans="1:3" x14ac:dyDescent="0.25">
      <c r="A1353" s="2">
        <v>44369</v>
      </c>
      <c r="B1353" t="s">
        <v>14</v>
      </c>
      <c r="C1353">
        <v>73.87</v>
      </c>
    </row>
    <row r="1354" spans="1:3" x14ac:dyDescent="0.25">
      <c r="A1354" s="2">
        <v>44368</v>
      </c>
      <c r="B1354" t="s">
        <v>14</v>
      </c>
      <c r="C1354">
        <v>73.08</v>
      </c>
    </row>
    <row r="1355" spans="1:3" x14ac:dyDescent="0.25">
      <c r="A1355" s="2">
        <v>44365</v>
      </c>
      <c r="B1355" t="s">
        <v>14</v>
      </c>
      <c r="C1355">
        <v>72.144999999999996</v>
      </c>
    </row>
    <row r="1356" spans="1:3" x14ac:dyDescent="0.25">
      <c r="A1356" s="2">
        <v>44364</v>
      </c>
      <c r="B1356" t="s">
        <v>14</v>
      </c>
      <c r="C1356">
        <v>72.004999999999995</v>
      </c>
    </row>
    <row r="1357" spans="1:3" x14ac:dyDescent="0.25">
      <c r="A1357" s="2">
        <v>44363</v>
      </c>
      <c r="B1357" t="s">
        <v>14</v>
      </c>
      <c r="C1357">
        <v>73.38</v>
      </c>
    </row>
    <row r="1358" spans="1:3" x14ac:dyDescent="0.25">
      <c r="A1358" s="2">
        <v>44362</v>
      </c>
      <c r="B1358" t="s">
        <v>14</v>
      </c>
      <c r="C1358">
        <v>72.275000000000006</v>
      </c>
    </row>
    <row r="1359" spans="1:3" x14ac:dyDescent="0.25">
      <c r="A1359" s="2">
        <v>44361</v>
      </c>
      <c r="B1359" t="s">
        <v>14</v>
      </c>
      <c r="C1359">
        <v>71.680000000000007</v>
      </c>
    </row>
    <row r="1360" spans="1:3" x14ac:dyDescent="0.25">
      <c r="A1360" s="2">
        <v>44358</v>
      </c>
      <c r="B1360" t="s">
        <v>14</v>
      </c>
      <c r="C1360">
        <v>70.97</v>
      </c>
    </row>
    <row r="1361" spans="1:3" x14ac:dyDescent="0.25">
      <c r="A1361" s="2">
        <v>44357</v>
      </c>
      <c r="B1361" t="s">
        <v>14</v>
      </c>
      <c r="C1361">
        <v>70.635000000000005</v>
      </c>
    </row>
    <row r="1362" spans="1:3" x14ac:dyDescent="0.25">
      <c r="A1362" s="2">
        <v>44356</v>
      </c>
      <c r="B1362" t="s">
        <v>14</v>
      </c>
      <c r="C1362">
        <v>70.435000000000002</v>
      </c>
    </row>
    <row r="1363" spans="1:3" x14ac:dyDescent="0.25">
      <c r="A1363" s="2">
        <v>44355</v>
      </c>
      <c r="B1363" t="s">
        <v>14</v>
      </c>
      <c r="C1363">
        <v>69.935000000000002</v>
      </c>
    </row>
    <row r="1364" spans="1:3" x14ac:dyDescent="0.25">
      <c r="A1364" s="2">
        <v>44354</v>
      </c>
      <c r="B1364" t="s">
        <v>14</v>
      </c>
      <c r="C1364">
        <v>69.795000000000002</v>
      </c>
    </row>
    <row r="1365" spans="1:3" x14ac:dyDescent="0.25">
      <c r="A1365" s="2">
        <v>44351</v>
      </c>
      <c r="B1365" t="s">
        <v>14</v>
      </c>
      <c r="C1365">
        <v>70.025000000000006</v>
      </c>
    </row>
    <row r="1366" spans="1:3" x14ac:dyDescent="0.25">
      <c r="A1366" s="2">
        <v>44350</v>
      </c>
      <c r="B1366" t="s">
        <v>14</v>
      </c>
      <c r="C1366">
        <v>69.334999999999994</v>
      </c>
    </row>
    <row r="1367" spans="1:3" x14ac:dyDescent="0.25">
      <c r="A1367" s="2">
        <v>44349</v>
      </c>
      <c r="B1367" t="s">
        <v>14</v>
      </c>
      <c r="C1367">
        <v>69.314999999999998</v>
      </c>
    </row>
    <row r="1368" spans="1:3" x14ac:dyDescent="0.25">
      <c r="A1368" s="2">
        <v>44348</v>
      </c>
      <c r="B1368" t="s">
        <v>14</v>
      </c>
      <c r="C1368">
        <v>69.194999999999993</v>
      </c>
    </row>
    <row r="1369" spans="1:3" x14ac:dyDescent="0.25">
      <c r="A1369" s="2">
        <v>44344</v>
      </c>
      <c r="B1369" t="s">
        <v>14</v>
      </c>
      <c r="C1369">
        <v>68.8</v>
      </c>
    </row>
    <row r="1370" spans="1:3" x14ac:dyDescent="0.25">
      <c r="A1370" s="2">
        <v>44343</v>
      </c>
      <c r="B1370" t="s">
        <v>14</v>
      </c>
      <c r="C1370">
        <v>68.515000000000001</v>
      </c>
    </row>
    <row r="1371" spans="1:3" x14ac:dyDescent="0.25">
      <c r="A1371" s="2">
        <v>44342</v>
      </c>
      <c r="B1371" t="s">
        <v>14</v>
      </c>
      <c r="C1371">
        <v>68.385000000000005</v>
      </c>
    </row>
    <row r="1372" spans="1:3" x14ac:dyDescent="0.25">
      <c r="A1372" s="2">
        <v>44341</v>
      </c>
      <c r="B1372" t="s">
        <v>14</v>
      </c>
      <c r="C1372">
        <v>68.165000000000006</v>
      </c>
    </row>
    <row r="1373" spans="1:3" x14ac:dyDescent="0.25">
      <c r="A1373" s="2">
        <v>44340</v>
      </c>
      <c r="B1373" t="s">
        <v>14</v>
      </c>
      <c r="C1373">
        <v>67.814999999999998</v>
      </c>
    </row>
    <row r="1374" spans="1:3" x14ac:dyDescent="0.25">
      <c r="A1374" s="2">
        <v>44337</v>
      </c>
      <c r="B1374" t="s">
        <v>14</v>
      </c>
      <c r="C1374">
        <v>66.47</v>
      </c>
    </row>
    <row r="1375" spans="1:3" x14ac:dyDescent="0.25">
      <c r="A1375" s="2">
        <v>44336</v>
      </c>
      <c r="B1375" t="s">
        <v>14</v>
      </c>
      <c r="C1375">
        <v>65.805000000000007</v>
      </c>
    </row>
    <row r="1376" spans="1:3" x14ac:dyDescent="0.25">
      <c r="A1376" s="2">
        <v>44335</v>
      </c>
      <c r="B1376" t="s">
        <v>14</v>
      </c>
      <c r="C1376">
        <v>65.97</v>
      </c>
    </row>
    <row r="1377" spans="1:3" x14ac:dyDescent="0.25">
      <c r="A1377" s="2">
        <v>44334</v>
      </c>
      <c r="B1377" t="s">
        <v>14</v>
      </c>
      <c r="C1377">
        <v>68.91</v>
      </c>
    </row>
    <row r="1378" spans="1:3" x14ac:dyDescent="0.25">
      <c r="A1378" s="2">
        <v>44333</v>
      </c>
      <c r="B1378" t="s">
        <v>14</v>
      </c>
      <c r="C1378">
        <v>68.900000000000006</v>
      </c>
    </row>
    <row r="1379" spans="1:3" x14ac:dyDescent="0.25">
      <c r="A1379" s="2">
        <v>44330</v>
      </c>
      <c r="B1379" t="s">
        <v>14</v>
      </c>
      <c r="C1379">
        <v>68.510000000000005</v>
      </c>
    </row>
    <row r="1380" spans="1:3" x14ac:dyDescent="0.25">
      <c r="A1380" s="2">
        <v>44329</v>
      </c>
      <c r="B1380" t="s">
        <v>14</v>
      </c>
      <c r="C1380">
        <v>67.275000000000006</v>
      </c>
    </row>
    <row r="1381" spans="1:3" x14ac:dyDescent="0.25">
      <c r="A1381" s="2">
        <v>44328</v>
      </c>
      <c r="B1381" t="s">
        <v>14</v>
      </c>
      <c r="C1381">
        <v>69.37</v>
      </c>
    </row>
    <row r="1382" spans="1:3" x14ac:dyDescent="0.25">
      <c r="A1382" s="2">
        <v>44327</v>
      </c>
      <c r="B1382" t="s">
        <v>14</v>
      </c>
      <c r="C1382">
        <v>68.16</v>
      </c>
    </row>
    <row r="1383" spans="1:3" x14ac:dyDescent="0.25">
      <c r="A1383" s="2">
        <v>44326</v>
      </c>
      <c r="B1383" t="s">
        <v>14</v>
      </c>
      <c r="C1383">
        <v>67.87</v>
      </c>
    </row>
    <row r="1384" spans="1:3" x14ac:dyDescent="0.25">
      <c r="A1384" s="2">
        <v>44323</v>
      </c>
      <c r="B1384" t="s">
        <v>14</v>
      </c>
      <c r="C1384">
        <v>68.105000000000004</v>
      </c>
    </row>
    <row r="1385" spans="1:3" x14ac:dyDescent="0.25">
      <c r="A1385" s="2">
        <v>44322</v>
      </c>
      <c r="B1385" t="s">
        <v>14</v>
      </c>
      <c r="C1385">
        <v>68.489999999999995</v>
      </c>
    </row>
    <row r="1386" spans="1:3" x14ac:dyDescent="0.25">
      <c r="A1386" s="2">
        <v>44321</v>
      </c>
      <c r="B1386" t="s">
        <v>14</v>
      </c>
      <c r="C1386">
        <v>69.644999999999996</v>
      </c>
    </row>
    <row r="1387" spans="1:3" x14ac:dyDescent="0.25">
      <c r="A1387" s="2">
        <v>44320</v>
      </c>
      <c r="B1387" t="s">
        <v>14</v>
      </c>
      <c r="C1387">
        <v>68.650000000000006</v>
      </c>
    </row>
    <row r="1388" spans="1:3" x14ac:dyDescent="0.25">
      <c r="A1388" s="2">
        <v>44316</v>
      </c>
      <c r="B1388" t="s">
        <v>14</v>
      </c>
      <c r="C1388">
        <v>67.135000000000005</v>
      </c>
    </row>
    <row r="1389" spans="1:3" x14ac:dyDescent="0.25">
      <c r="A1389" s="2">
        <v>44315</v>
      </c>
      <c r="B1389" t="s">
        <v>14</v>
      </c>
      <c r="C1389">
        <v>67.45</v>
      </c>
    </row>
    <row r="1390" spans="1:3" x14ac:dyDescent="0.25">
      <c r="A1390" s="2">
        <v>44314</v>
      </c>
      <c r="B1390" t="s">
        <v>14</v>
      </c>
      <c r="C1390">
        <v>67.03</v>
      </c>
    </row>
    <row r="1391" spans="1:3" x14ac:dyDescent="0.25">
      <c r="A1391" s="2">
        <v>44313</v>
      </c>
      <c r="B1391" t="s">
        <v>14</v>
      </c>
      <c r="C1391">
        <v>65.36</v>
      </c>
    </row>
    <row r="1392" spans="1:3" x14ac:dyDescent="0.25">
      <c r="A1392" s="2">
        <v>44312</v>
      </c>
      <c r="B1392" t="s">
        <v>14</v>
      </c>
      <c r="C1392">
        <v>65.14</v>
      </c>
    </row>
    <row r="1393" spans="1:3" x14ac:dyDescent="0.25">
      <c r="A1393" s="2">
        <v>44309</v>
      </c>
      <c r="B1393" t="s">
        <v>14</v>
      </c>
      <c r="C1393">
        <v>65.16</v>
      </c>
    </row>
    <row r="1394" spans="1:3" x14ac:dyDescent="0.25">
      <c r="A1394" s="2">
        <v>44308</v>
      </c>
      <c r="B1394" t="s">
        <v>14</v>
      </c>
      <c r="C1394">
        <v>64.644999999999996</v>
      </c>
    </row>
    <row r="1395" spans="1:3" x14ac:dyDescent="0.25">
      <c r="A1395" s="2">
        <v>44307</v>
      </c>
      <c r="B1395" t="s">
        <v>14</v>
      </c>
      <c r="C1395">
        <v>64</v>
      </c>
    </row>
    <row r="1396" spans="1:3" x14ac:dyDescent="0.25">
      <c r="A1396" s="2">
        <v>44306</v>
      </c>
      <c r="B1396" t="s">
        <v>14</v>
      </c>
      <c r="C1396">
        <v>63.975000000000001</v>
      </c>
    </row>
    <row r="1397" spans="1:3" x14ac:dyDescent="0.25">
      <c r="A1397" s="2">
        <v>44305</v>
      </c>
      <c r="B1397" t="s">
        <v>14</v>
      </c>
      <c r="C1397">
        <v>65.72</v>
      </c>
    </row>
    <row r="1398" spans="1:3" x14ac:dyDescent="0.25">
      <c r="A1398" s="2">
        <v>44302</v>
      </c>
      <c r="B1398" t="s">
        <v>14</v>
      </c>
      <c r="C1398">
        <v>65.25</v>
      </c>
    </row>
    <row r="1399" spans="1:3" x14ac:dyDescent="0.25">
      <c r="A1399" s="2">
        <v>44301</v>
      </c>
      <c r="B1399" t="s">
        <v>14</v>
      </c>
      <c r="C1399">
        <v>65.05</v>
      </c>
    </row>
    <row r="1400" spans="1:3" x14ac:dyDescent="0.25">
      <c r="A1400" s="2">
        <v>44300</v>
      </c>
      <c r="B1400" t="s">
        <v>14</v>
      </c>
      <c r="C1400">
        <v>65.08</v>
      </c>
    </row>
    <row r="1401" spans="1:3" x14ac:dyDescent="0.25">
      <c r="A1401" s="2">
        <v>44299</v>
      </c>
      <c r="B1401" t="s">
        <v>14</v>
      </c>
      <c r="C1401">
        <v>62.344999999999999</v>
      </c>
    </row>
    <row r="1402" spans="1:3" x14ac:dyDescent="0.25">
      <c r="A1402" s="2">
        <v>44298</v>
      </c>
      <c r="B1402" t="s">
        <v>14</v>
      </c>
      <c r="C1402">
        <v>62.04</v>
      </c>
    </row>
    <row r="1403" spans="1:3" x14ac:dyDescent="0.25">
      <c r="A1403" s="2">
        <v>44295</v>
      </c>
      <c r="B1403" t="s">
        <v>14</v>
      </c>
      <c r="C1403">
        <v>61.435000000000002</v>
      </c>
    </row>
    <row r="1404" spans="1:3" x14ac:dyDescent="0.25">
      <c r="A1404" s="2">
        <v>44294</v>
      </c>
      <c r="B1404" t="s">
        <v>14</v>
      </c>
      <c r="C1404">
        <v>61.18</v>
      </c>
    </row>
    <row r="1405" spans="1:3" x14ac:dyDescent="0.25">
      <c r="A1405" s="2">
        <v>44293</v>
      </c>
      <c r="B1405" t="s">
        <v>14</v>
      </c>
      <c r="C1405">
        <v>60.29</v>
      </c>
    </row>
    <row r="1406" spans="1:3" x14ac:dyDescent="0.25">
      <c r="A1406" s="2">
        <v>44292</v>
      </c>
      <c r="B1406" t="s">
        <v>14</v>
      </c>
      <c r="C1406">
        <v>61.53</v>
      </c>
    </row>
    <row r="1407" spans="1:3" x14ac:dyDescent="0.25">
      <c r="A1407" s="2">
        <v>44287</v>
      </c>
      <c r="B1407" t="s">
        <v>14</v>
      </c>
      <c r="C1407">
        <v>61.62</v>
      </c>
    </row>
    <row r="1408" spans="1:3" x14ac:dyDescent="0.25">
      <c r="A1408" s="2">
        <v>44286</v>
      </c>
      <c r="B1408" t="s">
        <v>14</v>
      </c>
      <c r="C1408">
        <v>62.685000000000002</v>
      </c>
    </row>
    <row r="1409" spans="1:3" x14ac:dyDescent="0.25">
      <c r="A1409" s="2">
        <v>44285</v>
      </c>
      <c r="B1409" t="s">
        <v>14</v>
      </c>
      <c r="C1409">
        <v>62.994999999999997</v>
      </c>
    </row>
    <row r="1410" spans="1:3" x14ac:dyDescent="0.25">
      <c r="A1410" s="2">
        <v>44284</v>
      </c>
      <c r="B1410" t="s">
        <v>14</v>
      </c>
      <c r="C1410">
        <v>62.86</v>
      </c>
    </row>
    <row r="1411" spans="1:3" x14ac:dyDescent="0.25">
      <c r="A1411" s="2">
        <v>44281</v>
      </c>
      <c r="B1411" t="s">
        <v>14</v>
      </c>
      <c r="C1411">
        <v>63.83</v>
      </c>
    </row>
    <row r="1412" spans="1:3" x14ac:dyDescent="0.25">
      <c r="A1412" s="2">
        <v>44280</v>
      </c>
      <c r="B1412" t="s">
        <v>14</v>
      </c>
      <c r="C1412">
        <v>61.585000000000001</v>
      </c>
    </row>
    <row r="1413" spans="1:3" x14ac:dyDescent="0.25">
      <c r="A1413" s="2">
        <v>44279</v>
      </c>
      <c r="B1413" t="s">
        <v>14</v>
      </c>
      <c r="C1413">
        <v>63.67</v>
      </c>
    </row>
    <row r="1414" spans="1:3" x14ac:dyDescent="0.25">
      <c r="A1414" s="2">
        <v>44278</v>
      </c>
      <c r="B1414" t="s">
        <v>14</v>
      </c>
      <c r="C1414">
        <v>61.64</v>
      </c>
    </row>
    <row r="1415" spans="1:3" x14ac:dyDescent="0.25">
      <c r="A1415" s="2">
        <v>44277</v>
      </c>
      <c r="B1415" t="s">
        <v>14</v>
      </c>
      <c r="C1415">
        <v>63.7</v>
      </c>
    </row>
    <row r="1416" spans="1:3" x14ac:dyDescent="0.25">
      <c r="A1416" s="2">
        <v>44274</v>
      </c>
      <c r="B1416" t="s">
        <v>14</v>
      </c>
      <c r="C1416">
        <v>63.36</v>
      </c>
    </row>
    <row r="1417" spans="1:3" x14ac:dyDescent="0.25">
      <c r="A1417" s="2">
        <v>44273</v>
      </c>
      <c r="B1417" t="s">
        <v>14</v>
      </c>
      <c r="C1417">
        <v>64.534999999999997</v>
      </c>
    </row>
    <row r="1418" spans="1:3" x14ac:dyDescent="0.25">
      <c r="A1418" s="2">
        <v>44272</v>
      </c>
      <c r="B1418" t="s">
        <v>14</v>
      </c>
      <c r="C1418">
        <v>67.239999999999995</v>
      </c>
    </row>
    <row r="1419" spans="1:3" x14ac:dyDescent="0.25">
      <c r="A1419" s="2">
        <v>44271</v>
      </c>
      <c r="B1419" t="s">
        <v>14</v>
      </c>
      <c r="C1419">
        <v>67.635000000000005</v>
      </c>
    </row>
    <row r="1420" spans="1:3" x14ac:dyDescent="0.25">
      <c r="A1420" s="2">
        <v>44270</v>
      </c>
      <c r="B1420" t="s">
        <v>14</v>
      </c>
      <c r="C1420">
        <v>68.41</v>
      </c>
    </row>
    <row r="1421" spans="1:3" x14ac:dyDescent="0.25">
      <c r="A1421" s="2">
        <v>44267</v>
      </c>
      <c r="B1421" t="s">
        <v>14</v>
      </c>
      <c r="C1421">
        <v>68.88</v>
      </c>
    </row>
    <row r="1422" spans="1:3" x14ac:dyDescent="0.25">
      <c r="A1422" s="2">
        <v>44266</v>
      </c>
      <c r="B1422" t="s">
        <v>14</v>
      </c>
      <c r="C1422">
        <v>68.885000000000005</v>
      </c>
    </row>
    <row r="1423" spans="1:3" x14ac:dyDescent="0.25">
      <c r="A1423" s="2">
        <v>44265</v>
      </c>
      <c r="B1423" t="s">
        <v>14</v>
      </c>
      <c r="C1423">
        <v>66.62</v>
      </c>
    </row>
    <row r="1424" spans="1:3" x14ac:dyDescent="0.25">
      <c r="A1424" s="2">
        <v>44264</v>
      </c>
      <c r="B1424" t="s">
        <v>14</v>
      </c>
      <c r="C1424">
        <v>66.844999999999999</v>
      </c>
    </row>
    <row r="1425" spans="1:3" x14ac:dyDescent="0.25">
      <c r="A1425" s="2">
        <v>44263</v>
      </c>
      <c r="B1425" t="s">
        <v>14</v>
      </c>
      <c r="C1425">
        <v>68.325000000000003</v>
      </c>
    </row>
    <row r="1426" spans="1:3" x14ac:dyDescent="0.25">
      <c r="A1426" s="2">
        <v>44260</v>
      </c>
      <c r="B1426" t="s">
        <v>14</v>
      </c>
      <c r="C1426">
        <v>69.430000000000007</v>
      </c>
    </row>
    <row r="1427" spans="1:3" x14ac:dyDescent="0.25">
      <c r="A1427" s="2">
        <v>44259</v>
      </c>
      <c r="B1427" t="s">
        <v>14</v>
      </c>
      <c r="C1427">
        <v>67.78</v>
      </c>
    </row>
    <row r="1428" spans="1:3" x14ac:dyDescent="0.25">
      <c r="A1428" s="2">
        <v>44258</v>
      </c>
      <c r="B1428" t="s">
        <v>14</v>
      </c>
      <c r="C1428">
        <v>64.900000000000006</v>
      </c>
    </row>
    <row r="1429" spans="1:3" x14ac:dyDescent="0.25">
      <c r="A1429" s="2">
        <v>44257</v>
      </c>
      <c r="B1429" t="s">
        <v>14</v>
      </c>
      <c r="C1429">
        <v>64.099999999999994</v>
      </c>
    </row>
    <row r="1430" spans="1:3" x14ac:dyDescent="0.25">
      <c r="A1430" s="2">
        <v>44256</v>
      </c>
      <c r="B1430" t="s">
        <v>14</v>
      </c>
      <c r="C1430">
        <v>65.8</v>
      </c>
    </row>
    <row r="1431" spans="1:3" x14ac:dyDescent="0.25">
      <c r="A1431" s="2">
        <v>44253</v>
      </c>
      <c r="B1431" t="s">
        <v>14</v>
      </c>
      <c r="C1431">
        <v>66.02</v>
      </c>
    </row>
    <row r="1432" spans="1:3" x14ac:dyDescent="0.25">
      <c r="A1432" s="2">
        <v>44252</v>
      </c>
      <c r="B1432" t="s">
        <v>14</v>
      </c>
      <c r="C1432">
        <v>67.11</v>
      </c>
    </row>
    <row r="1433" spans="1:3" x14ac:dyDescent="0.25">
      <c r="A1433" s="2">
        <v>44251</v>
      </c>
      <c r="B1433" t="s">
        <v>14</v>
      </c>
      <c r="C1433">
        <v>66.754999999999995</v>
      </c>
    </row>
    <row r="1434" spans="1:3" x14ac:dyDescent="0.25">
      <c r="A1434" s="2">
        <v>44250</v>
      </c>
      <c r="B1434" t="s">
        <v>14</v>
      </c>
      <c r="C1434">
        <v>65.165000000000006</v>
      </c>
    </row>
    <row r="1435" spans="1:3" x14ac:dyDescent="0.25">
      <c r="A1435" s="2">
        <v>44249</v>
      </c>
      <c r="B1435" t="s">
        <v>14</v>
      </c>
      <c r="C1435">
        <v>64.224999999999994</v>
      </c>
    </row>
    <row r="1436" spans="1:3" x14ac:dyDescent="0.25">
      <c r="A1436" s="2">
        <v>44246</v>
      </c>
      <c r="B1436" t="s">
        <v>14</v>
      </c>
      <c r="C1436">
        <v>63.674999999999997</v>
      </c>
    </row>
    <row r="1437" spans="1:3" x14ac:dyDescent="0.25">
      <c r="A1437" s="2">
        <v>44245</v>
      </c>
      <c r="B1437" t="s">
        <v>14</v>
      </c>
      <c r="C1437">
        <v>64.7</v>
      </c>
    </row>
    <row r="1438" spans="1:3" x14ac:dyDescent="0.25">
      <c r="A1438" s="2">
        <v>44244</v>
      </c>
      <c r="B1438" t="s">
        <v>14</v>
      </c>
      <c r="C1438">
        <v>64.739999999999995</v>
      </c>
    </row>
    <row r="1439" spans="1:3" x14ac:dyDescent="0.25">
      <c r="A1439" s="2">
        <v>44243</v>
      </c>
      <c r="B1439" t="s">
        <v>14</v>
      </c>
      <c r="C1439">
        <v>63.884999999999998</v>
      </c>
    </row>
    <row r="1440" spans="1:3" x14ac:dyDescent="0.25">
      <c r="A1440" s="2">
        <v>44242</v>
      </c>
      <c r="B1440" t="s">
        <v>14</v>
      </c>
      <c r="C1440">
        <v>64.209999999999994</v>
      </c>
    </row>
    <row r="1441" spans="1:3" x14ac:dyDescent="0.25">
      <c r="A1441" s="2">
        <v>44239</v>
      </c>
      <c r="B1441" t="s">
        <v>14</v>
      </c>
      <c r="C1441">
        <v>62.24</v>
      </c>
    </row>
    <row r="1442" spans="1:3" x14ac:dyDescent="0.25">
      <c r="A1442" s="2">
        <v>44238</v>
      </c>
      <c r="B1442" t="s">
        <v>14</v>
      </c>
      <c r="C1442">
        <v>61.58</v>
      </c>
    </row>
    <row r="1443" spans="1:3" x14ac:dyDescent="0.25">
      <c r="A1443" s="2">
        <v>44237</v>
      </c>
      <c r="B1443" t="s">
        <v>14</v>
      </c>
      <c r="C1443">
        <v>61.375</v>
      </c>
    </row>
    <row r="1444" spans="1:3" x14ac:dyDescent="0.25">
      <c r="A1444" s="2">
        <v>44236</v>
      </c>
      <c r="B1444" t="s">
        <v>14</v>
      </c>
      <c r="C1444">
        <v>60.734999999999999</v>
      </c>
    </row>
    <row r="1445" spans="1:3" x14ac:dyDescent="0.25">
      <c r="A1445" s="2">
        <v>44235</v>
      </c>
      <c r="B1445" t="s">
        <v>14</v>
      </c>
      <c r="C1445">
        <v>60.3</v>
      </c>
    </row>
    <row r="1446" spans="1:3" x14ac:dyDescent="0.25">
      <c r="A1446" s="2">
        <v>44232</v>
      </c>
      <c r="B1446" t="s">
        <v>14</v>
      </c>
      <c r="C1446">
        <v>60.26</v>
      </c>
    </row>
    <row r="1447" spans="1:3" x14ac:dyDescent="0.25">
      <c r="A1447" s="2">
        <v>44231</v>
      </c>
      <c r="B1447" t="s">
        <v>14</v>
      </c>
      <c r="C1447">
        <v>59.24</v>
      </c>
    </row>
    <row r="1448" spans="1:3" x14ac:dyDescent="0.25">
      <c r="A1448" s="2">
        <v>44230</v>
      </c>
      <c r="B1448" t="s">
        <v>14</v>
      </c>
      <c r="C1448">
        <v>59.24</v>
      </c>
    </row>
    <row r="1449" spans="1:3" x14ac:dyDescent="0.25">
      <c r="A1449" s="2">
        <v>44229</v>
      </c>
      <c r="B1449" t="s">
        <v>14</v>
      </c>
      <c r="C1449">
        <v>58.484999999999999</v>
      </c>
    </row>
    <row r="1450" spans="1:3" x14ac:dyDescent="0.25">
      <c r="A1450" s="2">
        <v>44228</v>
      </c>
      <c r="B1450" t="s">
        <v>14</v>
      </c>
      <c r="C1450">
        <v>56.564999999999998</v>
      </c>
    </row>
    <row r="1451" spans="1:3" x14ac:dyDescent="0.25">
      <c r="A1451" s="2">
        <v>44225</v>
      </c>
      <c r="B1451" t="s">
        <v>14</v>
      </c>
      <c r="C1451">
        <v>55.814999999999998</v>
      </c>
    </row>
    <row r="1452" spans="1:3" x14ac:dyDescent="0.25">
      <c r="A1452" s="2">
        <v>44224</v>
      </c>
      <c r="B1452" t="s">
        <v>14</v>
      </c>
      <c r="C1452">
        <v>55.484999999999999</v>
      </c>
    </row>
    <row r="1453" spans="1:3" x14ac:dyDescent="0.25">
      <c r="A1453" s="2">
        <v>44223</v>
      </c>
      <c r="B1453" t="s">
        <v>14</v>
      </c>
      <c r="C1453">
        <v>55.975000000000001</v>
      </c>
    </row>
    <row r="1454" spans="1:3" x14ac:dyDescent="0.25">
      <c r="A1454" s="2">
        <v>44222</v>
      </c>
      <c r="B1454" t="s">
        <v>14</v>
      </c>
      <c r="C1454">
        <v>55.774999999999999</v>
      </c>
    </row>
    <row r="1455" spans="1:3" x14ac:dyDescent="0.25">
      <c r="A1455" s="2">
        <v>44221</v>
      </c>
      <c r="B1455" t="s">
        <v>14</v>
      </c>
      <c r="C1455">
        <v>55.55</v>
      </c>
    </row>
    <row r="1456" spans="1:3" x14ac:dyDescent="0.25">
      <c r="A1456" s="2">
        <v>44218</v>
      </c>
      <c r="B1456" t="s">
        <v>14</v>
      </c>
      <c r="C1456">
        <v>55.674999999999997</v>
      </c>
    </row>
    <row r="1457" spans="1:3" x14ac:dyDescent="0.25">
      <c r="A1457" s="2">
        <v>44217</v>
      </c>
      <c r="B1457" t="s">
        <v>14</v>
      </c>
      <c r="C1457">
        <v>56.164999999999999</v>
      </c>
    </row>
    <row r="1458" spans="1:3" x14ac:dyDescent="0.25">
      <c r="A1458" s="2">
        <v>44216</v>
      </c>
      <c r="B1458" t="s">
        <v>14</v>
      </c>
      <c r="C1458">
        <v>56.44</v>
      </c>
    </row>
    <row r="1459" spans="1:3" x14ac:dyDescent="0.25">
      <c r="A1459" s="2">
        <v>44215</v>
      </c>
      <c r="B1459" t="s">
        <v>14</v>
      </c>
      <c r="C1459">
        <v>56.034999999999997</v>
      </c>
    </row>
    <row r="1460" spans="1:3" x14ac:dyDescent="0.25">
      <c r="A1460" s="2">
        <v>44214</v>
      </c>
      <c r="B1460" t="s">
        <v>14</v>
      </c>
      <c r="C1460">
        <v>55.034999999999997</v>
      </c>
    </row>
    <row r="1461" spans="1:3" x14ac:dyDescent="0.25">
      <c r="A1461" s="2">
        <v>44211</v>
      </c>
      <c r="B1461" t="s">
        <v>14</v>
      </c>
      <c r="C1461">
        <v>55.125</v>
      </c>
    </row>
    <row r="1462" spans="1:3" x14ac:dyDescent="0.25">
      <c r="A1462" s="2">
        <v>44210</v>
      </c>
      <c r="B1462" t="s">
        <v>14</v>
      </c>
      <c r="C1462">
        <v>55.61</v>
      </c>
    </row>
    <row r="1463" spans="1:3" x14ac:dyDescent="0.25">
      <c r="A1463" s="2">
        <v>44209</v>
      </c>
      <c r="B1463" t="s">
        <v>14</v>
      </c>
      <c r="C1463">
        <v>56.18</v>
      </c>
    </row>
    <row r="1464" spans="1:3" x14ac:dyDescent="0.25">
      <c r="A1464" s="2">
        <v>44208</v>
      </c>
      <c r="B1464" t="s">
        <v>14</v>
      </c>
      <c r="C1464">
        <v>56.414999999999999</v>
      </c>
    </row>
    <row r="1465" spans="1:3" x14ac:dyDescent="0.25">
      <c r="A1465" s="2">
        <v>44207</v>
      </c>
      <c r="B1465" t="s">
        <v>14</v>
      </c>
      <c r="C1465">
        <v>55.314999999999998</v>
      </c>
    </row>
    <row r="1466" spans="1:3" x14ac:dyDescent="0.25">
      <c r="A1466" s="2">
        <v>44204</v>
      </c>
      <c r="B1466" t="s">
        <v>14</v>
      </c>
      <c r="C1466">
        <v>55.7</v>
      </c>
    </row>
    <row r="1467" spans="1:3" x14ac:dyDescent="0.25">
      <c r="A1467" s="2">
        <v>44203</v>
      </c>
      <c r="B1467" t="s">
        <v>14</v>
      </c>
      <c r="C1467">
        <v>54.58</v>
      </c>
    </row>
    <row r="1468" spans="1:3" x14ac:dyDescent="0.25">
      <c r="A1468" s="2">
        <v>44202</v>
      </c>
      <c r="B1468" t="s">
        <v>14</v>
      </c>
      <c r="C1468">
        <v>54.765000000000001</v>
      </c>
    </row>
    <row r="1469" spans="1:3" x14ac:dyDescent="0.25">
      <c r="A1469" s="2">
        <v>44201</v>
      </c>
      <c r="B1469" t="s">
        <v>14</v>
      </c>
      <c r="C1469">
        <v>53.344999999999999</v>
      </c>
    </row>
    <row r="1470" spans="1:3" x14ac:dyDescent="0.25">
      <c r="A1470" s="2">
        <v>44200</v>
      </c>
      <c r="B1470" t="s">
        <v>14</v>
      </c>
      <c r="C1470">
        <v>51.024999999999999</v>
      </c>
    </row>
    <row r="1471" spans="1:3" x14ac:dyDescent="0.25">
      <c r="A1471" s="2">
        <v>44196</v>
      </c>
      <c r="B1471" t="s">
        <v>14</v>
      </c>
      <c r="C1471">
        <v>51.664999999999999</v>
      </c>
    </row>
    <row r="1472" spans="1:3" x14ac:dyDescent="0.25">
      <c r="A1472" s="2">
        <v>44195</v>
      </c>
      <c r="B1472" t="s">
        <v>14</v>
      </c>
      <c r="C1472">
        <v>51.305</v>
      </c>
    </row>
    <row r="1473" spans="1:3" x14ac:dyDescent="0.25">
      <c r="A1473" s="2">
        <v>44194</v>
      </c>
      <c r="B1473" t="s">
        <v>14</v>
      </c>
      <c r="C1473">
        <v>51.42</v>
      </c>
    </row>
    <row r="1474" spans="1:3" x14ac:dyDescent="0.25">
      <c r="A1474" s="2">
        <v>44189</v>
      </c>
      <c r="B1474" t="s">
        <v>14</v>
      </c>
      <c r="C1474">
        <v>51.36</v>
      </c>
    </row>
    <row r="1475" spans="1:3" x14ac:dyDescent="0.25">
      <c r="A1475" s="2">
        <v>44188</v>
      </c>
      <c r="B1475" t="s">
        <v>14</v>
      </c>
      <c r="C1475">
        <v>52.06</v>
      </c>
    </row>
    <row r="1476" spans="1:3" x14ac:dyDescent="0.25">
      <c r="A1476" s="2">
        <v>44187</v>
      </c>
      <c r="B1476" t="s">
        <v>14</v>
      </c>
      <c r="C1476">
        <v>51.015000000000001</v>
      </c>
    </row>
    <row r="1477" spans="1:3" x14ac:dyDescent="0.25">
      <c r="A1477" s="2">
        <v>44186</v>
      </c>
      <c r="B1477" t="s">
        <v>14</v>
      </c>
      <c r="C1477">
        <v>50.88</v>
      </c>
    </row>
    <row r="1478" spans="1:3" x14ac:dyDescent="0.25">
      <c r="A1478" s="2">
        <v>44183</v>
      </c>
      <c r="B1478" t="s">
        <v>14</v>
      </c>
      <c r="C1478">
        <v>52.875</v>
      </c>
    </row>
    <row r="1479" spans="1:3" x14ac:dyDescent="0.25">
      <c r="A1479" s="2">
        <v>44182</v>
      </c>
      <c r="B1479" t="s">
        <v>14</v>
      </c>
      <c r="C1479">
        <v>51.935000000000002</v>
      </c>
    </row>
    <row r="1480" spans="1:3" x14ac:dyDescent="0.25">
      <c r="A1480" s="2">
        <v>44181</v>
      </c>
      <c r="B1480" t="s">
        <v>14</v>
      </c>
      <c r="C1480">
        <v>51.32</v>
      </c>
    </row>
    <row r="1481" spans="1:3" x14ac:dyDescent="0.25">
      <c r="A1481" s="2">
        <v>44180</v>
      </c>
      <c r="B1481" t="s">
        <v>14</v>
      </c>
      <c r="C1481">
        <v>51.625</v>
      </c>
    </row>
    <row r="1482" spans="1:3" x14ac:dyDescent="0.25">
      <c r="A1482" s="2">
        <v>44179</v>
      </c>
      <c r="B1482" t="s">
        <v>14</v>
      </c>
      <c r="C1482">
        <v>50.53</v>
      </c>
    </row>
    <row r="1483" spans="1:3" x14ac:dyDescent="0.25">
      <c r="A1483" s="2">
        <v>44176</v>
      </c>
      <c r="B1483" t="s">
        <v>14</v>
      </c>
      <c r="C1483">
        <v>51.024999999999999</v>
      </c>
    </row>
    <row r="1484" spans="1:3" x14ac:dyDescent="0.25">
      <c r="A1484" s="2">
        <v>44175</v>
      </c>
      <c r="B1484" t="s">
        <v>14</v>
      </c>
      <c r="C1484">
        <v>51.835000000000001</v>
      </c>
    </row>
    <row r="1485" spans="1:3" x14ac:dyDescent="0.25">
      <c r="A1485" s="2">
        <v>44174</v>
      </c>
      <c r="B1485" t="s">
        <v>14</v>
      </c>
      <c r="C1485">
        <v>49.78</v>
      </c>
    </row>
    <row r="1486" spans="1:3" x14ac:dyDescent="0.25">
      <c r="A1486" s="2">
        <v>44173</v>
      </c>
      <c r="B1486" t="s">
        <v>14</v>
      </c>
      <c r="C1486">
        <v>49.825000000000003</v>
      </c>
    </row>
    <row r="1487" spans="1:3" x14ac:dyDescent="0.25">
      <c r="A1487" s="2">
        <v>44172</v>
      </c>
      <c r="B1487" t="s">
        <v>14</v>
      </c>
      <c r="C1487">
        <v>49.774999999999999</v>
      </c>
    </row>
    <row r="1488" spans="1:3" x14ac:dyDescent="0.25">
      <c r="A1488" s="2">
        <v>44169</v>
      </c>
      <c r="B1488" t="s">
        <v>14</v>
      </c>
      <c r="C1488">
        <v>49.92</v>
      </c>
    </row>
    <row r="1489" spans="1:3" x14ac:dyDescent="0.25">
      <c r="A1489" s="2">
        <v>44168</v>
      </c>
      <c r="B1489" t="s">
        <v>14</v>
      </c>
      <c r="C1489">
        <v>49.14</v>
      </c>
    </row>
    <row r="1490" spans="1:3" x14ac:dyDescent="0.25">
      <c r="A1490" s="2">
        <v>44167</v>
      </c>
      <c r="B1490" t="s">
        <v>14</v>
      </c>
      <c r="C1490">
        <v>48.625</v>
      </c>
    </row>
    <row r="1491" spans="1:3" x14ac:dyDescent="0.25">
      <c r="A1491" s="2">
        <v>44166</v>
      </c>
      <c r="B1491" t="s">
        <v>14</v>
      </c>
      <c r="C1491">
        <v>47.905000000000001</v>
      </c>
    </row>
    <row r="1492" spans="1:3" x14ac:dyDescent="0.25">
      <c r="A1492" s="2">
        <v>44165</v>
      </c>
      <c r="B1492" t="s">
        <v>14</v>
      </c>
      <c r="C1492">
        <v>47.075000000000003</v>
      </c>
    </row>
    <row r="1493" spans="1:3" x14ac:dyDescent="0.25">
      <c r="A1493" s="2">
        <v>44162</v>
      </c>
      <c r="B1493" t="s">
        <v>14</v>
      </c>
      <c r="C1493">
        <v>47.534999999999997</v>
      </c>
    </row>
    <row r="1494" spans="1:3" x14ac:dyDescent="0.25">
      <c r="A1494" s="2">
        <v>44161</v>
      </c>
      <c r="B1494" t="s">
        <v>14</v>
      </c>
      <c r="C1494">
        <v>47.115000000000002</v>
      </c>
    </row>
    <row r="1495" spans="1:3" x14ac:dyDescent="0.25">
      <c r="A1495" s="2">
        <v>44160</v>
      </c>
      <c r="B1495" t="s">
        <v>14</v>
      </c>
      <c r="C1495">
        <v>47.505000000000003</v>
      </c>
    </row>
    <row r="1496" spans="1:3" x14ac:dyDescent="0.25">
      <c r="A1496" s="2">
        <v>44159</v>
      </c>
      <c r="B1496" t="s">
        <v>14</v>
      </c>
      <c r="C1496">
        <v>47.255000000000003</v>
      </c>
    </row>
    <row r="1497" spans="1:3" x14ac:dyDescent="0.25">
      <c r="A1497" s="2">
        <v>44158</v>
      </c>
      <c r="B1497" t="s">
        <v>14</v>
      </c>
      <c r="C1497">
        <v>45.524999999999999</v>
      </c>
    </row>
    <row r="1498" spans="1:3" x14ac:dyDescent="0.25">
      <c r="A1498" s="2">
        <v>44155</v>
      </c>
      <c r="B1498" t="s">
        <v>14</v>
      </c>
      <c r="C1498">
        <v>44.185000000000002</v>
      </c>
    </row>
    <row r="1499" spans="1:3" x14ac:dyDescent="0.25">
      <c r="A1499" s="2">
        <v>44154</v>
      </c>
      <c r="B1499" t="s">
        <v>14</v>
      </c>
      <c r="C1499">
        <v>43.72</v>
      </c>
    </row>
    <row r="1500" spans="1:3" x14ac:dyDescent="0.25">
      <c r="A1500" s="2">
        <v>44153</v>
      </c>
      <c r="B1500" t="s">
        <v>14</v>
      </c>
      <c r="C1500">
        <v>43.83</v>
      </c>
    </row>
    <row r="1501" spans="1:3" x14ac:dyDescent="0.25">
      <c r="A1501" s="2">
        <v>44152</v>
      </c>
      <c r="B1501" t="s">
        <v>14</v>
      </c>
      <c r="C1501">
        <v>43.02</v>
      </c>
    </row>
    <row r="1502" spans="1:3" x14ac:dyDescent="0.25">
      <c r="A1502" s="2">
        <v>44151</v>
      </c>
      <c r="B1502" t="s">
        <v>14</v>
      </c>
      <c r="C1502">
        <v>43.844999999999999</v>
      </c>
    </row>
    <row r="1503" spans="1:3" x14ac:dyDescent="0.25">
      <c r="A1503" s="2">
        <v>44148</v>
      </c>
      <c r="B1503" t="s">
        <v>14</v>
      </c>
      <c r="C1503">
        <v>42.51</v>
      </c>
    </row>
    <row r="1504" spans="1:3" x14ac:dyDescent="0.25">
      <c r="A1504" s="2">
        <v>44147</v>
      </c>
      <c r="B1504" t="s">
        <v>14</v>
      </c>
      <c r="C1504">
        <v>43.314999999999998</v>
      </c>
    </row>
    <row r="1505" spans="1:3" x14ac:dyDescent="0.25">
      <c r="A1505" s="2">
        <v>44146</v>
      </c>
      <c r="B1505" t="s">
        <v>14</v>
      </c>
      <c r="C1505">
        <v>43.814999999999998</v>
      </c>
    </row>
    <row r="1506" spans="1:3" x14ac:dyDescent="0.25">
      <c r="A1506" s="2">
        <v>44145</v>
      </c>
      <c r="B1506" t="s">
        <v>14</v>
      </c>
      <c r="C1506">
        <v>42.645000000000003</v>
      </c>
    </row>
    <row r="1507" spans="1:3" x14ac:dyDescent="0.25">
      <c r="A1507" s="2">
        <v>44144</v>
      </c>
      <c r="B1507" t="s">
        <v>14</v>
      </c>
      <c r="C1507">
        <v>41.994999999999997</v>
      </c>
    </row>
    <row r="1508" spans="1:3" x14ac:dyDescent="0.25">
      <c r="A1508" s="2">
        <v>44141</v>
      </c>
      <c r="B1508" t="s">
        <v>14</v>
      </c>
      <c r="C1508">
        <v>39.31</v>
      </c>
    </row>
    <row r="1509" spans="1:3" x14ac:dyDescent="0.25">
      <c r="A1509" s="2">
        <v>44140</v>
      </c>
      <c r="B1509" t="s">
        <v>14</v>
      </c>
      <c r="C1509">
        <v>40.384999999999998</v>
      </c>
    </row>
    <row r="1510" spans="1:3" x14ac:dyDescent="0.25">
      <c r="A1510" s="2">
        <v>44139</v>
      </c>
      <c r="B1510" t="s">
        <v>14</v>
      </c>
      <c r="C1510">
        <v>40.115000000000002</v>
      </c>
    </row>
    <row r="1511" spans="1:3" x14ac:dyDescent="0.25">
      <c r="A1511" s="2">
        <v>44138</v>
      </c>
      <c r="B1511" t="s">
        <v>14</v>
      </c>
      <c r="C1511">
        <v>39.08</v>
      </c>
    </row>
    <row r="1512" spans="1:3" x14ac:dyDescent="0.25">
      <c r="A1512" s="2">
        <v>44137</v>
      </c>
      <c r="B1512" t="s">
        <v>14</v>
      </c>
      <c r="C1512">
        <v>37.61</v>
      </c>
    </row>
    <row r="1513" spans="1:3" x14ac:dyDescent="0.25">
      <c r="A1513" s="2">
        <v>44134</v>
      </c>
      <c r="B1513" t="s">
        <v>14</v>
      </c>
      <c r="C1513">
        <v>37.405000000000001</v>
      </c>
    </row>
    <row r="1514" spans="1:3" x14ac:dyDescent="0.25">
      <c r="A1514" s="2">
        <v>44133</v>
      </c>
      <c r="B1514" t="s">
        <v>14</v>
      </c>
      <c r="C1514">
        <v>37.244999999999997</v>
      </c>
    </row>
    <row r="1515" spans="1:3" x14ac:dyDescent="0.25">
      <c r="A1515" s="2">
        <v>44132</v>
      </c>
      <c r="B1515" t="s">
        <v>14</v>
      </c>
      <c r="C1515">
        <v>38.86</v>
      </c>
    </row>
    <row r="1516" spans="1:3" x14ac:dyDescent="0.25">
      <c r="A1516" s="2">
        <v>44131</v>
      </c>
      <c r="B1516" t="s">
        <v>14</v>
      </c>
      <c r="C1516">
        <v>40.619999999999997</v>
      </c>
    </row>
    <row r="1517" spans="1:3" x14ac:dyDescent="0.25">
      <c r="A1517" s="2">
        <v>44130</v>
      </c>
      <c r="B1517" t="s">
        <v>14</v>
      </c>
      <c r="C1517">
        <v>39.840000000000003</v>
      </c>
    </row>
    <row r="1518" spans="1:3" x14ac:dyDescent="0.25">
      <c r="A1518" s="2">
        <v>44127</v>
      </c>
      <c r="B1518" t="s">
        <v>14</v>
      </c>
      <c r="C1518">
        <v>41.914999999999999</v>
      </c>
    </row>
    <row r="1519" spans="1:3" x14ac:dyDescent="0.25">
      <c r="A1519" s="2">
        <v>44126</v>
      </c>
      <c r="B1519" t="s">
        <v>14</v>
      </c>
      <c r="C1519">
        <v>42.27</v>
      </c>
    </row>
    <row r="1520" spans="1:3" x14ac:dyDescent="0.25">
      <c r="A1520" s="2">
        <v>44125</v>
      </c>
      <c r="B1520" t="s">
        <v>14</v>
      </c>
      <c r="C1520">
        <v>40.950000000000003</v>
      </c>
    </row>
    <row r="1521" spans="1:3" x14ac:dyDescent="0.25">
      <c r="A1521" s="2">
        <v>44124</v>
      </c>
      <c r="B1521" t="s">
        <v>14</v>
      </c>
      <c r="C1521">
        <v>41.695</v>
      </c>
    </row>
    <row r="1522" spans="1:3" x14ac:dyDescent="0.25">
      <c r="A1522" s="2">
        <v>44123</v>
      </c>
      <c r="B1522" t="s">
        <v>14</v>
      </c>
      <c r="C1522">
        <v>42.344999999999999</v>
      </c>
    </row>
    <row r="1523" spans="1:3" x14ac:dyDescent="0.25">
      <c r="A1523" s="2">
        <v>44120</v>
      </c>
      <c r="B1523" t="s">
        <v>14</v>
      </c>
      <c r="C1523">
        <v>42.08</v>
      </c>
    </row>
    <row r="1524" spans="1:3" x14ac:dyDescent="0.25">
      <c r="A1524" s="2">
        <v>44119</v>
      </c>
      <c r="B1524" t="s">
        <v>14</v>
      </c>
      <c r="C1524">
        <v>41.664999999999999</v>
      </c>
    </row>
    <row r="1525" spans="1:3" x14ac:dyDescent="0.25">
      <c r="A1525" s="2">
        <v>44118</v>
      </c>
      <c r="B1525" t="s">
        <v>14</v>
      </c>
      <c r="C1525">
        <v>42.3</v>
      </c>
    </row>
    <row r="1526" spans="1:3" x14ac:dyDescent="0.25">
      <c r="A1526" s="2">
        <v>44117</v>
      </c>
      <c r="B1526" t="s">
        <v>14</v>
      </c>
      <c r="C1526">
        <v>42.05</v>
      </c>
    </row>
    <row r="1527" spans="1:3" x14ac:dyDescent="0.25">
      <c r="A1527" s="2">
        <v>44116</v>
      </c>
      <c r="B1527" t="s">
        <v>14</v>
      </c>
      <c r="C1527">
        <v>41.26</v>
      </c>
    </row>
    <row r="1528" spans="1:3" x14ac:dyDescent="0.25">
      <c r="A1528" s="2">
        <v>44113</v>
      </c>
      <c r="B1528" t="s">
        <v>14</v>
      </c>
      <c r="C1528">
        <v>42.655000000000001</v>
      </c>
    </row>
    <row r="1529" spans="1:3" x14ac:dyDescent="0.25">
      <c r="A1529" s="2">
        <v>44112</v>
      </c>
      <c r="B1529" t="s">
        <v>14</v>
      </c>
      <c r="C1529">
        <v>42.405000000000001</v>
      </c>
    </row>
    <row r="1530" spans="1:3" x14ac:dyDescent="0.25">
      <c r="A1530" s="2">
        <v>44111</v>
      </c>
      <c r="B1530" t="s">
        <v>14</v>
      </c>
      <c r="C1530">
        <v>41.115000000000002</v>
      </c>
    </row>
    <row r="1531" spans="1:3" x14ac:dyDescent="0.25">
      <c r="A1531" s="2">
        <v>44110</v>
      </c>
      <c r="B1531" t="s">
        <v>14</v>
      </c>
      <c r="C1531">
        <v>41.865000000000002</v>
      </c>
    </row>
    <row r="1532" spans="1:3" x14ac:dyDescent="0.25">
      <c r="A1532" s="2">
        <v>44109</v>
      </c>
      <c r="B1532" t="s">
        <v>14</v>
      </c>
      <c r="C1532">
        <v>40.909999999999997</v>
      </c>
    </row>
    <row r="1533" spans="1:3" x14ac:dyDescent="0.25">
      <c r="A1533" s="2">
        <v>44106</v>
      </c>
      <c r="B1533" t="s">
        <v>14</v>
      </c>
      <c r="C1533">
        <v>39.424999999999997</v>
      </c>
    </row>
    <row r="1534" spans="1:3" x14ac:dyDescent="0.25">
      <c r="A1534" s="2">
        <v>44105</v>
      </c>
      <c r="B1534" t="s">
        <v>14</v>
      </c>
      <c r="C1534">
        <v>40.17</v>
      </c>
    </row>
    <row r="1535" spans="1:3" x14ac:dyDescent="0.25">
      <c r="A1535" s="2">
        <v>44104</v>
      </c>
      <c r="B1535" t="s">
        <v>14</v>
      </c>
      <c r="C1535">
        <v>41.18</v>
      </c>
    </row>
    <row r="1536" spans="1:3" x14ac:dyDescent="0.25">
      <c r="A1536" s="2">
        <v>44103</v>
      </c>
      <c r="B1536" t="s">
        <v>14</v>
      </c>
      <c r="C1536">
        <v>41.25</v>
      </c>
    </row>
    <row r="1537" spans="1:3" x14ac:dyDescent="0.25">
      <c r="A1537" s="2">
        <v>44102</v>
      </c>
      <c r="B1537" t="s">
        <v>14</v>
      </c>
      <c r="C1537">
        <v>42.295000000000002</v>
      </c>
    </row>
    <row r="1538" spans="1:3" x14ac:dyDescent="0.25">
      <c r="A1538" s="2">
        <v>44099</v>
      </c>
      <c r="B1538" t="s">
        <v>14</v>
      </c>
      <c r="C1538">
        <v>41.744999999999997</v>
      </c>
    </row>
    <row r="1539" spans="1:3" x14ac:dyDescent="0.25">
      <c r="A1539" s="2">
        <v>44098</v>
      </c>
      <c r="B1539" t="s">
        <v>14</v>
      </c>
      <c r="C1539">
        <v>41.88</v>
      </c>
    </row>
    <row r="1540" spans="1:3" x14ac:dyDescent="0.25">
      <c r="A1540" s="2">
        <v>44097</v>
      </c>
      <c r="B1540" t="s">
        <v>14</v>
      </c>
      <c r="C1540">
        <v>42.64</v>
      </c>
    </row>
    <row r="1541" spans="1:3" x14ac:dyDescent="0.25">
      <c r="A1541" s="2">
        <v>44096</v>
      </c>
      <c r="B1541" t="s">
        <v>14</v>
      </c>
      <c r="C1541">
        <v>42.215000000000003</v>
      </c>
    </row>
    <row r="1542" spans="1:3" x14ac:dyDescent="0.25">
      <c r="A1542" s="2">
        <v>44095</v>
      </c>
      <c r="B1542" t="s">
        <v>14</v>
      </c>
      <c r="C1542">
        <v>41.445</v>
      </c>
    </row>
    <row r="1543" spans="1:3" x14ac:dyDescent="0.25">
      <c r="A1543" s="2">
        <v>44092</v>
      </c>
      <c r="B1543" t="s">
        <v>14</v>
      </c>
      <c r="C1543">
        <v>43.505000000000003</v>
      </c>
    </row>
    <row r="1544" spans="1:3" x14ac:dyDescent="0.25">
      <c r="A1544" s="2">
        <v>44091</v>
      </c>
      <c r="B1544" t="s">
        <v>14</v>
      </c>
      <c r="C1544">
        <v>43.494999999999997</v>
      </c>
    </row>
    <row r="1545" spans="1:3" x14ac:dyDescent="0.25">
      <c r="A1545" s="2">
        <v>44090</v>
      </c>
      <c r="B1545" t="s">
        <v>14</v>
      </c>
      <c r="C1545">
        <v>42.15</v>
      </c>
    </row>
    <row r="1546" spans="1:3" x14ac:dyDescent="0.25">
      <c r="A1546" s="2">
        <v>44089</v>
      </c>
      <c r="B1546" t="s">
        <v>14</v>
      </c>
      <c r="C1546">
        <v>40.54</v>
      </c>
    </row>
    <row r="1547" spans="1:3" x14ac:dyDescent="0.25">
      <c r="A1547" s="2">
        <v>44088</v>
      </c>
      <c r="B1547" t="s">
        <v>14</v>
      </c>
      <c r="C1547">
        <v>39.92</v>
      </c>
    </row>
    <row r="1548" spans="1:3" x14ac:dyDescent="0.25">
      <c r="A1548" s="2">
        <v>44085</v>
      </c>
      <c r="B1548" t="s">
        <v>14</v>
      </c>
      <c r="C1548">
        <v>40.39</v>
      </c>
    </row>
    <row r="1549" spans="1:3" x14ac:dyDescent="0.25">
      <c r="A1549" s="2">
        <v>44084</v>
      </c>
      <c r="B1549" t="s">
        <v>14</v>
      </c>
      <c r="C1549">
        <v>41.12</v>
      </c>
    </row>
    <row r="1550" spans="1:3" x14ac:dyDescent="0.25">
      <c r="A1550" s="2">
        <v>44083</v>
      </c>
      <c r="B1550" t="s">
        <v>14</v>
      </c>
      <c r="C1550">
        <v>41.47</v>
      </c>
    </row>
    <row r="1551" spans="1:3" x14ac:dyDescent="0.25">
      <c r="A1551" s="2">
        <v>44082</v>
      </c>
      <c r="B1551" t="s">
        <v>14</v>
      </c>
      <c r="C1551">
        <v>40.335000000000001</v>
      </c>
    </row>
    <row r="1552" spans="1:3" x14ac:dyDescent="0.25">
      <c r="A1552" s="2">
        <v>44081</v>
      </c>
      <c r="B1552" t="s">
        <v>14</v>
      </c>
      <c r="C1552">
        <v>42.31</v>
      </c>
    </row>
    <row r="1553" spans="1:3" x14ac:dyDescent="0.25">
      <c r="A1553" s="2">
        <v>44078</v>
      </c>
      <c r="B1553" t="s">
        <v>14</v>
      </c>
      <c r="C1553">
        <v>42.905000000000001</v>
      </c>
    </row>
    <row r="1554" spans="1:3" x14ac:dyDescent="0.25">
      <c r="A1554" s="2">
        <v>44077</v>
      </c>
      <c r="B1554" t="s">
        <v>14</v>
      </c>
      <c r="C1554">
        <v>43.52</v>
      </c>
    </row>
    <row r="1555" spans="1:3" x14ac:dyDescent="0.25">
      <c r="A1555" s="2">
        <v>44076</v>
      </c>
      <c r="B1555" t="s">
        <v>14</v>
      </c>
      <c r="C1555">
        <v>46.115000000000002</v>
      </c>
    </row>
    <row r="1556" spans="1:3" x14ac:dyDescent="0.25">
      <c r="A1556" s="2">
        <v>44075</v>
      </c>
      <c r="B1556" t="s">
        <v>14</v>
      </c>
      <c r="C1556">
        <v>46.69</v>
      </c>
    </row>
    <row r="1557" spans="1:3" x14ac:dyDescent="0.25">
      <c r="A1557" s="2">
        <v>44071</v>
      </c>
      <c r="B1557" t="s">
        <v>14</v>
      </c>
      <c r="C1557">
        <v>46.49</v>
      </c>
    </row>
    <row r="1558" spans="1:3" x14ac:dyDescent="0.25">
      <c r="A1558" s="2">
        <v>44070</v>
      </c>
      <c r="B1558" t="s">
        <v>14</v>
      </c>
      <c r="C1558">
        <v>46.25</v>
      </c>
    </row>
    <row r="1559" spans="1:3" x14ac:dyDescent="0.25">
      <c r="A1559" s="2">
        <v>44069</v>
      </c>
      <c r="B1559" t="s">
        <v>14</v>
      </c>
      <c r="C1559">
        <v>47.18</v>
      </c>
    </row>
    <row r="1560" spans="1:3" x14ac:dyDescent="0.25">
      <c r="A1560" s="2">
        <v>44068</v>
      </c>
      <c r="B1560" t="s">
        <v>14</v>
      </c>
      <c r="C1560">
        <v>47.51</v>
      </c>
    </row>
    <row r="1561" spans="1:3" x14ac:dyDescent="0.25">
      <c r="A1561" s="2">
        <v>44067</v>
      </c>
      <c r="B1561" t="s">
        <v>14</v>
      </c>
      <c r="C1561">
        <v>45.88</v>
      </c>
    </row>
    <row r="1562" spans="1:3" x14ac:dyDescent="0.25">
      <c r="A1562" s="2">
        <v>44064</v>
      </c>
      <c r="B1562" t="s">
        <v>14</v>
      </c>
      <c r="C1562">
        <v>44.88</v>
      </c>
    </row>
    <row r="1563" spans="1:3" x14ac:dyDescent="0.25">
      <c r="A1563" s="2">
        <v>44063</v>
      </c>
      <c r="B1563" t="s">
        <v>14</v>
      </c>
      <c r="C1563">
        <v>45.84</v>
      </c>
    </row>
    <row r="1564" spans="1:3" x14ac:dyDescent="0.25">
      <c r="A1564" s="2">
        <v>44062</v>
      </c>
      <c r="B1564" t="s">
        <v>14</v>
      </c>
      <c r="C1564">
        <v>46.37</v>
      </c>
    </row>
    <row r="1565" spans="1:3" x14ac:dyDescent="0.25">
      <c r="A1565" s="2">
        <v>44061</v>
      </c>
      <c r="B1565" t="s">
        <v>14</v>
      </c>
      <c r="C1565">
        <v>46.61</v>
      </c>
    </row>
    <row r="1566" spans="1:3" x14ac:dyDescent="0.25">
      <c r="A1566" s="2">
        <v>44060</v>
      </c>
      <c r="B1566" t="s">
        <v>14</v>
      </c>
      <c r="C1566">
        <v>46.12</v>
      </c>
    </row>
    <row r="1567" spans="1:3" x14ac:dyDescent="0.25">
      <c r="A1567" s="2">
        <v>44057</v>
      </c>
      <c r="B1567" t="s">
        <v>14</v>
      </c>
      <c r="C1567">
        <v>46.05</v>
      </c>
    </row>
    <row r="1568" spans="1:3" x14ac:dyDescent="0.25">
      <c r="A1568" s="2">
        <v>44056</v>
      </c>
      <c r="B1568" t="s">
        <v>14</v>
      </c>
      <c r="C1568">
        <v>46.41</v>
      </c>
    </row>
    <row r="1569" spans="1:3" x14ac:dyDescent="0.25">
      <c r="A1569" s="2">
        <v>44055</v>
      </c>
      <c r="B1569" t="s">
        <v>14</v>
      </c>
      <c r="C1569">
        <v>46.4</v>
      </c>
    </row>
    <row r="1570" spans="1:3" x14ac:dyDescent="0.25">
      <c r="A1570" s="2">
        <v>44054</v>
      </c>
      <c r="B1570" t="s">
        <v>14</v>
      </c>
      <c r="C1570">
        <v>45.805</v>
      </c>
    </row>
    <row r="1571" spans="1:3" x14ac:dyDescent="0.25">
      <c r="A1571" s="2">
        <v>44053</v>
      </c>
      <c r="B1571" t="s">
        <v>14</v>
      </c>
      <c r="C1571">
        <v>45.66</v>
      </c>
    </row>
    <row r="1572" spans="1:3" x14ac:dyDescent="0.25">
      <c r="A1572" s="2">
        <v>44050</v>
      </c>
      <c r="B1572" t="s">
        <v>14</v>
      </c>
      <c r="C1572">
        <v>45.84</v>
      </c>
    </row>
    <row r="1573" spans="1:3" x14ac:dyDescent="0.25">
      <c r="A1573" s="2">
        <v>44049</v>
      </c>
      <c r="B1573" t="s">
        <v>14</v>
      </c>
      <c r="C1573">
        <v>46.59</v>
      </c>
    </row>
    <row r="1574" spans="1:3" x14ac:dyDescent="0.25">
      <c r="A1574" s="2">
        <v>44048</v>
      </c>
      <c r="B1574" t="s">
        <v>14</v>
      </c>
      <c r="C1574">
        <v>47.19</v>
      </c>
    </row>
    <row r="1575" spans="1:3" x14ac:dyDescent="0.25">
      <c r="A1575" s="2">
        <v>44047</v>
      </c>
      <c r="B1575" t="s">
        <v>14</v>
      </c>
      <c r="C1575">
        <v>45.58</v>
      </c>
    </row>
    <row r="1576" spans="1:3" x14ac:dyDescent="0.25">
      <c r="A1576" s="2">
        <v>44046</v>
      </c>
      <c r="B1576" t="s">
        <v>14</v>
      </c>
      <c r="C1576">
        <v>45.47</v>
      </c>
    </row>
    <row r="1577" spans="1:3" x14ac:dyDescent="0.25">
      <c r="A1577" s="2">
        <v>44043</v>
      </c>
      <c r="B1577" t="s">
        <v>14</v>
      </c>
      <c r="C1577">
        <v>44.805</v>
      </c>
    </row>
    <row r="1578" spans="1:3" x14ac:dyDescent="0.25">
      <c r="A1578" s="2">
        <v>44042</v>
      </c>
      <c r="B1578" t="s">
        <v>14</v>
      </c>
      <c r="C1578">
        <v>44.03</v>
      </c>
    </row>
    <row r="1579" spans="1:3" x14ac:dyDescent="0.25">
      <c r="A1579" s="2">
        <v>44041</v>
      </c>
      <c r="B1579" t="s">
        <v>14</v>
      </c>
      <c r="C1579">
        <v>45.2</v>
      </c>
    </row>
    <row r="1580" spans="1:3" x14ac:dyDescent="0.25">
      <c r="A1580" s="2">
        <v>44040</v>
      </c>
      <c r="B1580" t="s">
        <v>14</v>
      </c>
      <c r="C1580">
        <v>44.64</v>
      </c>
    </row>
    <row r="1581" spans="1:3" x14ac:dyDescent="0.25">
      <c r="A1581" s="2">
        <v>44039</v>
      </c>
      <c r="B1581" t="s">
        <v>14</v>
      </c>
      <c r="C1581">
        <v>44.25</v>
      </c>
    </row>
    <row r="1582" spans="1:3" x14ac:dyDescent="0.25">
      <c r="A1582" s="2">
        <v>44036</v>
      </c>
      <c r="B1582" t="s">
        <v>14</v>
      </c>
      <c r="C1582">
        <v>44.75</v>
      </c>
    </row>
    <row r="1583" spans="1:3" x14ac:dyDescent="0.25">
      <c r="A1583" s="2">
        <v>44035</v>
      </c>
      <c r="B1583" t="s">
        <v>14</v>
      </c>
      <c r="C1583">
        <v>45.284999999999997</v>
      </c>
    </row>
    <row r="1584" spans="1:3" x14ac:dyDescent="0.25">
      <c r="A1584" s="2">
        <v>44034</v>
      </c>
      <c r="B1584" t="s">
        <v>14</v>
      </c>
      <c r="C1584">
        <v>45.075000000000003</v>
      </c>
    </row>
    <row r="1585" spans="1:3" x14ac:dyDescent="0.25">
      <c r="A1585" s="2">
        <v>44033</v>
      </c>
      <c r="B1585" t="s">
        <v>14</v>
      </c>
      <c r="C1585">
        <v>46.225000000000001</v>
      </c>
    </row>
    <row r="1586" spans="1:3" x14ac:dyDescent="0.25">
      <c r="A1586" s="2">
        <v>44032</v>
      </c>
      <c r="B1586" t="s">
        <v>14</v>
      </c>
      <c r="C1586">
        <v>44.524999999999999</v>
      </c>
    </row>
    <row r="1587" spans="1:3" x14ac:dyDescent="0.25">
      <c r="A1587" s="2">
        <v>44029</v>
      </c>
      <c r="B1587" t="s">
        <v>14</v>
      </c>
      <c r="C1587">
        <v>45.045000000000002</v>
      </c>
    </row>
    <row r="1588" spans="1:3" x14ac:dyDescent="0.25">
      <c r="A1588" s="2">
        <v>44028</v>
      </c>
      <c r="B1588" t="s">
        <v>14</v>
      </c>
      <c r="C1588">
        <v>45.465000000000003</v>
      </c>
    </row>
    <row r="1589" spans="1:3" x14ac:dyDescent="0.25">
      <c r="A1589" s="2">
        <v>44027</v>
      </c>
      <c r="B1589" t="s">
        <v>14</v>
      </c>
      <c r="C1589">
        <v>45.33</v>
      </c>
    </row>
    <row r="1590" spans="1:3" x14ac:dyDescent="0.25">
      <c r="A1590" s="2">
        <v>44026</v>
      </c>
      <c r="B1590" t="s">
        <v>14</v>
      </c>
      <c r="C1590">
        <v>44.74</v>
      </c>
    </row>
    <row r="1591" spans="1:3" x14ac:dyDescent="0.25">
      <c r="A1591" s="2">
        <v>44025</v>
      </c>
      <c r="B1591" t="s">
        <v>14</v>
      </c>
      <c r="C1591">
        <v>44.82</v>
      </c>
    </row>
    <row r="1592" spans="1:3" x14ac:dyDescent="0.25">
      <c r="A1592" s="2">
        <v>44022</v>
      </c>
      <c r="B1592" t="s">
        <v>14</v>
      </c>
      <c r="C1592">
        <v>44.52</v>
      </c>
    </row>
    <row r="1593" spans="1:3" x14ac:dyDescent="0.25">
      <c r="A1593" s="2">
        <v>44021</v>
      </c>
      <c r="B1593" t="s">
        <v>14</v>
      </c>
      <c r="C1593">
        <v>43.96</v>
      </c>
    </row>
    <row r="1594" spans="1:3" x14ac:dyDescent="0.25">
      <c r="A1594" s="2">
        <v>44020</v>
      </c>
      <c r="B1594" t="s">
        <v>14</v>
      </c>
      <c r="C1594">
        <v>44.87</v>
      </c>
    </row>
    <row r="1595" spans="1:3" x14ac:dyDescent="0.25">
      <c r="A1595" s="2">
        <v>44019</v>
      </c>
      <c r="B1595" t="s">
        <v>14</v>
      </c>
      <c r="C1595">
        <v>44.95</v>
      </c>
    </row>
    <row r="1596" spans="1:3" x14ac:dyDescent="0.25">
      <c r="A1596" s="2">
        <v>44018</v>
      </c>
      <c r="B1596" t="s">
        <v>14</v>
      </c>
      <c r="C1596">
        <v>44.52</v>
      </c>
    </row>
    <row r="1597" spans="1:3" x14ac:dyDescent="0.25">
      <c r="A1597" s="2">
        <v>44015</v>
      </c>
      <c r="B1597" t="s">
        <v>14</v>
      </c>
      <c r="C1597">
        <v>44.505000000000003</v>
      </c>
    </row>
    <row r="1598" spans="1:3" x14ac:dyDescent="0.25">
      <c r="A1598" s="2">
        <v>44014</v>
      </c>
      <c r="B1598" t="s">
        <v>14</v>
      </c>
      <c r="C1598">
        <v>44.274999999999999</v>
      </c>
    </row>
    <row r="1599" spans="1:3" x14ac:dyDescent="0.25">
      <c r="A1599" s="2">
        <v>44013</v>
      </c>
      <c r="B1599" t="s">
        <v>14</v>
      </c>
      <c r="C1599">
        <v>43.805</v>
      </c>
    </row>
    <row r="1600" spans="1:3" x14ac:dyDescent="0.25">
      <c r="A1600" s="2">
        <v>44012</v>
      </c>
      <c r="B1600" t="s">
        <v>14</v>
      </c>
      <c r="C1600">
        <v>43.16</v>
      </c>
    </row>
    <row r="1601" spans="1:3" x14ac:dyDescent="0.25">
      <c r="A1601" s="2">
        <v>44011</v>
      </c>
      <c r="B1601" t="s">
        <v>14</v>
      </c>
      <c r="C1601">
        <v>42.784999999999997</v>
      </c>
    </row>
    <row r="1602" spans="1:3" x14ac:dyDescent="0.25">
      <c r="A1602" s="2">
        <v>44008</v>
      </c>
      <c r="B1602" t="s">
        <v>14</v>
      </c>
      <c r="C1602">
        <v>42.17</v>
      </c>
    </row>
    <row r="1603" spans="1:3" x14ac:dyDescent="0.25">
      <c r="A1603" s="2">
        <v>44007</v>
      </c>
      <c r="B1603" t="s">
        <v>14</v>
      </c>
      <c r="C1603">
        <v>42.4</v>
      </c>
    </row>
    <row r="1604" spans="1:3" x14ac:dyDescent="0.25">
      <c r="A1604" s="2">
        <v>44006</v>
      </c>
      <c r="B1604" t="s">
        <v>14</v>
      </c>
      <c r="C1604">
        <v>42.14</v>
      </c>
    </row>
    <row r="1605" spans="1:3" x14ac:dyDescent="0.25">
      <c r="A1605" s="2">
        <v>44005</v>
      </c>
      <c r="B1605" t="s">
        <v>14</v>
      </c>
      <c r="C1605">
        <v>44.88</v>
      </c>
    </row>
    <row r="1606" spans="1:3" x14ac:dyDescent="0.25">
      <c r="A1606" s="2">
        <v>44004</v>
      </c>
      <c r="B1606" t="s">
        <v>14</v>
      </c>
      <c r="C1606">
        <v>44.325000000000003</v>
      </c>
    </row>
    <row r="1607" spans="1:3" x14ac:dyDescent="0.25">
      <c r="A1607" s="2">
        <v>44001</v>
      </c>
      <c r="B1607" t="s">
        <v>14</v>
      </c>
      <c r="C1607">
        <v>44.164999999999999</v>
      </c>
    </row>
    <row r="1608" spans="1:3" x14ac:dyDescent="0.25">
      <c r="A1608" s="2">
        <v>44000</v>
      </c>
      <c r="B1608" t="s">
        <v>14</v>
      </c>
      <c r="C1608">
        <v>43.08</v>
      </c>
    </row>
    <row r="1609" spans="1:3" x14ac:dyDescent="0.25">
      <c r="A1609" s="2">
        <v>43999</v>
      </c>
      <c r="B1609" t="s">
        <v>14</v>
      </c>
      <c r="C1609">
        <v>41.93</v>
      </c>
    </row>
    <row r="1610" spans="1:3" x14ac:dyDescent="0.25">
      <c r="A1610" s="2">
        <v>43998</v>
      </c>
      <c r="B1610" t="s">
        <v>14</v>
      </c>
      <c r="C1610">
        <v>41.795000000000002</v>
      </c>
    </row>
    <row r="1611" spans="1:3" x14ac:dyDescent="0.25">
      <c r="A1611" s="2">
        <v>43997</v>
      </c>
      <c r="B1611" t="s">
        <v>14</v>
      </c>
      <c r="C1611">
        <v>40.369999999999997</v>
      </c>
    </row>
    <row r="1612" spans="1:3" x14ac:dyDescent="0.25">
      <c r="A1612" s="2">
        <v>43994</v>
      </c>
      <c r="B1612" t="s">
        <v>14</v>
      </c>
      <c r="C1612">
        <v>40.08</v>
      </c>
    </row>
    <row r="1613" spans="1:3" x14ac:dyDescent="0.25">
      <c r="A1613" s="2">
        <v>43993</v>
      </c>
      <c r="B1613" t="s">
        <v>14</v>
      </c>
      <c r="C1613">
        <v>39.53</v>
      </c>
    </row>
    <row r="1614" spans="1:3" x14ac:dyDescent="0.25">
      <c r="A1614" s="2">
        <v>43992</v>
      </c>
      <c r="B1614" t="s">
        <v>14</v>
      </c>
      <c r="C1614">
        <v>41.79</v>
      </c>
    </row>
    <row r="1615" spans="1:3" x14ac:dyDescent="0.25">
      <c r="A1615" s="2">
        <v>43991</v>
      </c>
      <c r="B1615" t="s">
        <v>14</v>
      </c>
      <c r="C1615">
        <v>41.4</v>
      </c>
    </row>
    <row r="1616" spans="1:3" x14ac:dyDescent="0.25">
      <c r="A1616" s="2">
        <v>43990</v>
      </c>
      <c r="B1616" t="s">
        <v>14</v>
      </c>
      <c r="C1616">
        <v>41.5</v>
      </c>
    </row>
    <row r="1617" spans="1:3" x14ac:dyDescent="0.25">
      <c r="A1617" s="2">
        <v>43987</v>
      </c>
      <c r="B1617" t="s">
        <v>14</v>
      </c>
      <c r="C1617">
        <v>42.384999999999998</v>
      </c>
    </row>
    <row r="1618" spans="1:3" x14ac:dyDescent="0.25">
      <c r="A1618" s="2">
        <v>43986</v>
      </c>
      <c r="B1618" t="s">
        <v>14</v>
      </c>
      <c r="C1618">
        <v>39.055</v>
      </c>
    </row>
    <row r="1619" spans="1:3" x14ac:dyDescent="0.25">
      <c r="A1619" s="2">
        <v>43985</v>
      </c>
      <c r="B1619" t="s">
        <v>14</v>
      </c>
      <c r="C1619">
        <v>38.895000000000003</v>
      </c>
    </row>
    <row r="1620" spans="1:3" x14ac:dyDescent="0.25">
      <c r="A1620" s="2">
        <v>43984</v>
      </c>
      <c r="B1620" t="s">
        <v>14</v>
      </c>
      <c r="C1620">
        <v>38.869999999999997</v>
      </c>
    </row>
    <row r="1621" spans="1:3" x14ac:dyDescent="0.25">
      <c r="A1621" s="2">
        <v>43983</v>
      </c>
      <c r="B1621" t="s">
        <v>14</v>
      </c>
      <c r="C1621">
        <v>37.35</v>
      </c>
    </row>
    <row r="1622" spans="1:3" x14ac:dyDescent="0.25">
      <c r="A1622" s="2">
        <v>43980</v>
      </c>
      <c r="B1622" t="s">
        <v>14</v>
      </c>
      <c r="C1622">
        <v>35.475000000000001</v>
      </c>
    </row>
    <row r="1623" spans="1:3" x14ac:dyDescent="0.25">
      <c r="A1623" s="2">
        <v>43979</v>
      </c>
      <c r="B1623" t="s">
        <v>14</v>
      </c>
      <c r="C1623">
        <v>34.94</v>
      </c>
    </row>
    <row r="1624" spans="1:3" x14ac:dyDescent="0.25">
      <c r="A1624" s="2">
        <v>43978</v>
      </c>
      <c r="B1624" t="s">
        <v>14</v>
      </c>
      <c r="C1624">
        <v>33.984999999999999</v>
      </c>
    </row>
    <row r="1625" spans="1:3" x14ac:dyDescent="0.25">
      <c r="A1625" s="2">
        <v>43977</v>
      </c>
      <c r="B1625" t="s">
        <v>14</v>
      </c>
      <c r="C1625">
        <v>34.965000000000003</v>
      </c>
    </row>
    <row r="1626" spans="1:3" x14ac:dyDescent="0.25">
      <c r="A1626" s="2">
        <v>43973</v>
      </c>
      <c r="B1626" t="s">
        <v>14</v>
      </c>
      <c r="C1626">
        <v>33.24</v>
      </c>
    </row>
    <row r="1627" spans="1:3" x14ac:dyDescent="0.25">
      <c r="A1627" s="2">
        <v>43972</v>
      </c>
      <c r="B1627" t="s">
        <v>14</v>
      </c>
      <c r="C1627">
        <v>34.54</v>
      </c>
    </row>
    <row r="1628" spans="1:3" x14ac:dyDescent="0.25">
      <c r="A1628" s="2">
        <v>43971</v>
      </c>
      <c r="B1628" t="s">
        <v>14</v>
      </c>
      <c r="C1628">
        <v>34.51</v>
      </c>
    </row>
    <row r="1629" spans="1:3" x14ac:dyDescent="0.25">
      <c r="A1629" s="2">
        <v>43970</v>
      </c>
      <c r="B1629" t="s">
        <v>14</v>
      </c>
      <c r="C1629">
        <v>32.94</v>
      </c>
    </row>
    <row r="1630" spans="1:3" x14ac:dyDescent="0.25">
      <c r="A1630" s="2">
        <v>43969</v>
      </c>
      <c r="B1630" t="s">
        <v>14</v>
      </c>
      <c r="C1630">
        <v>34.01</v>
      </c>
    </row>
    <row r="1631" spans="1:3" x14ac:dyDescent="0.25">
      <c r="A1631" s="2">
        <v>43966</v>
      </c>
      <c r="B1631" t="s">
        <v>14</v>
      </c>
      <c r="C1631">
        <v>30.24</v>
      </c>
    </row>
    <row r="1632" spans="1:3" x14ac:dyDescent="0.25">
      <c r="A1632" s="2">
        <v>43965</v>
      </c>
      <c r="B1632" t="s">
        <v>14</v>
      </c>
      <c r="C1632">
        <v>29.01</v>
      </c>
    </row>
    <row r="1633" spans="1:3" x14ac:dyDescent="0.25">
      <c r="A1633" s="2">
        <v>43964</v>
      </c>
      <c r="B1633" t="s">
        <v>14</v>
      </c>
      <c r="C1633">
        <v>28.65</v>
      </c>
    </row>
    <row r="1634" spans="1:3" x14ac:dyDescent="0.25">
      <c r="A1634" s="2">
        <v>43963</v>
      </c>
      <c r="B1634" t="s">
        <v>14</v>
      </c>
      <c r="C1634">
        <v>26.4</v>
      </c>
    </row>
    <row r="1635" spans="1:3" x14ac:dyDescent="0.25">
      <c r="A1635" s="2">
        <v>43962</v>
      </c>
      <c r="B1635" t="s">
        <v>14</v>
      </c>
      <c r="C1635">
        <v>25.36</v>
      </c>
    </row>
    <row r="1636" spans="1:3" x14ac:dyDescent="0.25">
      <c r="A1636" s="2">
        <v>43958</v>
      </c>
      <c r="B1636" t="s">
        <v>14</v>
      </c>
      <c r="C1636">
        <v>24.88</v>
      </c>
    </row>
    <row r="1637" spans="1:3" x14ac:dyDescent="0.25">
      <c r="A1637" s="2">
        <v>43957</v>
      </c>
      <c r="B1637" t="s">
        <v>14</v>
      </c>
      <c r="C1637">
        <v>22.92</v>
      </c>
    </row>
    <row r="1638" spans="1:3" x14ac:dyDescent="0.25">
      <c r="A1638" s="2">
        <v>43956</v>
      </c>
      <c r="B1638" t="s">
        <v>14</v>
      </c>
      <c r="C1638">
        <v>23.65</v>
      </c>
    </row>
    <row r="1639" spans="1:3" x14ac:dyDescent="0.25">
      <c r="A1639" s="2">
        <v>43955</v>
      </c>
      <c r="B1639" t="s">
        <v>14</v>
      </c>
      <c r="C1639">
        <v>18.559999999999999</v>
      </c>
    </row>
    <row r="1640" spans="1:3" x14ac:dyDescent="0.25">
      <c r="A1640" s="2">
        <v>43952</v>
      </c>
      <c r="B1640" t="s">
        <v>14</v>
      </c>
      <c r="C1640">
        <v>17.72</v>
      </c>
    </row>
    <row r="1641" spans="1:3" x14ac:dyDescent="0.25">
      <c r="A1641" s="2">
        <v>43951</v>
      </c>
      <c r="B1641" t="s">
        <v>14</v>
      </c>
      <c r="C1641">
        <v>17.690000000000001</v>
      </c>
    </row>
    <row r="1642" spans="1:3" x14ac:dyDescent="0.25">
      <c r="A1642" s="2">
        <v>43950</v>
      </c>
      <c r="B1642" t="s">
        <v>14</v>
      </c>
      <c r="C1642">
        <v>17.32</v>
      </c>
    </row>
    <row r="1643" spans="1:3" x14ac:dyDescent="0.25">
      <c r="A1643" s="2">
        <v>43949</v>
      </c>
      <c r="B1643" t="s">
        <v>14</v>
      </c>
      <c r="C1643">
        <v>14.89</v>
      </c>
    </row>
    <row r="1644" spans="1:3" x14ac:dyDescent="0.25">
      <c r="A1644" s="2">
        <v>43948</v>
      </c>
      <c r="B1644" t="s">
        <v>14</v>
      </c>
      <c r="C1644">
        <v>14.07</v>
      </c>
    </row>
    <row r="1645" spans="1:3" x14ac:dyDescent="0.25">
      <c r="A1645" s="2">
        <v>43945</v>
      </c>
      <c r="B1645" t="s">
        <v>14</v>
      </c>
      <c r="C1645">
        <v>15.58</v>
      </c>
    </row>
    <row r="1646" spans="1:3" x14ac:dyDescent="0.25">
      <c r="A1646" s="2">
        <v>43944</v>
      </c>
      <c r="B1646" t="s">
        <v>14</v>
      </c>
      <c r="C1646">
        <v>15.76</v>
      </c>
    </row>
    <row r="1647" spans="1:3" x14ac:dyDescent="0.25">
      <c r="A1647" s="2">
        <v>43943</v>
      </c>
      <c r="B1647" t="s">
        <v>14</v>
      </c>
      <c r="C1647">
        <v>13.37</v>
      </c>
    </row>
    <row r="1648" spans="1:3" x14ac:dyDescent="0.25">
      <c r="A1648" s="2">
        <v>43942</v>
      </c>
      <c r="B1648" t="s">
        <v>14</v>
      </c>
      <c r="C1648">
        <v>11.41</v>
      </c>
    </row>
    <row r="1649" spans="1:3" x14ac:dyDescent="0.25">
      <c r="A1649" s="2">
        <v>43941</v>
      </c>
      <c r="B1649" t="s">
        <v>14</v>
      </c>
      <c r="C1649">
        <v>17.760000000000002</v>
      </c>
    </row>
    <row r="1650" spans="1:3" x14ac:dyDescent="0.25">
      <c r="A1650" s="2">
        <v>43938</v>
      </c>
      <c r="B1650" t="s">
        <v>14</v>
      </c>
      <c r="C1650">
        <v>19.239999999999998</v>
      </c>
    </row>
    <row r="1651" spans="1:3" x14ac:dyDescent="0.25">
      <c r="A1651" s="2">
        <v>43937</v>
      </c>
      <c r="B1651" t="s">
        <v>14</v>
      </c>
      <c r="C1651">
        <v>17.940000000000001</v>
      </c>
    </row>
    <row r="1652" spans="1:3" x14ac:dyDescent="0.25">
      <c r="A1652" s="2">
        <v>43936</v>
      </c>
      <c r="B1652" t="s">
        <v>14</v>
      </c>
      <c r="C1652">
        <v>18.89</v>
      </c>
    </row>
    <row r="1653" spans="1:3" x14ac:dyDescent="0.25">
      <c r="A1653" s="2">
        <v>43935</v>
      </c>
      <c r="B1653" t="s">
        <v>14</v>
      </c>
      <c r="C1653">
        <v>21.78</v>
      </c>
    </row>
    <row r="1654" spans="1:3" x14ac:dyDescent="0.25">
      <c r="A1654" s="2">
        <v>43930</v>
      </c>
      <c r="B1654" t="s">
        <v>14</v>
      </c>
      <c r="C1654">
        <v>21.68</v>
      </c>
    </row>
    <row r="1655" spans="1:3" x14ac:dyDescent="0.25">
      <c r="A1655" s="2">
        <v>43929</v>
      </c>
      <c r="B1655" t="s">
        <v>14</v>
      </c>
      <c r="C1655">
        <v>23.82</v>
      </c>
    </row>
    <row r="1656" spans="1:3" x14ac:dyDescent="0.25">
      <c r="A1656" s="2">
        <v>43928</v>
      </c>
      <c r="B1656" t="s">
        <v>14</v>
      </c>
      <c r="C1656">
        <v>22.71</v>
      </c>
    </row>
    <row r="1657" spans="1:3" x14ac:dyDescent="0.25">
      <c r="A1657" s="2">
        <v>43927</v>
      </c>
      <c r="B1657" t="s">
        <v>14</v>
      </c>
      <c r="C1657">
        <v>20.94</v>
      </c>
    </row>
    <row r="1658" spans="1:3" x14ac:dyDescent="0.25">
      <c r="A1658" s="2">
        <v>43924</v>
      </c>
      <c r="B1658" t="s">
        <v>14</v>
      </c>
      <c r="C1658">
        <v>22.18</v>
      </c>
    </row>
    <row r="1659" spans="1:3" x14ac:dyDescent="0.25">
      <c r="A1659" s="2">
        <v>43923</v>
      </c>
      <c r="B1659" t="s">
        <v>14</v>
      </c>
      <c r="C1659">
        <v>18.149999999999999</v>
      </c>
    </row>
    <row r="1660" spans="1:3" x14ac:dyDescent="0.25">
      <c r="A1660" s="2">
        <v>43922</v>
      </c>
      <c r="B1660" t="s">
        <v>14</v>
      </c>
      <c r="C1660">
        <v>14.62</v>
      </c>
    </row>
    <row r="1661" spans="1:3" x14ac:dyDescent="0.25">
      <c r="A1661" s="2">
        <v>43921</v>
      </c>
      <c r="B1661" t="s">
        <v>14</v>
      </c>
      <c r="C1661">
        <v>18.7</v>
      </c>
    </row>
    <row r="1662" spans="1:3" x14ac:dyDescent="0.25">
      <c r="A1662" s="2">
        <v>43920</v>
      </c>
      <c r="B1662" t="s">
        <v>14</v>
      </c>
      <c r="C1662">
        <v>18.05</v>
      </c>
    </row>
    <row r="1663" spans="1:3" x14ac:dyDescent="0.25">
      <c r="A1663" s="2">
        <v>43917</v>
      </c>
      <c r="B1663" t="s">
        <v>14</v>
      </c>
      <c r="C1663">
        <v>21.84</v>
      </c>
    </row>
    <row r="1664" spans="1:3" x14ac:dyDescent="0.25">
      <c r="A1664" s="2">
        <v>43916</v>
      </c>
      <c r="B1664" t="s">
        <v>14</v>
      </c>
      <c r="C1664">
        <v>24.61</v>
      </c>
    </row>
    <row r="1665" spans="1:3" x14ac:dyDescent="0.25">
      <c r="A1665" s="2">
        <v>43915</v>
      </c>
      <c r="B1665" t="s">
        <v>14</v>
      </c>
      <c r="C1665">
        <v>24.62</v>
      </c>
    </row>
    <row r="1666" spans="1:3" x14ac:dyDescent="0.25">
      <c r="A1666" s="2">
        <v>43914</v>
      </c>
      <c r="B1666" t="s">
        <v>14</v>
      </c>
      <c r="C1666">
        <v>25.25</v>
      </c>
    </row>
    <row r="1667" spans="1:3" x14ac:dyDescent="0.25">
      <c r="A1667" s="2">
        <v>43913</v>
      </c>
      <c r="B1667" t="s">
        <v>14</v>
      </c>
      <c r="C1667">
        <v>22.45</v>
      </c>
    </row>
    <row r="1668" spans="1:3" x14ac:dyDescent="0.25">
      <c r="A1668" s="2">
        <v>43910</v>
      </c>
      <c r="B1668" t="s">
        <v>14</v>
      </c>
      <c r="C1668">
        <v>26.19</v>
      </c>
    </row>
    <row r="1669" spans="1:3" x14ac:dyDescent="0.25">
      <c r="A1669" s="2">
        <v>43909</v>
      </c>
      <c r="B1669" t="s">
        <v>14</v>
      </c>
      <c r="C1669">
        <v>24.7</v>
      </c>
    </row>
    <row r="1670" spans="1:3" x14ac:dyDescent="0.25">
      <c r="A1670" s="2">
        <v>43908</v>
      </c>
      <c r="B1670" t="s">
        <v>14</v>
      </c>
      <c r="C1670">
        <v>23.57</v>
      </c>
    </row>
    <row r="1671" spans="1:3" x14ac:dyDescent="0.25">
      <c r="A1671" s="2">
        <v>43907</v>
      </c>
      <c r="B1671" t="s">
        <v>14</v>
      </c>
      <c r="C1671">
        <v>28.57</v>
      </c>
    </row>
    <row r="1672" spans="1:3" x14ac:dyDescent="0.25">
      <c r="A1672" s="2">
        <v>43906</v>
      </c>
      <c r="B1672" t="s">
        <v>14</v>
      </c>
      <c r="C1672">
        <v>28.58</v>
      </c>
    </row>
    <row r="1673" spans="1:3" x14ac:dyDescent="0.25">
      <c r="A1673" s="2">
        <v>43903</v>
      </c>
      <c r="B1673" t="s">
        <v>14</v>
      </c>
      <c r="C1673">
        <v>32.96</v>
      </c>
    </row>
    <row r="1674" spans="1:3" x14ac:dyDescent="0.25">
      <c r="A1674" s="2">
        <v>43902</v>
      </c>
      <c r="B1674" t="s">
        <v>14</v>
      </c>
      <c r="C1674">
        <v>31.79</v>
      </c>
    </row>
    <row r="1675" spans="1:3" x14ac:dyDescent="0.25">
      <c r="A1675" s="2">
        <v>43901</v>
      </c>
      <c r="B1675" t="s">
        <v>14</v>
      </c>
      <c r="C1675">
        <v>35.409999999999997</v>
      </c>
    </row>
    <row r="1676" spans="1:3" x14ac:dyDescent="0.25">
      <c r="A1676" s="2">
        <v>43900</v>
      </c>
      <c r="B1676" t="s">
        <v>14</v>
      </c>
      <c r="C1676">
        <v>36.11</v>
      </c>
    </row>
    <row r="1677" spans="1:3" x14ac:dyDescent="0.25">
      <c r="A1677" s="2">
        <v>43899</v>
      </c>
      <c r="B1677" t="s">
        <v>14</v>
      </c>
      <c r="C1677">
        <v>37.21</v>
      </c>
    </row>
    <row r="1678" spans="1:3" x14ac:dyDescent="0.25">
      <c r="A1678" s="2">
        <v>43896</v>
      </c>
      <c r="B1678" t="s">
        <v>14</v>
      </c>
      <c r="C1678">
        <v>48</v>
      </c>
    </row>
    <row r="1679" spans="1:3" x14ac:dyDescent="0.25">
      <c r="A1679" s="2">
        <v>43895</v>
      </c>
      <c r="B1679" t="s">
        <v>14</v>
      </c>
      <c r="C1679">
        <v>53.185000000000002</v>
      </c>
    </row>
    <row r="1680" spans="1:3" x14ac:dyDescent="0.25">
      <c r="A1680" s="2">
        <v>43894</v>
      </c>
      <c r="B1680" t="s">
        <v>14</v>
      </c>
      <c r="C1680">
        <v>53.83</v>
      </c>
    </row>
    <row r="1681" spans="1:3" x14ac:dyDescent="0.25">
      <c r="A1681" s="2">
        <v>43893</v>
      </c>
      <c r="B1681" t="s">
        <v>14</v>
      </c>
      <c r="C1681">
        <v>54.185000000000002</v>
      </c>
    </row>
    <row r="1682" spans="1:3" x14ac:dyDescent="0.25">
      <c r="A1682" s="2">
        <v>43892</v>
      </c>
      <c r="B1682" t="s">
        <v>14</v>
      </c>
      <c r="C1682">
        <v>54.57</v>
      </c>
    </row>
    <row r="1683" spans="1:3" x14ac:dyDescent="0.25">
      <c r="A1683" s="2">
        <v>43889</v>
      </c>
      <c r="B1683" t="s">
        <v>14</v>
      </c>
      <c r="C1683">
        <v>53.42</v>
      </c>
    </row>
    <row r="1684" spans="1:3" x14ac:dyDescent="0.25">
      <c r="A1684" s="2">
        <v>43888</v>
      </c>
      <c r="B1684" t="s">
        <v>14</v>
      </c>
      <c r="C1684">
        <v>54.25</v>
      </c>
    </row>
    <row r="1685" spans="1:3" x14ac:dyDescent="0.25">
      <c r="A1685" s="2">
        <v>43887</v>
      </c>
      <c r="B1685" t="s">
        <v>14</v>
      </c>
      <c r="C1685">
        <v>56.835000000000001</v>
      </c>
    </row>
    <row r="1686" spans="1:3" x14ac:dyDescent="0.25">
      <c r="A1686" s="2">
        <v>43886</v>
      </c>
      <c r="B1686" t="s">
        <v>14</v>
      </c>
      <c r="C1686">
        <v>57.95</v>
      </c>
    </row>
    <row r="1687" spans="1:3" x14ac:dyDescent="0.25">
      <c r="A1687" s="2">
        <v>43885</v>
      </c>
      <c r="B1687" t="s">
        <v>14</v>
      </c>
      <c r="C1687">
        <v>57.91</v>
      </c>
    </row>
    <row r="1688" spans="1:3" x14ac:dyDescent="0.25">
      <c r="A1688" s="2">
        <v>43882</v>
      </c>
      <c r="B1688" t="s">
        <v>14</v>
      </c>
      <c r="C1688">
        <v>60.34</v>
      </c>
    </row>
    <row r="1689" spans="1:3" x14ac:dyDescent="0.25">
      <c r="A1689" s="2">
        <v>43881</v>
      </c>
      <c r="B1689" t="s">
        <v>14</v>
      </c>
      <c r="C1689">
        <v>61.66</v>
      </c>
    </row>
    <row r="1690" spans="1:3" x14ac:dyDescent="0.25">
      <c r="A1690" s="2">
        <v>43880</v>
      </c>
      <c r="B1690" t="s">
        <v>14</v>
      </c>
      <c r="C1690">
        <v>61.31</v>
      </c>
    </row>
    <row r="1691" spans="1:3" x14ac:dyDescent="0.25">
      <c r="A1691" s="2">
        <v>43879</v>
      </c>
      <c r="B1691" t="s">
        <v>14</v>
      </c>
      <c r="C1691">
        <v>59.06</v>
      </c>
    </row>
    <row r="1692" spans="1:3" x14ac:dyDescent="0.25">
      <c r="A1692" s="2">
        <v>43878</v>
      </c>
      <c r="B1692" t="s">
        <v>14</v>
      </c>
      <c r="C1692">
        <v>59.57</v>
      </c>
    </row>
    <row r="1693" spans="1:3" x14ac:dyDescent="0.25">
      <c r="A1693" s="2">
        <v>43875</v>
      </c>
      <c r="B1693" t="s">
        <v>14</v>
      </c>
      <c r="C1693">
        <v>58.92</v>
      </c>
    </row>
    <row r="1694" spans="1:3" x14ac:dyDescent="0.25">
      <c r="A1694" s="2">
        <v>43874</v>
      </c>
      <c r="B1694" t="s">
        <v>14</v>
      </c>
      <c r="C1694">
        <v>57.95</v>
      </c>
    </row>
    <row r="1695" spans="1:3" x14ac:dyDescent="0.25">
      <c r="A1695" s="2">
        <v>43873</v>
      </c>
      <c r="B1695" t="s">
        <v>14</v>
      </c>
      <c r="C1695">
        <v>57.17</v>
      </c>
    </row>
    <row r="1696" spans="1:3" x14ac:dyDescent="0.25">
      <c r="A1696" s="2">
        <v>43872</v>
      </c>
      <c r="B1696" t="s">
        <v>14</v>
      </c>
      <c r="C1696">
        <v>55.68</v>
      </c>
    </row>
    <row r="1697" spans="1:3" x14ac:dyDescent="0.25">
      <c r="A1697" s="2">
        <v>43871</v>
      </c>
      <c r="B1697" t="s">
        <v>14</v>
      </c>
      <c r="C1697">
        <v>55.04</v>
      </c>
    </row>
    <row r="1698" spans="1:3" x14ac:dyDescent="0.25">
      <c r="A1698" s="2">
        <v>43868</v>
      </c>
      <c r="B1698" t="s">
        <v>14</v>
      </c>
      <c r="C1698">
        <v>56.12</v>
      </c>
    </row>
    <row r="1699" spans="1:3" x14ac:dyDescent="0.25">
      <c r="A1699" s="2">
        <v>43867</v>
      </c>
      <c r="B1699" t="s">
        <v>14</v>
      </c>
      <c r="C1699">
        <v>56.74</v>
      </c>
    </row>
    <row r="1700" spans="1:3" x14ac:dyDescent="0.25">
      <c r="A1700" s="2">
        <v>43866</v>
      </c>
      <c r="B1700" t="s">
        <v>14</v>
      </c>
      <c r="C1700">
        <v>56.91</v>
      </c>
    </row>
    <row r="1701" spans="1:3" x14ac:dyDescent="0.25">
      <c r="A1701" s="2">
        <v>43865</v>
      </c>
      <c r="B1701" t="s">
        <v>14</v>
      </c>
      <c r="C1701">
        <v>55.52</v>
      </c>
    </row>
    <row r="1702" spans="1:3" x14ac:dyDescent="0.25">
      <c r="A1702" s="2">
        <v>43864</v>
      </c>
      <c r="B1702" t="s">
        <v>14</v>
      </c>
      <c r="C1702">
        <v>55.69</v>
      </c>
    </row>
    <row r="1703" spans="1:3" x14ac:dyDescent="0.25">
      <c r="A1703" s="2">
        <v>43861</v>
      </c>
      <c r="B1703" t="s">
        <v>14</v>
      </c>
      <c r="C1703">
        <v>59.31</v>
      </c>
    </row>
    <row r="1704" spans="1:3" x14ac:dyDescent="0.25">
      <c r="A1704" s="2">
        <v>43860</v>
      </c>
      <c r="B1704" t="s">
        <v>14</v>
      </c>
      <c r="C1704">
        <v>59.29</v>
      </c>
    </row>
    <row r="1705" spans="1:3" x14ac:dyDescent="0.25">
      <c r="A1705" s="2">
        <v>43859</v>
      </c>
      <c r="B1705" t="s">
        <v>14</v>
      </c>
      <c r="C1705">
        <v>60.98</v>
      </c>
    </row>
    <row r="1706" spans="1:3" x14ac:dyDescent="0.25">
      <c r="A1706" s="2">
        <v>43858</v>
      </c>
      <c r="B1706" t="s">
        <v>14</v>
      </c>
      <c r="C1706">
        <v>60.11</v>
      </c>
    </row>
    <row r="1707" spans="1:3" x14ac:dyDescent="0.25">
      <c r="A1707" s="2">
        <v>43857</v>
      </c>
      <c r="B1707" t="s">
        <v>14</v>
      </c>
      <c r="C1707">
        <v>59.29</v>
      </c>
    </row>
    <row r="1708" spans="1:3" x14ac:dyDescent="0.25">
      <c r="A1708" s="2">
        <v>43854</v>
      </c>
      <c r="B1708" t="s">
        <v>14</v>
      </c>
      <c r="C1708">
        <v>60.08</v>
      </c>
    </row>
    <row r="1709" spans="1:3" x14ac:dyDescent="0.25">
      <c r="A1709" s="2">
        <v>43853</v>
      </c>
      <c r="B1709" t="s">
        <v>14</v>
      </c>
      <c r="C1709">
        <v>61.914999999999999</v>
      </c>
    </row>
    <row r="1710" spans="1:3" x14ac:dyDescent="0.25">
      <c r="A1710" s="2">
        <v>43852</v>
      </c>
      <c r="B1710" t="s">
        <v>14</v>
      </c>
      <c r="C1710">
        <v>62.57</v>
      </c>
    </row>
    <row r="1711" spans="1:3" x14ac:dyDescent="0.25">
      <c r="A1711" s="2">
        <v>43851</v>
      </c>
      <c r="B1711" t="s">
        <v>14</v>
      </c>
      <c r="C1711">
        <v>64.11</v>
      </c>
    </row>
    <row r="1712" spans="1:3" x14ac:dyDescent="0.25">
      <c r="A1712" s="2">
        <v>43850</v>
      </c>
      <c r="B1712" t="s">
        <v>14</v>
      </c>
      <c r="C1712">
        <v>65.105000000000004</v>
      </c>
    </row>
    <row r="1713" spans="1:3" x14ac:dyDescent="0.25">
      <c r="A1713" s="2">
        <v>43847</v>
      </c>
      <c r="B1713" t="s">
        <v>14</v>
      </c>
      <c r="C1713">
        <v>64.459999999999994</v>
      </c>
    </row>
    <row r="1714" spans="1:3" x14ac:dyDescent="0.25">
      <c r="A1714" s="2">
        <v>43846</v>
      </c>
      <c r="B1714" t="s">
        <v>14</v>
      </c>
      <c r="C1714">
        <v>64.98</v>
      </c>
    </row>
    <row r="1715" spans="1:3" x14ac:dyDescent="0.25">
      <c r="A1715" s="2">
        <v>43845</v>
      </c>
      <c r="B1715" t="s">
        <v>14</v>
      </c>
      <c r="C1715">
        <v>63.575000000000003</v>
      </c>
    </row>
    <row r="1716" spans="1:3" x14ac:dyDescent="0.25">
      <c r="A1716" s="2">
        <v>43844</v>
      </c>
      <c r="B1716" t="s">
        <v>14</v>
      </c>
      <c r="C1716">
        <v>64.650000000000006</v>
      </c>
    </row>
    <row r="1717" spans="1:3" x14ac:dyDescent="0.25">
      <c r="A1717" s="2">
        <v>43843</v>
      </c>
      <c r="B1717" t="s">
        <v>14</v>
      </c>
      <c r="C1717">
        <v>64.489999999999995</v>
      </c>
    </row>
    <row r="1718" spans="1:3" x14ac:dyDescent="0.25">
      <c r="A1718" s="2">
        <v>43840</v>
      </c>
      <c r="B1718" t="s">
        <v>14</v>
      </c>
      <c r="C1718">
        <v>67.23</v>
      </c>
    </row>
    <row r="1719" spans="1:3" x14ac:dyDescent="0.25">
      <c r="A1719" s="2">
        <v>43839</v>
      </c>
      <c r="B1719" t="s">
        <v>14</v>
      </c>
      <c r="C1719">
        <v>67.09</v>
      </c>
    </row>
    <row r="1720" spans="1:3" x14ac:dyDescent="0.25">
      <c r="A1720" s="2">
        <v>43838</v>
      </c>
      <c r="B1720" t="s">
        <v>14</v>
      </c>
      <c r="C1720">
        <v>67.655000000000001</v>
      </c>
    </row>
    <row r="1721" spans="1:3" x14ac:dyDescent="0.25">
      <c r="A1721" s="2">
        <v>43837</v>
      </c>
      <c r="B1721" t="s">
        <v>14</v>
      </c>
      <c r="C1721">
        <v>69.344999999999999</v>
      </c>
    </row>
    <row r="1722" spans="1:3" x14ac:dyDescent="0.25">
      <c r="A1722" s="2">
        <v>43836</v>
      </c>
      <c r="B1722" t="s">
        <v>14</v>
      </c>
      <c r="C1722">
        <v>70.534999999999997</v>
      </c>
    </row>
    <row r="1723" spans="1:3" x14ac:dyDescent="0.25">
      <c r="A1723" s="2">
        <v>43833</v>
      </c>
      <c r="B1723" t="s">
        <v>14</v>
      </c>
      <c r="C1723">
        <v>70.040000000000006</v>
      </c>
    </row>
    <row r="1724" spans="1:3" x14ac:dyDescent="0.25">
      <c r="A1724" s="2">
        <v>43832</v>
      </c>
      <c r="B1724" t="s">
        <v>14</v>
      </c>
      <c r="C1724">
        <v>68.11</v>
      </c>
    </row>
    <row r="1725" spans="1:3" x14ac:dyDescent="0.25">
      <c r="A1725" s="2">
        <v>43831</v>
      </c>
      <c r="B1725" t="s">
        <v>14</v>
      </c>
      <c r="C1725">
        <v>68.894999999999996</v>
      </c>
    </row>
    <row r="1726" spans="1:3" x14ac:dyDescent="0.25">
      <c r="A1726" s="2">
        <v>43830</v>
      </c>
      <c r="B1726" t="s">
        <v>14</v>
      </c>
      <c r="C1726">
        <v>68.900000000000006</v>
      </c>
    </row>
    <row r="1727" spans="1:3" x14ac:dyDescent="0.25">
      <c r="A1727" s="2">
        <v>43829</v>
      </c>
      <c r="B1727" t="s">
        <v>14</v>
      </c>
      <c r="C1727">
        <v>69.62</v>
      </c>
    </row>
    <row r="1728" spans="1:3" x14ac:dyDescent="0.25">
      <c r="A1728" s="2">
        <v>43826</v>
      </c>
      <c r="B1728" t="s">
        <v>14</v>
      </c>
      <c r="C1728">
        <v>70.23</v>
      </c>
    </row>
    <row r="1729" spans="1:3" x14ac:dyDescent="0.25">
      <c r="A1729" s="2">
        <v>43825</v>
      </c>
      <c r="B1729" t="s">
        <v>14</v>
      </c>
      <c r="C1729">
        <v>70.56</v>
      </c>
    </row>
    <row r="1730" spans="1:3" x14ac:dyDescent="0.25">
      <c r="A1730" s="2">
        <v>43823</v>
      </c>
      <c r="B1730" t="s">
        <v>14</v>
      </c>
      <c r="C1730">
        <v>70.52</v>
      </c>
    </row>
    <row r="1731" spans="1:3" x14ac:dyDescent="0.25">
      <c r="A1731" s="2">
        <v>43822</v>
      </c>
      <c r="B1731" t="s">
        <v>14</v>
      </c>
      <c r="C1731">
        <v>68.88</v>
      </c>
    </row>
    <row r="1732" spans="1:3" x14ac:dyDescent="0.25">
      <c r="A1732" s="2">
        <v>43819</v>
      </c>
      <c r="B1732" t="s">
        <v>14</v>
      </c>
      <c r="C1732">
        <v>69.989999999999995</v>
      </c>
    </row>
    <row r="1733" spans="1:3" x14ac:dyDescent="0.25">
      <c r="A1733" s="2">
        <v>43818</v>
      </c>
      <c r="B1733" t="s">
        <v>14</v>
      </c>
      <c r="C1733">
        <v>70.98</v>
      </c>
    </row>
    <row r="1734" spans="1:3" x14ac:dyDescent="0.25">
      <c r="A1734" s="2">
        <v>43817</v>
      </c>
      <c r="B1734" t="s">
        <v>14</v>
      </c>
      <c r="C1734">
        <v>70.150000000000006</v>
      </c>
    </row>
    <row r="1735" spans="1:3" x14ac:dyDescent="0.25">
      <c r="A1735" s="2">
        <v>43816</v>
      </c>
      <c r="B1735" t="s">
        <v>14</v>
      </c>
      <c r="C1735">
        <v>70.03</v>
      </c>
    </row>
    <row r="1736" spans="1:3" x14ac:dyDescent="0.25">
      <c r="A1736" s="2">
        <v>43815</v>
      </c>
      <c r="B1736" t="s">
        <v>14</v>
      </c>
      <c r="C1736">
        <v>68.91</v>
      </c>
    </row>
    <row r="1737" spans="1:3" x14ac:dyDescent="0.25">
      <c r="A1737" s="2">
        <v>43812</v>
      </c>
      <c r="B1737" t="s">
        <v>14</v>
      </c>
      <c r="C1737">
        <v>68.36</v>
      </c>
    </row>
    <row r="1738" spans="1:3" x14ac:dyDescent="0.25">
      <c r="A1738" s="2">
        <v>43811</v>
      </c>
      <c r="B1738" t="s">
        <v>14</v>
      </c>
      <c r="C1738">
        <v>67.56</v>
      </c>
    </row>
    <row r="1739" spans="1:3" x14ac:dyDescent="0.25">
      <c r="A1739" s="2">
        <v>43810</v>
      </c>
      <c r="B1739" t="s">
        <v>14</v>
      </c>
      <c r="C1739">
        <v>66.349999999999994</v>
      </c>
    </row>
    <row r="1740" spans="1:3" x14ac:dyDescent="0.25">
      <c r="A1740" s="2">
        <v>43809</v>
      </c>
      <c r="B1740" t="s">
        <v>14</v>
      </c>
      <c r="C1740">
        <v>67.489999999999995</v>
      </c>
    </row>
    <row r="1741" spans="1:3" x14ac:dyDescent="0.25">
      <c r="A1741" s="2">
        <v>43808</v>
      </c>
      <c r="B1741" t="s">
        <v>14</v>
      </c>
      <c r="C1741">
        <v>67.36</v>
      </c>
    </row>
    <row r="1742" spans="1:3" x14ac:dyDescent="0.25">
      <c r="A1742" s="2">
        <v>43805</v>
      </c>
      <c r="B1742" t="s">
        <v>14</v>
      </c>
      <c r="C1742">
        <v>67.58</v>
      </c>
    </row>
    <row r="1743" spans="1:3" x14ac:dyDescent="0.25">
      <c r="A1743" s="2">
        <v>43804</v>
      </c>
      <c r="B1743" t="s">
        <v>14</v>
      </c>
      <c r="C1743">
        <v>66.790000000000006</v>
      </c>
    </row>
    <row r="1744" spans="1:3" x14ac:dyDescent="0.25">
      <c r="A1744" s="2">
        <v>43803</v>
      </c>
      <c r="B1744" t="s">
        <v>14</v>
      </c>
      <c r="C1744">
        <v>66.34</v>
      </c>
    </row>
    <row r="1745" spans="1:3" x14ac:dyDescent="0.25">
      <c r="A1745" s="2">
        <v>43802</v>
      </c>
      <c r="B1745" t="s">
        <v>14</v>
      </c>
      <c r="C1745">
        <v>64.27</v>
      </c>
    </row>
    <row r="1746" spans="1:3" x14ac:dyDescent="0.25">
      <c r="A1746" s="2">
        <v>43801</v>
      </c>
      <c r="B1746" t="s">
        <v>14</v>
      </c>
      <c r="C1746">
        <v>64.459999999999994</v>
      </c>
    </row>
    <row r="1747" spans="1:3" x14ac:dyDescent="0.25">
      <c r="A1747" s="2">
        <v>43798</v>
      </c>
      <c r="B1747" t="s">
        <v>14</v>
      </c>
      <c r="C1747">
        <v>65.290000000000006</v>
      </c>
    </row>
    <row r="1748" spans="1:3" x14ac:dyDescent="0.25">
      <c r="A1748" s="2">
        <v>43797</v>
      </c>
      <c r="B1748" t="s">
        <v>14</v>
      </c>
      <c r="C1748">
        <v>65.89</v>
      </c>
    </row>
    <row r="1749" spans="1:3" x14ac:dyDescent="0.25">
      <c r="A1749" s="2">
        <v>43796</v>
      </c>
      <c r="B1749" t="s">
        <v>14</v>
      </c>
      <c r="C1749">
        <v>66.12</v>
      </c>
    </row>
    <row r="1750" spans="1:3" x14ac:dyDescent="0.25">
      <c r="A1750" s="2">
        <v>43795</v>
      </c>
      <c r="B1750" t="s">
        <v>14</v>
      </c>
      <c r="C1750">
        <v>65.92</v>
      </c>
    </row>
    <row r="1751" spans="1:3" x14ac:dyDescent="0.25">
      <c r="A1751" s="2">
        <v>43794</v>
      </c>
      <c r="B1751" t="s">
        <v>14</v>
      </c>
      <c r="C1751">
        <v>65.540000000000006</v>
      </c>
    </row>
    <row r="1752" spans="1:3" x14ac:dyDescent="0.25">
      <c r="A1752" s="2">
        <v>43791</v>
      </c>
      <c r="B1752" t="s">
        <v>14</v>
      </c>
      <c r="C1752">
        <v>65.680000000000007</v>
      </c>
    </row>
    <row r="1753" spans="1:3" x14ac:dyDescent="0.25">
      <c r="A1753" s="2">
        <v>43790</v>
      </c>
      <c r="B1753" t="s">
        <v>14</v>
      </c>
      <c r="C1753">
        <v>65.73</v>
      </c>
    </row>
    <row r="1754" spans="1:3" x14ac:dyDescent="0.25">
      <c r="A1754" s="2">
        <v>43789</v>
      </c>
      <c r="B1754" t="s">
        <v>14</v>
      </c>
      <c r="C1754">
        <v>64.599999999999994</v>
      </c>
    </row>
    <row r="1755" spans="1:3" x14ac:dyDescent="0.25">
      <c r="A1755" s="2">
        <v>43788</v>
      </c>
      <c r="B1755" t="s">
        <v>14</v>
      </c>
      <c r="C1755">
        <v>62.93</v>
      </c>
    </row>
    <row r="1756" spans="1:3" x14ac:dyDescent="0.25">
      <c r="A1756" s="2">
        <v>43787</v>
      </c>
      <c r="B1756" t="s">
        <v>14</v>
      </c>
      <c r="C1756">
        <v>63.56</v>
      </c>
    </row>
    <row r="1757" spans="1:3" x14ac:dyDescent="0.25">
      <c r="A1757" s="2">
        <v>43784</v>
      </c>
      <c r="B1757" t="s">
        <v>14</v>
      </c>
      <c r="C1757">
        <v>63.81</v>
      </c>
    </row>
    <row r="1758" spans="1:3" x14ac:dyDescent="0.25">
      <c r="A1758" s="2">
        <v>43783</v>
      </c>
      <c r="B1758" t="s">
        <v>14</v>
      </c>
      <c r="C1758">
        <v>62.99</v>
      </c>
    </row>
    <row r="1759" spans="1:3" x14ac:dyDescent="0.25">
      <c r="A1759" s="2">
        <v>43782</v>
      </c>
      <c r="B1759" t="s">
        <v>14</v>
      </c>
      <c r="C1759">
        <v>62.81</v>
      </c>
    </row>
    <row r="1760" spans="1:3" x14ac:dyDescent="0.25">
      <c r="A1760" s="2">
        <v>43781</v>
      </c>
      <c r="B1760" t="s">
        <v>14</v>
      </c>
      <c r="C1760">
        <v>62.74</v>
      </c>
    </row>
    <row r="1761" spans="1:3" x14ac:dyDescent="0.25">
      <c r="A1761" s="2">
        <v>43780</v>
      </c>
      <c r="B1761" t="s">
        <v>14</v>
      </c>
      <c r="C1761">
        <v>63.04</v>
      </c>
    </row>
    <row r="1762" spans="1:3" x14ac:dyDescent="0.25">
      <c r="A1762" s="2">
        <v>43777</v>
      </c>
      <c r="B1762" t="s">
        <v>14</v>
      </c>
      <c r="C1762">
        <v>62.55</v>
      </c>
    </row>
    <row r="1763" spans="1:3" x14ac:dyDescent="0.25">
      <c r="A1763" s="2">
        <v>43776</v>
      </c>
      <c r="B1763" t="s">
        <v>14</v>
      </c>
      <c r="C1763">
        <v>63.12</v>
      </c>
    </row>
    <row r="1764" spans="1:3" x14ac:dyDescent="0.25">
      <c r="A1764" s="2">
        <v>43775</v>
      </c>
      <c r="B1764" t="s">
        <v>14</v>
      </c>
      <c r="C1764">
        <v>62.56</v>
      </c>
    </row>
    <row r="1765" spans="1:3" x14ac:dyDescent="0.25">
      <c r="A1765" s="2">
        <v>43774</v>
      </c>
      <c r="B1765" t="s">
        <v>14</v>
      </c>
      <c r="C1765">
        <v>63.26</v>
      </c>
    </row>
    <row r="1766" spans="1:3" x14ac:dyDescent="0.25">
      <c r="A1766" s="2">
        <v>43773</v>
      </c>
      <c r="B1766" t="s">
        <v>14</v>
      </c>
      <c r="C1766">
        <v>63.07</v>
      </c>
    </row>
    <row r="1767" spans="1:3" x14ac:dyDescent="0.25">
      <c r="A1767" s="2">
        <v>43770</v>
      </c>
      <c r="B1767" t="s">
        <v>14</v>
      </c>
      <c r="C1767">
        <v>60.68</v>
      </c>
    </row>
    <row r="1768" spans="1:3" x14ac:dyDescent="0.25">
      <c r="A1768" s="2">
        <v>43769</v>
      </c>
      <c r="B1768" t="s">
        <v>14</v>
      </c>
      <c r="C1768">
        <v>59.94</v>
      </c>
    </row>
    <row r="1769" spans="1:3" x14ac:dyDescent="0.25">
      <c r="A1769" s="2">
        <v>43768</v>
      </c>
      <c r="B1769" t="s">
        <v>14</v>
      </c>
      <c r="C1769">
        <v>60.81</v>
      </c>
    </row>
    <row r="1770" spans="1:3" x14ac:dyDescent="0.25">
      <c r="A1770" s="2">
        <v>43767</v>
      </c>
      <c r="B1770" t="s">
        <v>14</v>
      </c>
      <c r="C1770">
        <v>61.62</v>
      </c>
    </row>
    <row r="1771" spans="1:3" x14ac:dyDescent="0.25">
      <c r="A1771" s="2">
        <v>43766</v>
      </c>
      <c r="B1771" t="s">
        <v>14</v>
      </c>
      <c r="C1771">
        <v>60.87</v>
      </c>
    </row>
    <row r="1772" spans="1:3" x14ac:dyDescent="0.25">
      <c r="A1772" s="2">
        <v>43763</v>
      </c>
      <c r="B1772" t="s">
        <v>14</v>
      </c>
      <c r="C1772">
        <v>62.84</v>
      </c>
    </row>
    <row r="1773" spans="1:3" x14ac:dyDescent="0.25">
      <c r="A1773" s="2">
        <v>43762</v>
      </c>
      <c r="B1773" t="s">
        <v>14</v>
      </c>
      <c r="C1773">
        <v>62.51</v>
      </c>
    </row>
    <row r="1774" spans="1:3" x14ac:dyDescent="0.25">
      <c r="A1774" s="2">
        <v>43761</v>
      </c>
      <c r="B1774" t="s">
        <v>14</v>
      </c>
      <c r="C1774">
        <v>61.38</v>
      </c>
    </row>
    <row r="1775" spans="1:3" x14ac:dyDescent="0.25">
      <c r="A1775" s="2">
        <v>43760</v>
      </c>
      <c r="B1775" t="s">
        <v>14</v>
      </c>
      <c r="C1775">
        <v>61.36</v>
      </c>
    </row>
    <row r="1776" spans="1:3" x14ac:dyDescent="0.25">
      <c r="A1776" s="2">
        <v>43759</v>
      </c>
      <c r="B1776" t="s">
        <v>14</v>
      </c>
      <c r="C1776">
        <v>59.89</v>
      </c>
    </row>
    <row r="1777" spans="1:3" x14ac:dyDescent="0.25">
      <c r="A1777" s="2">
        <v>43756</v>
      </c>
      <c r="B1777" t="s">
        <v>14</v>
      </c>
      <c r="C1777">
        <v>60.81</v>
      </c>
    </row>
    <row r="1778" spans="1:3" x14ac:dyDescent="0.25">
      <c r="A1778" s="2">
        <v>43755</v>
      </c>
      <c r="B1778" t="s">
        <v>14</v>
      </c>
      <c r="C1778">
        <v>60.23</v>
      </c>
    </row>
    <row r="1779" spans="1:3" x14ac:dyDescent="0.25">
      <c r="A1779" s="2">
        <v>43754</v>
      </c>
      <c r="B1779" t="s">
        <v>14</v>
      </c>
      <c r="C1779">
        <v>60.19</v>
      </c>
    </row>
    <row r="1780" spans="1:3" x14ac:dyDescent="0.25">
      <c r="A1780" s="2">
        <v>43753</v>
      </c>
      <c r="B1780" t="s">
        <v>14</v>
      </c>
      <c r="C1780">
        <v>60.08</v>
      </c>
    </row>
    <row r="1781" spans="1:3" x14ac:dyDescent="0.25">
      <c r="A1781" s="2">
        <v>43752</v>
      </c>
      <c r="B1781" t="s">
        <v>14</v>
      </c>
      <c r="C1781">
        <v>59.72</v>
      </c>
    </row>
    <row r="1782" spans="1:3" x14ac:dyDescent="0.25">
      <c r="A1782" s="2">
        <v>43749</v>
      </c>
      <c r="B1782" t="s">
        <v>14</v>
      </c>
      <c r="C1782">
        <v>60.97</v>
      </c>
    </row>
    <row r="1783" spans="1:3" x14ac:dyDescent="0.25">
      <c r="A1783" s="2">
        <v>43748</v>
      </c>
      <c r="B1783" t="s">
        <v>14</v>
      </c>
      <c r="C1783">
        <v>59.585000000000001</v>
      </c>
    </row>
    <row r="1784" spans="1:3" x14ac:dyDescent="0.25">
      <c r="A1784" s="2">
        <v>43747</v>
      </c>
      <c r="B1784" t="s">
        <v>14</v>
      </c>
      <c r="C1784">
        <v>60.155000000000001</v>
      </c>
    </row>
    <row r="1785" spans="1:3" x14ac:dyDescent="0.25">
      <c r="A1785" s="2">
        <v>43746</v>
      </c>
      <c r="B1785" t="s">
        <v>14</v>
      </c>
      <c r="C1785">
        <v>58.72</v>
      </c>
    </row>
    <row r="1786" spans="1:3" x14ac:dyDescent="0.25">
      <c r="A1786" s="2">
        <v>43745</v>
      </c>
      <c r="B1786" t="s">
        <v>14</v>
      </c>
      <c r="C1786">
        <v>59.93</v>
      </c>
    </row>
    <row r="1787" spans="1:3" x14ac:dyDescent="0.25">
      <c r="A1787" s="2">
        <v>43742</v>
      </c>
      <c r="B1787" t="s">
        <v>14</v>
      </c>
      <c r="C1787">
        <v>59.63</v>
      </c>
    </row>
    <row r="1788" spans="1:3" x14ac:dyDescent="0.25">
      <c r="A1788" s="2">
        <v>43741</v>
      </c>
      <c r="B1788" t="s">
        <v>14</v>
      </c>
      <c r="C1788">
        <v>58.6</v>
      </c>
    </row>
    <row r="1789" spans="1:3" x14ac:dyDescent="0.25">
      <c r="A1789" s="2">
        <v>43740</v>
      </c>
      <c r="B1789" t="s">
        <v>14</v>
      </c>
      <c r="C1789">
        <v>58.515000000000001</v>
      </c>
    </row>
    <row r="1790" spans="1:3" x14ac:dyDescent="0.25">
      <c r="A1790" s="2">
        <v>43739</v>
      </c>
      <c r="B1790" t="s">
        <v>14</v>
      </c>
      <c r="C1790">
        <v>60.484999999999999</v>
      </c>
    </row>
    <row r="1791" spans="1:3" x14ac:dyDescent="0.25">
      <c r="A1791" s="2">
        <v>43738</v>
      </c>
      <c r="B1791" t="s">
        <v>14</v>
      </c>
      <c r="C1791">
        <v>61.3</v>
      </c>
    </row>
    <row r="1792" spans="1:3" x14ac:dyDescent="0.25">
      <c r="A1792" s="2">
        <v>43735</v>
      </c>
      <c r="B1792" t="s">
        <v>14</v>
      </c>
      <c r="C1792">
        <v>62.71</v>
      </c>
    </row>
    <row r="1793" spans="1:3" x14ac:dyDescent="0.25">
      <c r="A1793" s="2">
        <v>43734</v>
      </c>
      <c r="B1793" t="s">
        <v>14</v>
      </c>
      <c r="C1793">
        <v>62.34</v>
      </c>
    </row>
    <row r="1794" spans="1:3" x14ac:dyDescent="0.25">
      <c r="A1794" s="2">
        <v>43733</v>
      </c>
      <c r="B1794" t="s">
        <v>14</v>
      </c>
      <c r="C1794">
        <v>62.645000000000003</v>
      </c>
    </row>
    <row r="1795" spans="1:3" x14ac:dyDescent="0.25">
      <c r="A1795" s="2">
        <v>43732</v>
      </c>
      <c r="B1795" t="s">
        <v>14</v>
      </c>
      <c r="C1795">
        <v>64.23</v>
      </c>
    </row>
    <row r="1796" spans="1:3" x14ac:dyDescent="0.25">
      <c r="A1796" s="2">
        <v>43731</v>
      </c>
      <c r="B1796" t="s">
        <v>14</v>
      </c>
      <c r="C1796">
        <v>64.715000000000003</v>
      </c>
    </row>
    <row r="1797" spans="1:3" x14ac:dyDescent="0.25">
      <c r="A1797" s="2">
        <v>43728</v>
      </c>
      <c r="B1797" t="s">
        <v>14</v>
      </c>
      <c r="C1797">
        <v>65.239999999999995</v>
      </c>
    </row>
    <row r="1798" spans="1:3" x14ac:dyDescent="0.25">
      <c r="A1798" s="2">
        <v>43727</v>
      </c>
      <c r="B1798" t="s">
        <v>14</v>
      </c>
      <c r="C1798">
        <v>64.34</v>
      </c>
    </row>
    <row r="1799" spans="1:3" x14ac:dyDescent="0.25">
      <c r="A1799" s="2">
        <v>43726</v>
      </c>
      <c r="B1799" t="s">
        <v>14</v>
      </c>
      <c r="C1799">
        <v>64.375</v>
      </c>
    </row>
    <row r="1800" spans="1:3" x14ac:dyDescent="0.25">
      <c r="A1800" s="2">
        <v>43725</v>
      </c>
      <c r="B1800" t="s">
        <v>14</v>
      </c>
      <c r="C1800">
        <v>65.569999999999993</v>
      </c>
    </row>
    <row r="1801" spans="1:3" x14ac:dyDescent="0.25">
      <c r="A1801" s="2">
        <v>43724</v>
      </c>
      <c r="B1801" t="s">
        <v>14</v>
      </c>
      <c r="C1801">
        <v>68.174999999999997</v>
      </c>
    </row>
    <row r="1802" spans="1:3" x14ac:dyDescent="0.25">
      <c r="A1802" s="2">
        <v>43721</v>
      </c>
      <c r="B1802" t="s">
        <v>14</v>
      </c>
      <c r="C1802">
        <v>61.58</v>
      </c>
    </row>
    <row r="1803" spans="1:3" x14ac:dyDescent="0.25">
      <c r="A1803" s="2">
        <v>43720</v>
      </c>
      <c r="B1803" t="s">
        <v>14</v>
      </c>
      <c r="C1803">
        <v>61.13</v>
      </c>
    </row>
    <row r="1804" spans="1:3" x14ac:dyDescent="0.25">
      <c r="A1804" s="2">
        <v>43719</v>
      </c>
      <c r="B1804" t="s">
        <v>14</v>
      </c>
      <c r="C1804">
        <v>63.204999999999998</v>
      </c>
    </row>
    <row r="1805" spans="1:3" x14ac:dyDescent="0.25">
      <c r="A1805" s="2">
        <v>43718</v>
      </c>
      <c r="B1805" t="s">
        <v>14</v>
      </c>
      <c r="C1805">
        <v>64.724999999999994</v>
      </c>
    </row>
    <row r="1806" spans="1:3" x14ac:dyDescent="0.25">
      <c r="A1806" s="2">
        <v>43717</v>
      </c>
      <c r="B1806" t="s">
        <v>14</v>
      </c>
      <c r="C1806">
        <v>64.099999999999994</v>
      </c>
    </row>
    <row r="1807" spans="1:3" x14ac:dyDescent="0.25">
      <c r="A1807" s="2">
        <v>43714</v>
      </c>
      <c r="B1807" t="s">
        <v>14</v>
      </c>
      <c r="C1807">
        <v>61.604999999999997</v>
      </c>
    </row>
    <row r="1808" spans="1:3" x14ac:dyDescent="0.25">
      <c r="A1808" s="2">
        <v>43713</v>
      </c>
      <c r="B1808" t="s">
        <v>14</v>
      </c>
      <c r="C1808">
        <v>62.91</v>
      </c>
    </row>
    <row r="1809" spans="1:3" x14ac:dyDescent="0.25">
      <c r="A1809" s="2">
        <v>43712</v>
      </c>
      <c r="B1809" t="s">
        <v>14</v>
      </c>
      <c r="C1809">
        <v>61.055</v>
      </c>
    </row>
    <row r="1810" spans="1:3" x14ac:dyDescent="0.25">
      <c r="A1810" s="2">
        <v>43711</v>
      </c>
      <c r="B1810" t="s">
        <v>14</v>
      </c>
      <c r="C1810">
        <v>58.524999999999999</v>
      </c>
    </row>
    <row r="1811" spans="1:3" x14ac:dyDescent="0.25">
      <c r="A1811" s="2">
        <v>43710</v>
      </c>
      <c r="B1811" t="s">
        <v>14</v>
      </c>
      <c r="C1811">
        <v>59.094999999999999</v>
      </c>
    </row>
    <row r="1812" spans="1:3" x14ac:dyDescent="0.25">
      <c r="A1812" s="2">
        <v>43707</v>
      </c>
      <c r="B1812" t="s">
        <v>14</v>
      </c>
      <c r="C1812">
        <v>60.79</v>
      </c>
    </row>
    <row r="1813" spans="1:3" x14ac:dyDescent="0.25">
      <c r="A1813" s="2">
        <v>43706</v>
      </c>
      <c r="B1813" t="s">
        <v>14</v>
      </c>
      <c r="C1813">
        <v>60.97</v>
      </c>
    </row>
    <row r="1814" spans="1:3" x14ac:dyDescent="0.25">
      <c r="A1814" s="2">
        <v>43705</v>
      </c>
      <c r="B1814" t="s">
        <v>14</v>
      </c>
      <c r="C1814">
        <v>60.814999999999998</v>
      </c>
    </row>
    <row r="1815" spans="1:3" x14ac:dyDescent="0.25">
      <c r="A1815" s="2">
        <v>43704</v>
      </c>
      <c r="B1815" t="s">
        <v>14</v>
      </c>
      <c r="C1815">
        <v>58.994999999999997</v>
      </c>
    </row>
    <row r="1816" spans="1:3" x14ac:dyDescent="0.25">
      <c r="A1816" s="2">
        <v>43700</v>
      </c>
      <c r="B1816" t="s">
        <v>14</v>
      </c>
      <c r="C1816">
        <v>59.09</v>
      </c>
    </row>
    <row r="1817" spans="1:3" x14ac:dyDescent="0.25">
      <c r="A1817" s="2">
        <v>43699</v>
      </c>
      <c r="B1817" t="s">
        <v>14</v>
      </c>
      <c r="C1817">
        <v>60.255000000000003</v>
      </c>
    </row>
    <row r="1818" spans="1:3" x14ac:dyDescent="0.25">
      <c r="A1818" s="2">
        <v>43698</v>
      </c>
      <c r="B1818" t="s">
        <v>14</v>
      </c>
      <c r="C1818">
        <v>60.98</v>
      </c>
    </row>
    <row r="1819" spans="1:3" x14ac:dyDescent="0.25">
      <c r="A1819" s="2">
        <v>43697</v>
      </c>
      <c r="B1819" t="s">
        <v>14</v>
      </c>
      <c r="C1819">
        <v>59.534999999999997</v>
      </c>
    </row>
    <row r="1820" spans="1:3" x14ac:dyDescent="0.25">
      <c r="A1820" s="2">
        <v>43696</v>
      </c>
      <c r="B1820" t="s">
        <v>14</v>
      </c>
      <c r="C1820">
        <v>60.234999999999999</v>
      </c>
    </row>
    <row r="1821" spans="1:3" x14ac:dyDescent="0.25">
      <c r="A1821" s="2">
        <v>43693</v>
      </c>
      <c r="B1821" t="s">
        <v>14</v>
      </c>
      <c r="C1821">
        <v>59.51</v>
      </c>
    </row>
    <row r="1822" spans="1:3" x14ac:dyDescent="0.25">
      <c r="A1822" s="2">
        <v>43692</v>
      </c>
      <c r="B1822" t="s">
        <v>14</v>
      </c>
      <c r="C1822">
        <v>57.95</v>
      </c>
    </row>
    <row r="1823" spans="1:3" x14ac:dyDescent="0.25">
      <c r="A1823" s="2">
        <v>43691</v>
      </c>
      <c r="B1823" t="s">
        <v>14</v>
      </c>
      <c r="C1823">
        <v>58.42</v>
      </c>
    </row>
    <row r="1824" spans="1:3" x14ac:dyDescent="0.25">
      <c r="A1824" s="2">
        <v>43690</v>
      </c>
      <c r="B1824" t="s">
        <v>14</v>
      </c>
      <c r="C1824">
        <v>60.2</v>
      </c>
    </row>
    <row r="1825" spans="1:3" x14ac:dyDescent="0.25">
      <c r="A1825" s="2">
        <v>43689</v>
      </c>
      <c r="B1825" t="s">
        <v>14</v>
      </c>
      <c r="C1825">
        <v>57.54</v>
      </c>
    </row>
    <row r="1826" spans="1:3" x14ac:dyDescent="0.25">
      <c r="A1826" s="2">
        <v>43686</v>
      </c>
      <c r="B1826" t="s">
        <v>14</v>
      </c>
      <c r="C1826">
        <v>57.89</v>
      </c>
    </row>
    <row r="1827" spans="1:3" x14ac:dyDescent="0.25">
      <c r="A1827" s="2">
        <v>43685</v>
      </c>
      <c r="B1827" t="s">
        <v>14</v>
      </c>
      <c r="C1827">
        <v>56.87</v>
      </c>
    </row>
    <row r="1828" spans="1:3" x14ac:dyDescent="0.25">
      <c r="A1828" s="2">
        <v>43684</v>
      </c>
      <c r="B1828" t="s">
        <v>14</v>
      </c>
      <c r="C1828">
        <v>55.67</v>
      </c>
    </row>
    <row r="1829" spans="1:3" x14ac:dyDescent="0.25">
      <c r="A1829" s="2">
        <v>43683</v>
      </c>
      <c r="B1829" t="s">
        <v>14</v>
      </c>
      <c r="C1829">
        <v>59.09</v>
      </c>
    </row>
    <row r="1830" spans="1:3" x14ac:dyDescent="0.25">
      <c r="A1830" s="2">
        <v>43682</v>
      </c>
      <c r="B1830" t="s">
        <v>14</v>
      </c>
      <c r="C1830">
        <v>59.75</v>
      </c>
    </row>
    <row r="1831" spans="1:3" x14ac:dyDescent="0.25">
      <c r="A1831" s="2">
        <v>43679</v>
      </c>
      <c r="B1831" t="s">
        <v>14</v>
      </c>
      <c r="C1831">
        <v>61.46</v>
      </c>
    </row>
    <row r="1832" spans="1:3" x14ac:dyDescent="0.25">
      <c r="A1832" s="2">
        <v>43678</v>
      </c>
      <c r="B1832" t="s">
        <v>14</v>
      </c>
      <c r="C1832">
        <v>63.094999999999999</v>
      </c>
    </row>
    <row r="1833" spans="1:3" x14ac:dyDescent="0.25">
      <c r="A1833" s="2">
        <v>43677</v>
      </c>
      <c r="B1833" t="s">
        <v>14</v>
      </c>
      <c r="C1833">
        <v>63.87</v>
      </c>
    </row>
    <row r="1834" spans="1:3" x14ac:dyDescent="0.25">
      <c r="A1834" s="2">
        <v>43676</v>
      </c>
      <c r="B1834" t="s">
        <v>14</v>
      </c>
      <c r="C1834">
        <v>62.774999999999999</v>
      </c>
    </row>
    <row r="1835" spans="1:3" x14ac:dyDescent="0.25">
      <c r="A1835" s="2">
        <v>43675</v>
      </c>
      <c r="B1835" t="s">
        <v>14</v>
      </c>
      <c r="C1835">
        <v>62.534999999999997</v>
      </c>
    </row>
    <row r="1836" spans="1:3" x14ac:dyDescent="0.25">
      <c r="A1836" s="2">
        <v>43672</v>
      </c>
      <c r="B1836" t="s">
        <v>14</v>
      </c>
      <c r="C1836">
        <v>62.69</v>
      </c>
    </row>
    <row r="1837" spans="1:3" x14ac:dyDescent="0.25">
      <c r="A1837" s="2">
        <v>43671</v>
      </c>
      <c r="B1837" t="s">
        <v>14</v>
      </c>
      <c r="C1837">
        <v>63.62</v>
      </c>
    </row>
    <row r="1838" spans="1:3" x14ac:dyDescent="0.25">
      <c r="A1838" s="2">
        <v>43670</v>
      </c>
      <c r="B1838" t="s">
        <v>14</v>
      </c>
      <c r="C1838">
        <v>63.95</v>
      </c>
    </row>
    <row r="1839" spans="1:3" x14ac:dyDescent="0.25">
      <c r="A1839" s="2">
        <v>43669</v>
      </c>
      <c r="B1839" t="s">
        <v>14</v>
      </c>
      <c r="C1839">
        <v>62.48</v>
      </c>
    </row>
    <row r="1840" spans="1:3" x14ac:dyDescent="0.25">
      <c r="A1840" s="2">
        <v>43668</v>
      </c>
      <c r="B1840" t="s">
        <v>14</v>
      </c>
      <c r="C1840">
        <v>62.094999999999999</v>
      </c>
    </row>
    <row r="1841" spans="1:3" x14ac:dyDescent="0.25">
      <c r="A1841" s="2">
        <v>43665</v>
      </c>
      <c r="B1841" t="s">
        <v>14</v>
      </c>
      <c r="C1841">
        <v>61.25</v>
      </c>
    </row>
    <row r="1842" spans="1:3" x14ac:dyDescent="0.25">
      <c r="A1842" s="2">
        <v>43664</v>
      </c>
      <c r="B1842" t="s">
        <v>14</v>
      </c>
      <c r="C1842">
        <v>60.935000000000002</v>
      </c>
    </row>
    <row r="1843" spans="1:3" x14ac:dyDescent="0.25">
      <c r="A1843" s="2">
        <v>43663</v>
      </c>
      <c r="B1843" t="s">
        <v>14</v>
      </c>
      <c r="C1843">
        <v>63.62</v>
      </c>
    </row>
    <row r="1844" spans="1:3" x14ac:dyDescent="0.25">
      <c r="A1844" s="2">
        <v>43662</v>
      </c>
      <c r="B1844" t="s">
        <v>14</v>
      </c>
      <c r="C1844">
        <v>65.855000000000004</v>
      </c>
    </row>
    <row r="1845" spans="1:3" x14ac:dyDescent="0.25">
      <c r="A1845" s="2">
        <v>43661</v>
      </c>
      <c r="B1845" t="s">
        <v>14</v>
      </c>
      <c r="C1845">
        <v>66.92</v>
      </c>
    </row>
    <row r="1846" spans="1:3" x14ac:dyDescent="0.25">
      <c r="A1846" s="2">
        <v>43658</v>
      </c>
      <c r="B1846" t="s">
        <v>14</v>
      </c>
      <c r="C1846">
        <v>66.94</v>
      </c>
    </row>
    <row r="1847" spans="1:3" x14ac:dyDescent="0.25">
      <c r="A1847" s="2">
        <v>43657</v>
      </c>
      <c r="B1847" t="s">
        <v>14</v>
      </c>
      <c r="C1847">
        <v>67.849999999999994</v>
      </c>
    </row>
    <row r="1848" spans="1:3" x14ac:dyDescent="0.25">
      <c r="A1848" s="2">
        <v>43656</v>
      </c>
      <c r="B1848" t="s">
        <v>14</v>
      </c>
      <c r="C1848">
        <v>66.510000000000005</v>
      </c>
    </row>
    <row r="1849" spans="1:3" x14ac:dyDescent="0.25">
      <c r="A1849" s="2">
        <v>43655</v>
      </c>
      <c r="B1849" t="s">
        <v>14</v>
      </c>
      <c r="C1849">
        <v>64.569999999999993</v>
      </c>
    </row>
    <row r="1850" spans="1:3" x14ac:dyDescent="0.25">
      <c r="A1850" s="2">
        <v>43654</v>
      </c>
      <c r="B1850" t="s">
        <v>14</v>
      </c>
      <c r="C1850">
        <v>65.11</v>
      </c>
    </row>
    <row r="1851" spans="1:3" x14ac:dyDescent="0.25">
      <c r="A1851" s="2">
        <v>43651</v>
      </c>
      <c r="B1851" t="s">
        <v>14</v>
      </c>
      <c r="C1851">
        <v>64.504999999999995</v>
      </c>
    </row>
    <row r="1852" spans="1:3" x14ac:dyDescent="0.25">
      <c r="A1852" s="2">
        <v>43650</v>
      </c>
      <c r="B1852" t="s">
        <v>14</v>
      </c>
      <c r="C1852">
        <v>64.11</v>
      </c>
    </row>
    <row r="1853" spans="1:3" x14ac:dyDescent="0.25">
      <c r="A1853" s="2">
        <v>43649</v>
      </c>
      <c r="B1853" t="s">
        <v>14</v>
      </c>
      <c r="C1853">
        <v>64.025000000000006</v>
      </c>
    </row>
    <row r="1854" spans="1:3" x14ac:dyDescent="0.25">
      <c r="A1854" s="2">
        <v>43648</v>
      </c>
      <c r="B1854" t="s">
        <v>14</v>
      </c>
      <c r="C1854">
        <v>63.48</v>
      </c>
    </row>
    <row r="1855" spans="1:3" x14ac:dyDescent="0.25">
      <c r="A1855" s="2">
        <v>43647</v>
      </c>
      <c r="B1855" t="s">
        <v>14</v>
      </c>
      <c r="C1855">
        <v>65.739999999999995</v>
      </c>
    </row>
    <row r="1856" spans="1:3" x14ac:dyDescent="0.25">
      <c r="A1856" s="2">
        <v>43644</v>
      </c>
      <c r="B1856" t="s">
        <v>14</v>
      </c>
      <c r="C1856">
        <v>67.16</v>
      </c>
    </row>
    <row r="1857" spans="1:3" x14ac:dyDescent="0.25">
      <c r="A1857" s="2">
        <v>43643</v>
      </c>
      <c r="B1857" t="s">
        <v>14</v>
      </c>
      <c r="C1857">
        <v>67.33</v>
      </c>
    </row>
    <row r="1858" spans="1:3" x14ac:dyDescent="0.25">
      <c r="A1858" s="2">
        <v>43642</v>
      </c>
      <c r="B1858" t="s">
        <v>14</v>
      </c>
      <c r="C1858">
        <v>67.400000000000006</v>
      </c>
    </row>
    <row r="1859" spans="1:3" x14ac:dyDescent="0.25">
      <c r="A1859" s="2">
        <v>43641</v>
      </c>
      <c r="B1859" t="s">
        <v>14</v>
      </c>
      <c r="C1859">
        <v>66.77</v>
      </c>
    </row>
    <row r="1860" spans="1:3" x14ac:dyDescent="0.25">
      <c r="A1860" s="2">
        <v>43640</v>
      </c>
      <c r="B1860" t="s">
        <v>14</v>
      </c>
      <c r="C1860">
        <v>65.8</v>
      </c>
    </row>
    <row r="1861" spans="1:3" x14ac:dyDescent="0.25">
      <c r="A1861" s="2">
        <v>43637</v>
      </c>
      <c r="B1861" t="s">
        <v>14</v>
      </c>
      <c r="C1861">
        <v>66.569999999999993</v>
      </c>
    </row>
    <row r="1862" spans="1:3" x14ac:dyDescent="0.25">
      <c r="A1862" s="2">
        <v>43636</v>
      </c>
      <c r="B1862" t="s">
        <v>14</v>
      </c>
      <c r="C1862">
        <v>66.010000000000005</v>
      </c>
    </row>
    <row r="1863" spans="1:3" x14ac:dyDescent="0.25">
      <c r="A1863" s="2">
        <v>43635</v>
      </c>
      <c r="B1863" t="s">
        <v>14</v>
      </c>
      <c r="C1863">
        <v>63.5</v>
      </c>
    </row>
    <row r="1864" spans="1:3" x14ac:dyDescent="0.25">
      <c r="A1864" s="2">
        <v>43634</v>
      </c>
      <c r="B1864" t="s">
        <v>14</v>
      </c>
      <c r="C1864">
        <v>63.9</v>
      </c>
    </row>
    <row r="1865" spans="1:3" x14ac:dyDescent="0.25">
      <c r="A1865" s="2">
        <v>43633</v>
      </c>
      <c r="B1865" t="s">
        <v>14</v>
      </c>
      <c r="C1865">
        <v>63.15</v>
      </c>
    </row>
    <row r="1866" spans="1:3" x14ac:dyDescent="0.25">
      <c r="A1866" s="2">
        <v>43630</v>
      </c>
      <c r="B1866" t="s">
        <v>14</v>
      </c>
      <c r="C1866">
        <v>63.49</v>
      </c>
    </row>
    <row r="1867" spans="1:3" x14ac:dyDescent="0.25">
      <c r="A1867" s="2">
        <v>43629</v>
      </c>
      <c r="B1867" t="s">
        <v>14</v>
      </c>
      <c r="C1867">
        <v>63.84</v>
      </c>
    </row>
    <row r="1868" spans="1:3" x14ac:dyDescent="0.25">
      <c r="A1868" s="2">
        <v>43628</v>
      </c>
      <c r="B1868" t="s">
        <v>14</v>
      </c>
      <c r="C1868">
        <v>62.36</v>
      </c>
    </row>
    <row r="1869" spans="1:3" x14ac:dyDescent="0.25">
      <c r="A1869" s="2">
        <v>43627</v>
      </c>
      <c r="B1869" t="s">
        <v>14</v>
      </c>
      <c r="C1869">
        <v>64.16</v>
      </c>
    </row>
    <row r="1870" spans="1:3" x14ac:dyDescent="0.25">
      <c r="A1870" s="2">
        <v>43626</v>
      </c>
      <c r="B1870" t="s">
        <v>14</v>
      </c>
      <c r="C1870">
        <v>64.900000000000006</v>
      </c>
    </row>
    <row r="1871" spans="1:3" x14ac:dyDescent="0.25">
      <c r="A1871" s="2">
        <v>43623</v>
      </c>
      <c r="B1871" t="s">
        <v>14</v>
      </c>
      <c r="C1871">
        <v>64.739999999999995</v>
      </c>
    </row>
    <row r="1872" spans="1:3" x14ac:dyDescent="0.25">
      <c r="A1872" s="2">
        <v>43622</v>
      </c>
      <c r="B1872" t="s">
        <v>14</v>
      </c>
      <c r="C1872">
        <v>63.56</v>
      </c>
    </row>
    <row r="1873" spans="1:3" x14ac:dyDescent="0.25">
      <c r="A1873" s="2">
        <v>43621</v>
      </c>
      <c r="B1873" t="s">
        <v>14</v>
      </c>
      <c r="C1873">
        <v>62.91</v>
      </c>
    </row>
    <row r="1874" spans="1:3" x14ac:dyDescent="0.25">
      <c r="A1874" s="2">
        <v>43620</v>
      </c>
      <c r="B1874" t="s">
        <v>14</v>
      </c>
      <c r="C1874">
        <v>64.47</v>
      </c>
    </row>
    <row r="1875" spans="1:3" x14ac:dyDescent="0.25">
      <c r="A1875" s="2">
        <v>43619</v>
      </c>
      <c r="B1875" t="s">
        <v>14</v>
      </c>
      <c r="C1875">
        <v>64.069999999999993</v>
      </c>
    </row>
    <row r="1876" spans="1:3" x14ac:dyDescent="0.25">
      <c r="A1876" s="2">
        <v>43616</v>
      </c>
      <c r="B1876" t="s">
        <v>14</v>
      </c>
      <c r="C1876">
        <v>66.33</v>
      </c>
    </row>
    <row r="1877" spans="1:3" x14ac:dyDescent="0.25">
      <c r="A1877" s="2">
        <v>43615</v>
      </c>
      <c r="B1877" t="s">
        <v>14</v>
      </c>
      <c r="C1877">
        <v>69.459999999999994</v>
      </c>
    </row>
    <row r="1878" spans="1:3" x14ac:dyDescent="0.25">
      <c r="A1878" s="2">
        <v>43614</v>
      </c>
      <c r="B1878" t="s">
        <v>14</v>
      </c>
      <c r="C1878">
        <v>70.75</v>
      </c>
    </row>
    <row r="1879" spans="1:3" x14ac:dyDescent="0.25">
      <c r="A1879" s="2">
        <v>43613</v>
      </c>
      <c r="B1879" t="s">
        <v>14</v>
      </c>
      <c r="C1879">
        <v>70.67</v>
      </c>
    </row>
    <row r="1880" spans="1:3" x14ac:dyDescent="0.25">
      <c r="A1880" s="2">
        <v>43609</v>
      </c>
      <c r="B1880" t="s">
        <v>14</v>
      </c>
      <c r="C1880">
        <v>68.47</v>
      </c>
    </row>
    <row r="1881" spans="1:3" x14ac:dyDescent="0.25">
      <c r="A1881" s="2">
        <v>43608</v>
      </c>
      <c r="B1881" t="s">
        <v>14</v>
      </c>
      <c r="C1881">
        <v>68.95</v>
      </c>
    </row>
    <row r="1882" spans="1:3" x14ac:dyDescent="0.25">
      <c r="A1882" s="2">
        <v>43607</v>
      </c>
      <c r="B1882" t="s">
        <v>14</v>
      </c>
      <c r="C1882">
        <v>72.34</v>
      </c>
    </row>
    <row r="1883" spans="1:3" x14ac:dyDescent="0.25">
      <c r="A1883" s="2">
        <v>43606</v>
      </c>
      <c r="B1883" t="s">
        <v>14</v>
      </c>
      <c r="C1883">
        <v>73.290000000000006</v>
      </c>
    </row>
    <row r="1884" spans="1:3" x14ac:dyDescent="0.25">
      <c r="A1884" s="2">
        <v>43605</v>
      </c>
      <c r="B1884" t="s">
        <v>14</v>
      </c>
      <c r="C1884">
        <v>73.540000000000006</v>
      </c>
    </row>
    <row r="1885" spans="1:3" x14ac:dyDescent="0.25">
      <c r="A1885" s="2">
        <v>43602</v>
      </c>
      <c r="B1885" t="s">
        <v>14</v>
      </c>
      <c r="C1885">
        <v>74.23</v>
      </c>
    </row>
    <row r="1886" spans="1:3" x14ac:dyDescent="0.25">
      <c r="A1886" s="2">
        <v>43601</v>
      </c>
      <c r="B1886" t="s">
        <v>14</v>
      </c>
      <c r="C1886">
        <v>74.959999999999994</v>
      </c>
    </row>
    <row r="1887" spans="1:3" x14ac:dyDescent="0.25">
      <c r="A1887" s="2">
        <v>43600</v>
      </c>
      <c r="B1887" t="s">
        <v>14</v>
      </c>
      <c r="C1887">
        <v>73.41</v>
      </c>
    </row>
    <row r="1888" spans="1:3" x14ac:dyDescent="0.25">
      <c r="A1888" s="2">
        <v>43599</v>
      </c>
      <c r="B1888" t="s">
        <v>14</v>
      </c>
      <c r="C1888">
        <v>72.86</v>
      </c>
    </row>
    <row r="1889" spans="1:3" x14ac:dyDescent="0.25">
      <c r="A1889" s="2">
        <v>43598</v>
      </c>
      <c r="B1889" t="s">
        <v>14</v>
      </c>
      <c r="C1889">
        <v>72.66</v>
      </c>
    </row>
    <row r="1890" spans="1:3" x14ac:dyDescent="0.25">
      <c r="A1890" s="2">
        <v>43595</v>
      </c>
      <c r="B1890" t="s">
        <v>14</v>
      </c>
      <c r="C1890">
        <v>71.31</v>
      </c>
    </row>
    <row r="1891" spans="1:3" x14ac:dyDescent="0.25">
      <c r="A1891" s="2">
        <v>43594</v>
      </c>
      <c r="B1891" t="s">
        <v>14</v>
      </c>
      <c r="C1891">
        <v>70.015000000000001</v>
      </c>
    </row>
    <row r="1892" spans="1:3" x14ac:dyDescent="0.25">
      <c r="A1892" s="2">
        <v>43593</v>
      </c>
      <c r="B1892" t="s">
        <v>14</v>
      </c>
      <c r="C1892">
        <v>70.814999999999998</v>
      </c>
    </row>
    <row r="1893" spans="1:3" x14ac:dyDescent="0.25">
      <c r="A1893" s="2">
        <v>43592</v>
      </c>
      <c r="B1893" t="s">
        <v>14</v>
      </c>
      <c r="C1893">
        <v>70.489999999999995</v>
      </c>
    </row>
    <row r="1894" spans="1:3" x14ac:dyDescent="0.25">
      <c r="A1894" s="2">
        <v>43588</v>
      </c>
      <c r="B1894" t="s">
        <v>14</v>
      </c>
      <c r="C1894">
        <v>71.605000000000004</v>
      </c>
    </row>
    <row r="1895" spans="1:3" x14ac:dyDescent="0.25">
      <c r="A1895" s="2">
        <v>43587</v>
      </c>
      <c r="B1895" t="s">
        <v>14</v>
      </c>
      <c r="C1895">
        <v>70.325000000000003</v>
      </c>
    </row>
    <row r="1896" spans="1:3" x14ac:dyDescent="0.25">
      <c r="A1896" s="2">
        <v>43586</v>
      </c>
      <c r="B1896" t="s">
        <v>14</v>
      </c>
      <c r="C1896">
        <v>71.66</v>
      </c>
    </row>
    <row r="1897" spans="1:3" x14ac:dyDescent="0.25">
      <c r="A1897" s="2">
        <v>43585</v>
      </c>
      <c r="B1897" t="s">
        <v>14</v>
      </c>
      <c r="C1897">
        <v>71.825000000000003</v>
      </c>
    </row>
    <row r="1898" spans="1:3" x14ac:dyDescent="0.25">
      <c r="A1898" s="2">
        <v>43584</v>
      </c>
      <c r="B1898" t="s">
        <v>14</v>
      </c>
      <c r="C1898">
        <v>70.930000000000007</v>
      </c>
    </row>
    <row r="1899" spans="1:3" x14ac:dyDescent="0.25">
      <c r="A1899" s="2">
        <v>43581</v>
      </c>
      <c r="B1899" t="s">
        <v>14</v>
      </c>
      <c r="C1899">
        <v>70.760000000000005</v>
      </c>
    </row>
    <row r="1900" spans="1:3" x14ac:dyDescent="0.25">
      <c r="A1900" s="2">
        <v>43580</v>
      </c>
      <c r="B1900" t="s">
        <v>14</v>
      </c>
      <c r="C1900">
        <v>74.355000000000004</v>
      </c>
    </row>
    <row r="1901" spans="1:3" x14ac:dyDescent="0.25">
      <c r="A1901" s="2">
        <v>43579</v>
      </c>
      <c r="B1901" t="s">
        <v>14</v>
      </c>
      <c r="C1901">
        <v>73.709999999999994</v>
      </c>
    </row>
    <row r="1902" spans="1:3" x14ac:dyDescent="0.25">
      <c r="A1902" s="2">
        <v>43578</v>
      </c>
      <c r="B1902" t="s">
        <v>14</v>
      </c>
      <c r="C1902">
        <v>72.855000000000004</v>
      </c>
    </row>
    <row r="1903" spans="1:3" x14ac:dyDescent="0.25">
      <c r="A1903" s="2">
        <v>43573</v>
      </c>
      <c r="B1903" t="s">
        <v>14</v>
      </c>
      <c r="C1903">
        <v>70.325000000000003</v>
      </c>
    </row>
    <row r="1904" spans="1:3" x14ac:dyDescent="0.25">
      <c r="A1904" s="2">
        <v>43572</v>
      </c>
      <c r="B1904" t="s">
        <v>14</v>
      </c>
      <c r="C1904">
        <v>70.86</v>
      </c>
    </row>
    <row r="1905" spans="1:3" x14ac:dyDescent="0.25">
      <c r="A1905" s="2">
        <v>43571</v>
      </c>
      <c r="B1905" t="s">
        <v>14</v>
      </c>
      <c r="C1905">
        <v>70.86</v>
      </c>
    </row>
    <row r="1906" spans="1:3" x14ac:dyDescent="0.25">
      <c r="A1906" s="2">
        <v>43570</v>
      </c>
      <c r="B1906" t="s">
        <v>14</v>
      </c>
      <c r="C1906">
        <v>71.004999999999995</v>
      </c>
    </row>
    <row r="1907" spans="1:3" x14ac:dyDescent="0.25">
      <c r="A1907" s="2">
        <v>43567</v>
      </c>
      <c r="B1907" t="s">
        <v>14</v>
      </c>
      <c r="C1907">
        <v>71.62</v>
      </c>
    </row>
    <row r="1908" spans="1:3" x14ac:dyDescent="0.25">
      <c r="A1908" s="2">
        <v>43566</v>
      </c>
      <c r="B1908" t="s">
        <v>14</v>
      </c>
      <c r="C1908">
        <v>71.099999999999994</v>
      </c>
    </row>
    <row r="1909" spans="1:3" x14ac:dyDescent="0.25">
      <c r="A1909" s="2">
        <v>43565</v>
      </c>
      <c r="B1909" t="s">
        <v>14</v>
      </c>
      <c r="C1909">
        <v>71.77</v>
      </c>
    </row>
    <row r="1910" spans="1:3" x14ac:dyDescent="0.25">
      <c r="A1910" s="2">
        <v>43564</v>
      </c>
      <c r="B1910" t="s">
        <v>14</v>
      </c>
      <c r="C1910">
        <v>71.209999999999994</v>
      </c>
    </row>
    <row r="1911" spans="1:3" x14ac:dyDescent="0.25">
      <c r="A1911" s="2">
        <v>43563</v>
      </c>
      <c r="B1911" t="s">
        <v>14</v>
      </c>
      <c r="C1911">
        <v>71.3</v>
      </c>
    </row>
    <row r="1912" spans="1:3" x14ac:dyDescent="0.25">
      <c r="A1912" s="2">
        <v>43560</v>
      </c>
      <c r="B1912" t="s">
        <v>14</v>
      </c>
      <c r="C1912">
        <v>70.02</v>
      </c>
    </row>
    <row r="1913" spans="1:3" x14ac:dyDescent="0.25">
      <c r="A1913" s="2">
        <v>43559</v>
      </c>
      <c r="B1913" t="s">
        <v>14</v>
      </c>
      <c r="C1913">
        <v>69.855000000000004</v>
      </c>
    </row>
    <row r="1914" spans="1:3" x14ac:dyDescent="0.25">
      <c r="A1914" s="2">
        <v>43558</v>
      </c>
      <c r="B1914" t="s">
        <v>14</v>
      </c>
      <c r="C1914">
        <v>69.314999999999998</v>
      </c>
    </row>
    <row r="1915" spans="1:3" x14ac:dyDescent="0.25">
      <c r="A1915" s="2">
        <v>43557</v>
      </c>
      <c r="B1915" t="s">
        <v>14</v>
      </c>
      <c r="C1915">
        <v>69.745000000000005</v>
      </c>
    </row>
    <row r="1916" spans="1:3" x14ac:dyDescent="0.25">
      <c r="A1916" s="2">
        <v>43556</v>
      </c>
      <c r="B1916" t="s">
        <v>14</v>
      </c>
      <c r="C1916">
        <v>69.194999999999993</v>
      </c>
    </row>
    <row r="1917" spans="1:3" x14ac:dyDescent="0.25">
      <c r="A1917" s="2">
        <v>43553</v>
      </c>
      <c r="B1917" t="s">
        <v>14</v>
      </c>
      <c r="C1917">
        <v>68.135000000000005</v>
      </c>
    </row>
    <row r="1918" spans="1:3" x14ac:dyDescent="0.25">
      <c r="A1918" s="2">
        <v>43552</v>
      </c>
      <c r="B1918" t="s">
        <v>14</v>
      </c>
      <c r="C1918">
        <v>66.39</v>
      </c>
    </row>
    <row r="1919" spans="1:3" x14ac:dyDescent="0.25">
      <c r="A1919" s="2">
        <v>43551</v>
      </c>
      <c r="B1919" t="s">
        <v>14</v>
      </c>
      <c r="C1919">
        <v>67.48</v>
      </c>
    </row>
    <row r="1920" spans="1:3" x14ac:dyDescent="0.25">
      <c r="A1920" s="2">
        <v>43550</v>
      </c>
      <c r="B1920" t="s">
        <v>14</v>
      </c>
      <c r="C1920">
        <v>67.709999999999994</v>
      </c>
    </row>
    <row r="1921" spans="1:3" x14ac:dyDescent="0.25">
      <c r="A1921" s="2">
        <v>43549</v>
      </c>
      <c r="B1921" t="s">
        <v>14</v>
      </c>
      <c r="C1921">
        <v>67.55</v>
      </c>
    </row>
    <row r="1922" spans="1:3" x14ac:dyDescent="0.25">
      <c r="A1922" s="2">
        <v>43546</v>
      </c>
      <c r="B1922" t="s">
        <v>14</v>
      </c>
      <c r="C1922">
        <v>66.534999999999997</v>
      </c>
    </row>
    <row r="1923" spans="1:3" x14ac:dyDescent="0.25">
      <c r="A1923" s="2">
        <v>43545</v>
      </c>
      <c r="B1923" t="s">
        <v>14</v>
      </c>
      <c r="C1923">
        <v>68.385000000000005</v>
      </c>
    </row>
    <row r="1924" spans="1:3" x14ac:dyDescent="0.25">
      <c r="A1924" s="2">
        <v>43544</v>
      </c>
      <c r="B1924" t="s">
        <v>14</v>
      </c>
      <c r="C1924">
        <v>68.430000000000007</v>
      </c>
    </row>
    <row r="1925" spans="1:3" x14ac:dyDescent="0.25">
      <c r="A1925" s="2">
        <v>43543</v>
      </c>
      <c r="B1925" t="s">
        <v>14</v>
      </c>
      <c r="C1925">
        <v>67.31</v>
      </c>
    </row>
    <row r="1926" spans="1:3" x14ac:dyDescent="0.25">
      <c r="A1926" s="2">
        <v>43542</v>
      </c>
      <c r="B1926" t="s">
        <v>14</v>
      </c>
      <c r="C1926">
        <v>66.72</v>
      </c>
    </row>
    <row r="1927" spans="1:3" x14ac:dyDescent="0.25">
      <c r="A1927" s="2">
        <v>43539</v>
      </c>
      <c r="B1927" t="s">
        <v>14</v>
      </c>
      <c r="C1927">
        <v>66.209999999999994</v>
      </c>
    </row>
    <row r="1928" spans="1:3" x14ac:dyDescent="0.25">
      <c r="A1928" s="2">
        <v>43538</v>
      </c>
      <c r="B1928" t="s">
        <v>14</v>
      </c>
      <c r="C1928">
        <v>66.099999999999994</v>
      </c>
    </row>
    <row r="1929" spans="1:3" x14ac:dyDescent="0.25">
      <c r="A1929" s="2">
        <v>43537</v>
      </c>
      <c r="B1929" t="s">
        <v>14</v>
      </c>
      <c r="C1929">
        <v>65.819999999999993</v>
      </c>
    </row>
    <row r="1930" spans="1:3" x14ac:dyDescent="0.25">
      <c r="A1930" s="2">
        <v>43536</v>
      </c>
      <c r="B1930" t="s">
        <v>14</v>
      </c>
      <c r="C1930">
        <v>65.37</v>
      </c>
    </row>
    <row r="1931" spans="1:3" x14ac:dyDescent="0.25">
      <c r="A1931" s="2">
        <v>43535</v>
      </c>
      <c r="B1931" t="s">
        <v>14</v>
      </c>
      <c r="C1931">
        <v>65.11</v>
      </c>
    </row>
    <row r="1932" spans="1:3" x14ac:dyDescent="0.25">
      <c r="A1932" s="2">
        <v>43532</v>
      </c>
      <c r="B1932" t="s">
        <v>14</v>
      </c>
      <c r="C1932">
        <v>63.7</v>
      </c>
    </row>
    <row r="1933" spans="1:3" x14ac:dyDescent="0.25">
      <c r="A1933" s="2">
        <v>43531</v>
      </c>
      <c r="B1933" t="s">
        <v>14</v>
      </c>
      <c r="C1933">
        <v>64.83</v>
      </c>
    </row>
    <row r="1934" spans="1:3" x14ac:dyDescent="0.25">
      <c r="A1934" s="2">
        <v>43530</v>
      </c>
      <c r="B1934" t="s">
        <v>14</v>
      </c>
      <c r="C1934">
        <v>64.61</v>
      </c>
    </row>
    <row r="1935" spans="1:3" x14ac:dyDescent="0.25">
      <c r="A1935" s="2">
        <v>43529</v>
      </c>
      <c r="B1935" t="s">
        <v>14</v>
      </c>
      <c r="C1935">
        <v>64.33</v>
      </c>
    </row>
    <row r="1936" spans="1:3" x14ac:dyDescent="0.25">
      <c r="A1936" s="2">
        <v>43528</v>
      </c>
      <c r="B1936" t="s">
        <v>14</v>
      </c>
      <c r="C1936">
        <v>64.52</v>
      </c>
    </row>
    <row r="1937" spans="1:3" x14ac:dyDescent="0.25">
      <c r="A1937" s="2">
        <v>43525</v>
      </c>
      <c r="B1937" t="s">
        <v>14</v>
      </c>
      <c r="C1937">
        <v>63.79</v>
      </c>
    </row>
    <row r="1938" spans="1:3" x14ac:dyDescent="0.25">
      <c r="A1938" s="2">
        <v>43524</v>
      </c>
      <c r="B1938" t="s">
        <v>14</v>
      </c>
      <c r="C1938">
        <v>65.12</v>
      </c>
    </row>
    <row r="1939" spans="1:3" x14ac:dyDescent="0.25">
      <c r="A1939" s="2">
        <v>43523</v>
      </c>
      <c r="B1939" t="s">
        <v>14</v>
      </c>
      <c r="C1939">
        <v>65.59</v>
      </c>
    </row>
    <row r="1940" spans="1:3" x14ac:dyDescent="0.25">
      <c r="A1940" s="2">
        <v>43522</v>
      </c>
      <c r="B1940" t="s">
        <v>14</v>
      </c>
      <c r="C1940">
        <v>64.27</v>
      </c>
    </row>
    <row r="1941" spans="1:3" x14ac:dyDescent="0.25">
      <c r="A1941" s="2">
        <v>43521</v>
      </c>
      <c r="B1941" t="s">
        <v>14</v>
      </c>
      <c r="C1941">
        <v>63.8</v>
      </c>
    </row>
    <row r="1942" spans="1:3" x14ac:dyDescent="0.25">
      <c r="A1942" s="2">
        <v>43518</v>
      </c>
      <c r="B1942" t="s">
        <v>14</v>
      </c>
      <c r="C1942">
        <v>66.790000000000006</v>
      </c>
    </row>
    <row r="1943" spans="1:3" x14ac:dyDescent="0.25">
      <c r="A1943" s="2">
        <v>43517</v>
      </c>
      <c r="B1943" t="s">
        <v>14</v>
      </c>
      <c r="C1943">
        <v>66.790000000000006</v>
      </c>
    </row>
    <row r="1944" spans="1:3" x14ac:dyDescent="0.25">
      <c r="A1944" s="2">
        <v>43516</v>
      </c>
      <c r="B1944" t="s">
        <v>14</v>
      </c>
      <c r="C1944">
        <v>66.709999999999994</v>
      </c>
    </row>
    <row r="1945" spans="1:3" x14ac:dyDescent="0.25">
      <c r="A1945" s="2">
        <v>43515</v>
      </c>
      <c r="B1945" t="s">
        <v>14</v>
      </c>
      <c r="C1945">
        <v>65.78</v>
      </c>
    </row>
    <row r="1946" spans="1:3" x14ac:dyDescent="0.25">
      <c r="A1946" s="2">
        <v>43514</v>
      </c>
      <c r="B1946" t="s">
        <v>14</v>
      </c>
      <c r="C1946">
        <v>66.3</v>
      </c>
    </row>
    <row r="1947" spans="1:3" x14ac:dyDescent="0.25">
      <c r="A1947" s="2">
        <v>43511</v>
      </c>
      <c r="B1947" t="s">
        <v>14</v>
      </c>
      <c r="C1947">
        <v>65.510000000000005</v>
      </c>
    </row>
    <row r="1948" spans="1:3" x14ac:dyDescent="0.25">
      <c r="A1948" s="2">
        <v>43510</v>
      </c>
      <c r="B1948" t="s">
        <v>14</v>
      </c>
      <c r="C1948">
        <v>63.92</v>
      </c>
    </row>
    <row r="1949" spans="1:3" x14ac:dyDescent="0.25">
      <c r="A1949" s="2">
        <v>43509</v>
      </c>
      <c r="B1949" t="s">
        <v>14</v>
      </c>
      <c r="C1949">
        <v>63.12</v>
      </c>
    </row>
    <row r="1950" spans="1:3" x14ac:dyDescent="0.25">
      <c r="A1950" s="2">
        <v>43508</v>
      </c>
      <c r="B1950" t="s">
        <v>14</v>
      </c>
      <c r="C1950">
        <v>62.58</v>
      </c>
    </row>
    <row r="1951" spans="1:3" x14ac:dyDescent="0.25">
      <c r="A1951" s="2">
        <v>43507</v>
      </c>
      <c r="B1951" t="s">
        <v>14</v>
      </c>
      <c r="C1951">
        <v>61.3</v>
      </c>
    </row>
    <row r="1952" spans="1:3" x14ac:dyDescent="0.25">
      <c r="A1952" s="2">
        <v>43504</v>
      </c>
      <c r="B1952" t="s">
        <v>14</v>
      </c>
      <c r="C1952">
        <v>61.37</v>
      </c>
    </row>
    <row r="1953" spans="1:3" x14ac:dyDescent="0.25">
      <c r="A1953" s="2">
        <v>43503</v>
      </c>
      <c r="B1953" t="s">
        <v>14</v>
      </c>
      <c r="C1953">
        <v>61.03</v>
      </c>
    </row>
    <row r="1954" spans="1:3" x14ac:dyDescent="0.25">
      <c r="A1954" s="2">
        <v>43502</v>
      </c>
      <c r="B1954" t="s">
        <v>14</v>
      </c>
      <c r="C1954">
        <v>62.13</v>
      </c>
    </row>
    <row r="1955" spans="1:3" x14ac:dyDescent="0.25">
      <c r="A1955" s="2">
        <v>43501</v>
      </c>
      <c r="B1955" t="s">
        <v>14</v>
      </c>
      <c r="C1955">
        <v>61.61</v>
      </c>
    </row>
    <row r="1956" spans="1:3" x14ac:dyDescent="0.25">
      <c r="A1956" s="2">
        <v>43500</v>
      </c>
      <c r="B1956" t="s">
        <v>14</v>
      </c>
      <c r="C1956">
        <v>62.33</v>
      </c>
    </row>
    <row r="1957" spans="1:3" x14ac:dyDescent="0.25">
      <c r="A1957" s="2">
        <v>43497</v>
      </c>
      <c r="B1957" t="s">
        <v>14</v>
      </c>
      <c r="C1957">
        <v>61.95</v>
      </c>
    </row>
    <row r="1958" spans="1:3" x14ac:dyDescent="0.25">
      <c r="A1958" s="2">
        <v>43496</v>
      </c>
      <c r="B1958" t="s">
        <v>14</v>
      </c>
      <c r="C1958">
        <v>62.52</v>
      </c>
    </row>
    <row r="1959" spans="1:3" x14ac:dyDescent="0.25">
      <c r="A1959" s="2">
        <v>43495</v>
      </c>
      <c r="B1959" t="s">
        <v>14</v>
      </c>
      <c r="C1959">
        <v>61.97</v>
      </c>
    </row>
    <row r="1960" spans="1:3" x14ac:dyDescent="0.25">
      <c r="A1960" s="2">
        <v>43494</v>
      </c>
      <c r="B1960" t="s">
        <v>14</v>
      </c>
      <c r="C1960">
        <v>61.11</v>
      </c>
    </row>
    <row r="1961" spans="1:3" x14ac:dyDescent="0.25">
      <c r="A1961" s="2">
        <v>43493</v>
      </c>
      <c r="B1961" t="s">
        <v>14</v>
      </c>
      <c r="C1961">
        <v>59.89</v>
      </c>
    </row>
    <row r="1962" spans="1:3" x14ac:dyDescent="0.25">
      <c r="A1962" s="2">
        <v>43490</v>
      </c>
      <c r="B1962" t="s">
        <v>14</v>
      </c>
      <c r="C1962">
        <v>61.58</v>
      </c>
    </row>
    <row r="1963" spans="1:3" x14ac:dyDescent="0.25">
      <c r="A1963" s="2">
        <v>43489</v>
      </c>
      <c r="B1963" t="s">
        <v>14</v>
      </c>
      <c r="C1963">
        <v>61.22</v>
      </c>
    </row>
    <row r="1964" spans="1:3" x14ac:dyDescent="0.25">
      <c r="A1964" s="2">
        <v>43488</v>
      </c>
      <c r="B1964" t="s">
        <v>14</v>
      </c>
      <c r="C1964">
        <v>61.16</v>
      </c>
    </row>
    <row r="1965" spans="1:3" x14ac:dyDescent="0.25">
      <c r="A1965" s="2">
        <v>43487</v>
      </c>
      <c r="B1965" t="s">
        <v>14</v>
      </c>
      <c r="C1965">
        <v>61</v>
      </c>
    </row>
    <row r="1966" spans="1:3" x14ac:dyDescent="0.25">
      <c r="A1966" s="2">
        <v>43486</v>
      </c>
      <c r="B1966" t="s">
        <v>14</v>
      </c>
      <c r="C1966">
        <v>62.03</v>
      </c>
    </row>
    <row r="1967" spans="1:3" x14ac:dyDescent="0.25">
      <c r="A1967" s="2">
        <v>43483</v>
      </c>
      <c r="B1967" t="s">
        <v>14</v>
      </c>
      <c r="C1967">
        <v>62.06</v>
      </c>
    </row>
    <row r="1968" spans="1:3" x14ac:dyDescent="0.25">
      <c r="A1968" s="2">
        <v>43482</v>
      </c>
      <c r="B1968" t="s">
        <v>14</v>
      </c>
      <c r="C1968">
        <v>59.84</v>
      </c>
    </row>
    <row r="1969" spans="1:3" x14ac:dyDescent="0.25">
      <c r="A1969" s="2">
        <v>43481</v>
      </c>
      <c r="B1969" t="s">
        <v>14</v>
      </c>
      <c r="C1969">
        <v>59.7</v>
      </c>
    </row>
    <row r="1970" spans="1:3" x14ac:dyDescent="0.25">
      <c r="A1970" s="2">
        <v>43480</v>
      </c>
      <c r="B1970" t="s">
        <v>14</v>
      </c>
      <c r="C1970">
        <v>58.6</v>
      </c>
    </row>
    <row r="1971" spans="1:3" x14ac:dyDescent="0.25">
      <c r="A1971" s="2">
        <v>43479</v>
      </c>
      <c r="B1971" t="s">
        <v>14</v>
      </c>
      <c r="C1971">
        <v>58.74</v>
      </c>
    </row>
    <row r="1972" spans="1:3" x14ac:dyDescent="0.25">
      <c r="A1972" s="2">
        <v>43476</v>
      </c>
      <c r="B1972" t="s">
        <v>14</v>
      </c>
      <c r="C1972">
        <v>59.12</v>
      </c>
    </row>
    <row r="1973" spans="1:3" x14ac:dyDescent="0.25">
      <c r="A1973" s="2">
        <v>43475</v>
      </c>
      <c r="B1973" t="s">
        <v>14</v>
      </c>
      <c r="C1973">
        <v>60.43</v>
      </c>
    </row>
    <row r="1974" spans="1:3" x14ac:dyDescent="0.25">
      <c r="A1974" s="2">
        <v>43474</v>
      </c>
      <c r="B1974" t="s">
        <v>14</v>
      </c>
      <c r="C1974">
        <v>59.39</v>
      </c>
    </row>
    <row r="1975" spans="1:3" x14ac:dyDescent="0.25">
      <c r="A1975" s="2">
        <v>43473</v>
      </c>
      <c r="B1975" t="s">
        <v>14</v>
      </c>
      <c r="C1975">
        <v>56.97</v>
      </c>
    </row>
    <row r="1976" spans="1:3" x14ac:dyDescent="0.25">
      <c r="A1976" s="2">
        <v>43472</v>
      </c>
      <c r="B1976" t="s">
        <v>14</v>
      </c>
      <c r="C1976">
        <v>57.15</v>
      </c>
    </row>
    <row r="1977" spans="1:3" x14ac:dyDescent="0.25">
      <c r="A1977" s="2">
        <v>43469</v>
      </c>
      <c r="B1977" t="s">
        <v>14</v>
      </c>
      <c r="C1977">
        <v>55.72</v>
      </c>
    </row>
    <row r="1978" spans="1:3" x14ac:dyDescent="0.25">
      <c r="A1978" s="2">
        <v>43468</v>
      </c>
      <c r="B1978" t="s">
        <v>14</v>
      </c>
      <c r="C1978">
        <v>53.36</v>
      </c>
    </row>
    <row r="1979" spans="1:3" x14ac:dyDescent="0.25">
      <c r="A1979" s="2">
        <v>43467</v>
      </c>
      <c r="B1979" t="s">
        <v>14</v>
      </c>
      <c r="C1979">
        <v>54.17</v>
      </c>
    </row>
    <row r="1980" spans="1:3" x14ac:dyDescent="0.25">
      <c r="A1980" s="2">
        <v>43466</v>
      </c>
      <c r="B1980" t="s">
        <v>14</v>
      </c>
      <c r="C1980">
        <v>50.86</v>
      </c>
    </row>
    <row r="1981" spans="1:3" x14ac:dyDescent="0.25">
      <c r="A1981" s="2">
        <v>43465</v>
      </c>
      <c r="B1981" t="s">
        <v>14</v>
      </c>
      <c r="C1981">
        <v>50.86</v>
      </c>
    </row>
    <row r="1982" spans="1:3" x14ac:dyDescent="0.25">
      <c r="A1982" s="2">
        <v>43462</v>
      </c>
      <c r="B1982" t="s">
        <v>14</v>
      </c>
      <c r="C1982">
        <v>50.86</v>
      </c>
    </row>
    <row r="1983" spans="1:3" x14ac:dyDescent="0.25">
      <c r="A1983" s="2">
        <v>43461</v>
      </c>
      <c r="B1983" t="s">
        <v>14</v>
      </c>
      <c r="C1983">
        <v>51.5</v>
      </c>
    </row>
    <row r="1984" spans="1:3" x14ac:dyDescent="0.25">
      <c r="A1984" s="2">
        <v>43460</v>
      </c>
      <c r="B1984" t="s">
        <v>14</v>
      </c>
      <c r="C1984">
        <v>51.92</v>
      </c>
    </row>
    <row r="1985" spans="1:3" x14ac:dyDescent="0.25">
      <c r="A1985" s="2">
        <v>43458</v>
      </c>
      <c r="B1985" t="s">
        <v>14</v>
      </c>
      <c r="C1985">
        <v>51.71</v>
      </c>
    </row>
    <row r="1986" spans="1:3" x14ac:dyDescent="0.25">
      <c r="A1986" s="2">
        <v>43455</v>
      </c>
      <c r="B1986" t="s">
        <v>14</v>
      </c>
      <c r="C1986">
        <v>51.92</v>
      </c>
    </row>
    <row r="1987" spans="1:3" x14ac:dyDescent="0.25">
      <c r="A1987" s="2">
        <v>43454</v>
      </c>
      <c r="B1987" t="s">
        <v>14</v>
      </c>
      <c r="C1987">
        <v>52.83</v>
      </c>
    </row>
    <row r="1988" spans="1:3" x14ac:dyDescent="0.25">
      <c r="A1988" s="2">
        <v>43453</v>
      </c>
      <c r="B1988" t="s">
        <v>14</v>
      </c>
      <c r="C1988">
        <v>55.51</v>
      </c>
    </row>
    <row r="1989" spans="1:3" x14ac:dyDescent="0.25">
      <c r="A1989" s="2">
        <v>43452</v>
      </c>
      <c r="B1989" t="s">
        <v>14</v>
      </c>
      <c r="C1989">
        <v>55.19</v>
      </c>
    </row>
    <row r="1990" spans="1:3" x14ac:dyDescent="0.25">
      <c r="A1990" s="2">
        <v>43451</v>
      </c>
      <c r="B1990" t="s">
        <v>14</v>
      </c>
      <c r="C1990">
        <v>57.41</v>
      </c>
    </row>
    <row r="1991" spans="1:3" x14ac:dyDescent="0.25">
      <c r="A1991" s="2">
        <v>43448</v>
      </c>
      <c r="B1991" t="s">
        <v>14</v>
      </c>
      <c r="C1991">
        <v>58.42</v>
      </c>
    </row>
    <row r="1992" spans="1:3" x14ac:dyDescent="0.25">
      <c r="A1992" s="2">
        <v>43447</v>
      </c>
      <c r="B1992" t="s">
        <v>14</v>
      </c>
      <c r="C1992">
        <v>58.87</v>
      </c>
    </row>
    <row r="1993" spans="1:3" x14ac:dyDescent="0.25">
      <c r="A1993" s="2">
        <v>43446</v>
      </c>
      <c r="B1993" t="s">
        <v>14</v>
      </c>
      <c r="C1993">
        <v>59.82</v>
      </c>
    </row>
    <row r="1994" spans="1:3" x14ac:dyDescent="0.25">
      <c r="A1994" s="2">
        <v>43445</v>
      </c>
      <c r="B1994" t="s">
        <v>14</v>
      </c>
      <c r="C1994">
        <v>59.62</v>
      </c>
    </row>
    <row r="1995" spans="1:3" x14ac:dyDescent="0.25">
      <c r="A1995" s="2">
        <v>43444</v>
      </c>
      <c r="B1995" t="s">
        <v>14</v>
      </c>
      <c r="C1995">
        <v>60.22</v>
      </c>
    </row>
    <row r="1996" spans="1:3" x14ac:dyDescent="0.25">
      <c r="A1996" s="2">
        <v>43441</v>
      </c>
      <c r="B1996" t="s">
        <v>14</v>
      </c>
      <c r="C1996">
        <v>61.48</v>
      </c>
    </row>
    <row r="1997" spans="1:3" x14ac:dyDescent="0.25">
      <c r="A1997" s="2">
        <v>43440</v>
      </c>
      <c r="B1997" t="s">
        <v>14</v>
      </c>
      <c r="C1997">
        <v>57.8</v>
      </c>
    </row>
    <row r="1998" spans="1:3" x14ac:dyDescent="0.25">
      <c r="A1998" s="2">
        <v>43439</v>
      </c>
      <c r="B1998" t="s">
        <v>14</v>
      </c>
      <c r="C1998">
        <v>61.29</v>
      </c>
    </row>
    <row r="1999" spans="1:3" x14ac:dyDescent="0.25">
      <c r="A1999" s="2">
        <v>43438</v>
      </c>
      <c r="B1999" t="s">
        <v>14</v>
      </c>
      <c r="C1999">
        <v>61.16</v>
      </c>
    </row>
    <row r="2000" spans="1:3" x14ac:dyDescent="0.25">
      <c r="A2000" s="2">
        <v>43437</v>
      </c>
      <c r="B2000" t="s">
        <v>14</v>
      </c>
      <c r="C2000">
        <v>60.16</v>
      </c>
    </row>
    <row r="2001" spans="1:3" x14ac:dyDescent="0.25">
      <c r="A2001" s="2">
        <v>43434</v>
      </c>
      <c r="B2001" t="s">
        <v>14</v>
      </c>
      <c r="C2001">
        <v>57.75</v>
      </c>
    </row>
    <row r="2002" spans="1:3" x14ac:dyDescent="0.25">
      <c r="A2002" s="2">
        <v>43433</v>
      </c>
      <c r="B2002" t="s">
        <v>14</v>
      </c>
      <c r="C2002">
        <v>58.13</v>
      </c>
    </row>
    <row r="2003" spans="1:3" x14ac:dyDescent="0.25">
      <c r="A2003" s="2">
        <v>43432</v>
      </c>
      <c r="B2003" t="s">
        <v>14</v>
      </c>
      <c r="C2003">
        <v>57.83</v>
      </c>
    </row>
    <row r="2004" spans="1:3" x14ac:dyDescent="0.25">
      <c r="A2004" s="2">
        <v>43431</v>
      </c>
      <c r="B2004" t="s">
        <v>14</v>
      </c>
      <c r="C2004">
        <v>59.35</v>
      </c>
    </row>
    <row r="2005" spans="1:3" x14ac:dyDescent="0.25">
      <c r="A2005" s="2">
        <v>43430</v>
      </c>
      <c r="B2005" t="s">
        <v>14</v>
      </c>
      <c r="C2005">
        <v>59.63</v>
      </c>
    </row>
    <row r="2006" spans="1:3" x14ac:dyDescent="0.25">
      <c r="A2006" s="2">
        <v>43427</v>
      </c>
      <c r="B2006" t="s">
        <v>14</v>
      </c>
      <c r="C2006">
        <v>57.67</v>
      </c>
    </row>
    <row r="2007" spans="1:3" x14ac:dyDescent="0.25">
      <c r="A2007" s="2">
        <v>43426</v>
      </c>
      <c r="B2007" t="s">
        <v>14</v>
      </c>
      <c r="C2007">
        <v>60.91</v>
      </c>
    </row>
    <row r="2008" spans="1:3" x14ac:dyDescent="0.25">
      <c r="A2008" s="2">
        <v>43425</v>
      </c>
      <c r="B2008" t="s">
        <v>14</v>
      </c>
      <c r="C2008">
        <v>61.31</v>
      </c>
    </row>
    <row r="2009" spans="1:3" x14ac:dyDescent="0.25">
      <c r="A2009" s="2">
        <v>43424</v>
      </c>
      <c r="B2009" t="s">
        <v>14</v>
      </c>
      <c r="C2009">
        <v>61</v>
      </c>
    </row>
    <row r="2010" spans="1:3" x14ac:dyDescent="0.25">
      <c r="A2010" s="2">
        <v>43423</v>
      </c>
      <c r="B2010" t="s">
        <v>14</v>
      </c>
      <c r="C2010">
        <v>63.47</v>
      </c>
    </row>
    <row r="2011" spans="1:3" x14ac:dyDescent="0.25">
      <c r="A2011" s="2">
        <v>43420</v>
      </c>
      <c r="B2011" t="s">
        <v>14</v>
      </c>
      <c r="C2011">
        <v>64.58</v>
      </c>
    </row>
    <row r="2012" spans="1:3" x14ac:dyDescent="0.25">
      <c r="A2012" s="2">
        <v>43419</v>
      </c>
      <c r="B2012" t="s">
        <v>14</v>
      </c>
      <c r="C2012">
        <v>65.06</v>
      </c>
    </row>
    <row r="2013" spans="1:3" x14ac:dyDescent="0.25">
      <c r="A2013" s="2">
        <v>43418</v>
      </c>
      <c r="B2013" t="s">
        <v>14</v>
      </c>
      <c r="C2013">
        <v>64.37</v>
      </c>
    </row>
    <row r="2014" spans="1:3" x14ac:dyDescent="0.25">
      <c r="A2014" s="2">
        <v>43417</v>
      </c>
      <c r="B2014" t="s">
        <v>14</v>
      </c>
      <c r="C2014">
        <v>64.83</v>
      </c>
    </row>
    <row r="2015" spans="1:3" x14ac:dyDescent="0.25">
      <c r="A2015" s="2">
        <v>43416</v>
      </c>
      <c r="B2015" t="s">
        <v>14</v>
      </c>
      <c r="C2015">
        <v>68.92</v>
      </c>
    </row>
    <row r="2016" spans="1:3" x14ac:dyDescent="0.25">
      <c r="A2016" s="2">
        <v>43413</v>
      </c>
      <c r="B2016" t="s">
        <v>14</v>
      </c>
      <c r="C2016">
        <v>68.12</v>
      </c>
    </row>
    <row r="2017" spans="1:3" x14ac:dyDescent="0.25">
      <c r="A2017" s="2">
        <v>43412</v>
      </c>
      <c r="B2017" t="s">
        <v>14</v>
      </c>
      <c r="C2017">
        <v>68.430000000000007</v>
      </c>
    </row>
    <row r="2018" spans="1:3" x14ac:dyDescent="0.25">
      <c r="A2018" s="2">
        <v>43411</v>
      </c>
      <c r="B2018" t="s">
        <v>14</v>
      </c>
      <c r="C2018">
        <v>69.400000000000006</v>
      </c>
    </row>
    <row r="2019" spans="1:3" x14ac:dyDescent="0.25">
      <c r="A2019" s="2">
        <v>43410</v>
      </c>
      <c r="B2019" t="s">
        <v>14</v>
      </c>
      <c r="C2019">
        <v>70.010000000000005</v>
      </c>
    </row>
    <row r="2020" spans="1:3" x14ac:dyDescent="0.25">
      <c r="A2020" s="2">
        <v>43409</v>
      </c>
      <c r="B2020" t="s">
        <v>14</v>
      </c>
      <c r="C2020">
        <v>72.099999999999994</v>
      </c>
    </row>
    <row r="2021" spans="1:3" x14ac:dyDescent="0.25">
      <c r="A2021" s="2">
        <v>43406</v>
      </c>
      <c r="B2021" t="s">
        <v>14</v>
      </c>
      <c r="C2021">
        <v>70.63</v>
      </c>
    </row>
    <row r="2022" spans="1:3" x14ac:dyDescent="0.25">
      <c r="A2022" s="2">
        <v>43405</v>
      </c>
      <c r="B2022" t="s">
        <v>14</v>
      </c>
      <c r="C2022">
        <v>70.760000000000005</v>
      </c>
    </row>
    <row r="2023" spans="1:3" x14ac:dyDescent="0.25">
      <c r="A2023" s="2">
        <v>43404</v>
      </c>
      <c r="B2023" t="s">
        <v>14</v>
      </c>
      <c r="C2023">
        <v>74.17</v>
      </c>
    </row>
    <row r="2024" spans="1:3" x14ac:dyDescent="0.25">
      <c r="A2024" s="2">
        <v>43403</v>
      </c>
      <c r="B2024" t="s">
        <v>14</v>
      </c>
      <c r="C2024">
        <v>75.36</v>
      </c>
    </row>
    <row r="2025" spans="1:3" x14ac:dyDescent="0.25">
      <c r="A2025" s="2">
        <v>43402</v>
      </c>
      <c r="B2025" t="s">
        <v>14</v>
      </c>
      <c r="C2025">
        <v>77.14</v>
      </c>
    </row>
    <row r="2026" spans="1:3" x14ac:dyDescent="0.25">
      <c r="A2026" s="2">
        <v>43399</v>
      </c>
      <c r="B2026" t="s">
        <v>14</v>
      </c>
      <c r="C2026">
        <v>76.989999999999995</v>
      </c>
    </row>
    <row r="2027" spans="1:3" x14ac:dyDescent="0.25">
      <c r="A2027" s="2">
        <v>43398</v>
      </c>
      <c r="B2027" t="s">
        <v>14</v>
      </c>
      <c r="C2027">
        <v>76.900000000000006</v>
      </c>
    </row>
    <row r="2028" spans="1:3" x14ac:dyDescent="0.25">
      <c r="A2028" s="2">
        <v>43397</v>
      </c>
      <c r="B2028" t="s">
        <v>14</v>
      </c>
      <c r="C2028">
        <v>76.930000000000007</v>
      </c>
    </row>
    <row r="2029" spans="1:3" x14ac:dyDescent="0.25">
      <c r="A2029" s="2">
        <v>43396</v>
      </c>
      <c r="B2029" t="s">
        <v>14</v>
      </c>
      <c r="C2029">
        <v>78.38</v>
      </c>
    </row>
    <row r="2030" spans="1:3" x14ac:dyDescent="0.25">
      <c r="A2030" s="2">
        <v>43395</v>
      </c>
      <c r="B2030" t="s">
        <v>14</v>
      </c>
      <c r="C2030">
        <v>80.02</v>
      </c>
    </row>
    <row r="2031" spans="1:3" x14ac:dyDescent="0.25">
      <c r="A2031" s="2">
        <v>43392</v>
      </c>
      <c r="B2031" t="s">
        <v>14</v>
      </c>
      <c r="C2031">
        <v>80.094999999999999</v>
      </c>
    </row>
    <row r="2032" spans="1:3" x14ac:dyDescent="0.25">
      <c r="A2032" s="2">
        <v>43391</v>
      </c>
      <c r="B2032" t="s">
        <v>14</v>
      </c>
      <c r="C2032">
        <v>80.02</v>
      </c>
    </row>
    <row r="2033" spans="1:3" x14ac:dyDescent="0.25">
      <c r="A2033" s="2">
        <v>43390</v>
      </c>
      <c r="B2033" t="s">
        <v>14</v>
      </c>
      <c r="C2033">
        <v>79.66</v>
      </c>
    </row>
    <row r="2034" spans="1:3" x14ac:dyDescent="0.25">
      <c r="A2034" s="2">
        <v>43389</v>
      </c>
      <c r="B2034" t="s">
        <v>14</v>
      </c>
      <c r="C2034">
        <v>80.185000000000002</v>
      </c>
    </row>
    <row r="2035" spans="1:3" x14ac:dyDescent="0.25">
      <c r="A2035" s="2">
        <v>43388</v>
      </c>
      <c r="B2035" t="s">
        <v>14</v>
      </c>
      <c r="C2035">
        <v>80.53</v>
      </c>
    </row>
    <row r="2036" spans="1:3" x14ac:dyDescent="0.25">
      <c r="A2036" s="2">
        <v>43385</v>
      </c>
      <c r="B2036" t="s">
        <v>14</v>
      </c>
      <c r="C2036">
        <v>80.180000000000007</v>
      </c>
    </row>
    <row r="2037" spans="1:3" x14ac:dyDescent="0.25">
      <c r="A2037" s="2">
        <v>43384</v>
      </c>
      <c r="B2037" t="s">
        <v>14</v>
      </c>
      <c r="C2037">
        <v>80.614999999999995</v>
      </c>
    </row>
    <row r="2038" spans="1:3" x14ac:dyDescent="0.25">
      <c r="A2038" s="2">
        <v>43383</v>
      </c>
      <c r="B2038" t="s">
        <v>14</v>
      </c>
      <c r="C2038">
        <v>82.89</v>
      </c>
    </row>
    <row r="2039" spans="1:3" x14ac:dyDescent="0.25">
      <c r="A2039" s="2">
        <v>43382</v>
      </c>
      <c r="B2039" t="s">
        <v>14</v>
      </c>
      <c r="C2039">
        <v>84.12</v>
      </c>
    </row>
    <row r="2040" spans="1:3" x14ac:dyDescent="0.25">
      <c r="A2040" s="2">
        <v>43381</v>
      </c>
      <c r="B2040" t="s">
        <v>14</v>
      </c>
      <c r="C2040">
        <v>83.254999999999995</v>
      </c>
    </row>
    <row r="2041" spans="1:3" x14ac:dyDescent="0.25">
      <c r="A2041" s="2">
        <v>43378</v>
      </c>
      <c r="B2041" t="s">
        <v>14</v>
      </c>
      <c r="C2041">
        <v>84.084999999999994</v>
      </c>
    </row>
    <row r="2042" spans="1:3" x14ac:dyDescent="0.25">
      <c r="A2042" s="2">
        <v>43377</v>
      </c>
      <c r="B2042" t="s">
        <v>14</v>
      </c>
      <c r="C2042">
        <v>84.96</v>
      </c>
    </row>
    <row r="2043" spans="1:3" x14ac:dyDescent="0.25">
      <c r="A2043" s="2">
        <v>43376</v>
      </c>
      <c r="B2043" t="s">
        <v>14</v>
      </c>
      <c r="C2043">
        <v>84.39</v>
      </c>
    </row>
    <row r="2044" spans="1:3" x14ac:dyDescent="0.25">
      <c r="A2044" s="2">
        <v>43375</v>
      </c>
      <c r="B2044" t="s">
        <v>14</v>
      </c>
      <c r="C2044">
        <v>84.555000000000007</v>
      </c>
    </row>
    <row r="2045" spans="1:3" x14ac:dyDescent="0.25">
      <c r="A2045" s="2">
        <v>43374</v>
      </c>
      <c r="B2045" t="s">
        <v>14</v>
      </c>
      <c r="C2045">
        <v>83.92</v>
      </c>
    </row>
    <row r="2046" spans="1:3" x14ac:dyDescent="0.25">
      <c r="A2046" s="2">
        <v>43371</v>
      </c>
      <c r="B2046" t="s">
        <v>14</v>
      </c>
      <c r="C2046">
        <v>81.83</v>
      </c>
    </row>
    <row r="2047" spans="1:3" x14ac:dyDescent="0.25">
      <c r="A2047" s="2">
        <v>43370</v>
      </c>
      <c r="B2047" t="s">
        <v>14</v>
      </c>
      <c r="C2047">
        <v>80.745000000000005</v>
      </c>
    </row>
    <row r="2048" spans="1:3" x14ac:dyDescent="0.25">
      <c r="A2048" s="2">
        <v>43369</v>
      </c>
      <c r="B2048" t="s">
        <v>14</v>
      </c>
      <c r="C2048">
        <v>81.05</v>
      </c>
    </row>
    <row r="2049" spans="1:3" x14ac:dyDescent="0.25">
      <c r="A2049" s="2">
        <v>43368</v>
      </c>
      <c r="B2049" t="s">
        <v>14</v>
      </c>
      <c r="C2049">
        <v>81.36</v>
      </c>
    </row>
    <row r="2050" spans="1:3" x14ac:dyDescent="0.25">
      <c r="A2050" s="2">
        <v>43367</v>
      </c>
      <c r="B2050" t="s">
        <v>14</v>
      </c>
      <c r="C2050">
        <v>80.150000000000006</v>
      </c>
    </row>
    <row r="2051" spans="1:3" x14ac:dyDescent="0.25">
      <c r="A2051" s="2">
        <v>43364</v>
      </c>
      <c r="B2051" t="s">
        <v>14</v>
      </c>
      <c r="C2051">
        <v>78.260000000000005</v>
      </c>
    </row>
    <row r="2052" spans="1:3" x14ac:dyDescent="0.25">
      <c r="A2052" s="2">
        <v>43363</v>
      </c>
      <c r="B2052" t="s">
        <v>14</v>
      </c>
      <c r="C2052">
        <v>78.36</v>
      </c>
    </row>
    <row r="2053" spans="1:3" x14ac:dyDescent="0.25">
      <c r="A2053" s="2">
        <v>43362</v>
      </c>
      <c r="B2053" t="s">
        <v>14</v>
      </c>
      <c r="C2053">
        <v>78.760000000000005</v>
      </c>
    </row>
    <row r="2054" spans="1:3" x14ac:dyDescent="0.25">
      <c r="A2054" s="2">
        <v>43361</v>
      </c>
      <c r="B2054" t="s">
        <v>14</v>
      </c>
      <c r="C2054">
        <v>78.55</v>
      </c>
    </row>
    <row r="2055" spans="1:3" x14ac:dyDescent="0.25">
      <c r="A2055" s="2">
        <v>43360</v>
      </c>
      <c r="B2055" t="s">
        <v>14</v>
      </c>
      <c r="C2055">
        <v>77.540000000000006</v>
      </c>
    </row>
    <row r="2056" spans="1:3" x14ac:dyDescent="0.25">
      <c r="A2056" s="2">
        <v>43357</v>
      </c>
      <c r="B2056" t="s">
        <v>14</v>
      </c>
      <c r="C2056">
        <v>76.864999999999995</v>
      </c>
    </row>
    <row r="2057" spans="1:3" x14ac:dyDescent="0.25">
      <c r="A2057" s="2">
        <v>43356</v>
      </c>
      <c r="B2057" t="s">
        <v>14</v>
      </c>
      <c r="C2057">
        <v>76.67</v>
      </c>
    </row>
    <row r="2058" spans="1:3" x14ac:dyDescent="0.25">
      <c r="A2058" s="2">
        <v>43355</v>
      </c>
      <c r="B2058" t="s">
        <v>14</v>
      </c>
      <c r="C2058">
        <v>78.84</v>
      </c>
    </row>
    <row r="2059" spans="1:3" x14ac:dyDescent="0.25">
      <c r="A2059" s="2">
        <v>43354</v>
      </c>
      <c r="B2059" t="s">
        <v>14</v>
      </c>
      <c r="C2059">
        <v>77.185000000000002</v>
      </c>
    </row>
    <row r="2060" spans="1:3" x14ac:dyDescent="0.25">
      <c r="A2060" s="2">
        <v>43353</v>
      </c>
      <c r="B2060" t="s">
        <v>14</v>
      </c>
      <c r="C2060">
        <v>75.855000000000004</v>
      </c>
    </row>
    <row r="2061" spans="1:3" x14ac:dyDescent="0.25">
      <c r="A2061" s="2">
        <v>43350</v>
      </c>
      <c r="B2061" t="s">
        <v>14</v>
      </c>
      <c r="C2061">
        <v>74.709999999999994</v>
      </c>
    </row>
    <row r="2062" spans="1:3" x14ac:dyDescent="0.25">
      <c r="A2062" s="2">
        <v>43349</v>
      </c>
      <c r="B2062" t="s">
        <v>14</v>
      </c>
      <c r="C2062">
        <v>74.83</v>
      </c>
    </row>
    <row r="2063" spans="1:3" x14ac:dyDescent="0.25">
      <c r="A2063" s="2">
        <v>43348</v>
      </c>
      <c r="B2063" t="s">
        <v>14</v>
      </c>
      <c r="C2063">
        <v>75.77</v>
      </c>
    </row>
    <row r="2064" spans="1:3" x14ac:dyDescent="0.25">
      <c r="A2064" s="2">
        <v>43347</v>
      </c>
      <c r="B2064" t="s">
        <v>14</v>
      </c>
      <c r="C2064">
        <v>76.534999999999997</v>
      </c>
    </row>
    <row r="2065" spans="1:3" x14ac:dyDescent="0.25">
      <c r="A2065" s="2">
        <v>43346</v>
      </c>
      <c r="B2065" t="s">
        <v>14</v>
      </c>
      <c r="C2065">
        <v>76.81</v>
      </c>
    </row>
    <row r="2066" spans="1:3" x14ac:dyDescent="0.25">
      <c r="A2066" s="2">
        <v>43343</v>
      </c>
      <c r="B2066" t="s">
        <v>14</v>
      </c>
      <c r="C2066">
        <v>76.010000000000005</v>
      </c>
    </row>
    <row r="2067" spans="1:3" x14ac:dyDescent="0.25">
      <c r="A2067" s="2">
        <v>43342</v>
      </c>
      <c r="B2067" t="s">
        <v>14</v>
      </c>
      <c r="C2067">
        <v>76.064999999999998</v>
      </c>
    </row>
    <row r="2068" spans="1:3" x14ac:dyDescent="0.25">
      <c r="A2068" s="2">
        <v>43341</v>
      </c>
      <c r="B2068" t="s">
        <v>14</v>
      </c>
      <c r="C2068">
        <v>74.83</v>
      </c>
    </row>
    <row r="2069" spans="1:3" x14ac:dyDescent="0.25">
      <c r="A2069" s="2">
        <v>43340</v>
      </c>
      <c r="B2069" t="s">
        <v>14</v>
      </c>
      <c r="C2069">
        <v>75.015000000000001</v>
      </c>
    </row>
    <row r="2070" spans="1:3" x14ac:dyDescent="0.25">
      <c r="A2070" s="2">
        <v>43336</v>
      </c>
      <c r="B2070" t="s">
        <v>14</v>
      </c>
      <c r="C2070">
        <v>73.459999999999994</v>
      </c>
    </row>
    <row r="2071" spans="1:3" x14ac:dyDescent="0.25">
      <c r="A2071" s="2">
        <v>43335</v>
      </c>
      <c r="B2071" t="s">
        <v>14</v>
      </c>
      <c r="C2071">
        <v>72.92</v>
      </c>
    </row>
    <row r="2072" spans="1:3" x14ac:dyDescent="0.25">
      <c r="A2072" s="2">
        <v>43334</v>
      </c>
      <c r="B2072" t="s">
        <v>14</v>
      </c>
      <c r="C2072">
        <v>72.03</v>
      </c>
    </row>
    <row r="2073" spans="1:3" x14ac:dyDescent="0.25">
      <c r="A2073" s="2">
        <v>43333</v>
      </c>
      <c r="B2073" t="s">
        <v>14</v>
      </c>
      <c r="C2073">
        <v>70.790000000000006</v>
      </c>
    </row>
    <row r="2074" spans="1:3" x14ac:dyDescent="0.25">
      <c r="A2074" s="2">
        <v>43332</v>
      </c>
      <c r="B2074" t="s">
        <v>14</v>
      </c>
      <c r="C2074">
        <v>70.28</v>
      </c>
    </row>
    <row r="2075" spans="1:3" x14ac:dyDescent="0.25">
      <c r="A2075" s="2">
        <v>43329</v>
      </c>
      <c r="B2075" t="s">
        <v>14</v>
      </c>
      <c r="C2075">
        <v>69.36</v>
      </c>
    </row>
    <row r="2076" spans="1:3" x14ac:dyDescent="0.25">
      <c r="A2076" s="2">
        <v>43328</v>
      </c>
      <c r="B2076" t="s">
        <v>14</v>
      </c>
      <c r="C2076">
        <v>68.47</v>
      </c>
    </row>
    <row r="2077" spans="1:3" x14ac:dyDescent="0.25">
      <c r="A2077" s="2">
        <v>43327</v>
      </c>
      <c r="B2077" t="s">
        <v>14</v>
      </c>
      <c r="C2077">
        <v>67.69</v>
      </c>
    </row>
    <row r="2078" spans="1:3" x14ac:dyDescent="0.25">
      <c r="A2078" s="2">
        <v>43326</v>
      </c>
      <c r="B2078" t="s">
        <v>14</v>
      </c>
      <c r="C2078">
        <v>69.959999999999994</v>
      </c>
    </row>
    <row r="2079" spans="1:3" x14ac:dyDescent="0.25">
      <c r="A2079" s="2">
        <v>43325</v>
      </c>
      <c r="B2079" t="s">
        <v>14</v>
      </c>
      <c r="C2079">
        <v>69.81</v>
      </c>
    </row>
    <row r="2080" spans="1:3" x14ac:dyDescent="0.25">
      <c r="A2080" s="2">
        <v>43322</v>
      </c>
      <c r="B2080" t="s">
        <v>14</v>
      </c>
      <c r="C2080">
        <v>70.17</v>
      </c>
    </row>
    <row r="2081" spans="1:3" x14ac:dyDescent="0.25">
      <c r="A2081" s="2">
        <v>43321</v>
      </c>
      <c r="B2081" t="s">
        <v>14</v>
      </c>
      <c r="C2081">
        <v>69.75</v>
      </c>
    </row>
    <row r="2082" spans="1:3" x14ac:dyDescent="0.25">
      <c r="A2082" s="2">
        <v>43320</v>
      </c>
      <c r="B2082" t="s">
        <v>14</v>
      </c>
      <c r="C2082">
        <v>69.98</v>
      </c>
    </row>
    <row r="2083" spans="1:3" x14ac:dyDescent="0.25">
      <c r="A2083" s="2">
        <v>43319</v>
      </c>
      <c r="B2083" t="s">
        <v>14</v>
      </c>
      <c r="C2083">
        <v>71.489999999999995</v>
      </c>
    </row>
    <row r="2084" spans="1:3" x14ac:dyDescent="0.25">
      <c r="A2084" s="2">
        <v>43318</v>
      </c>
      <c r="B2084" t="s">
        <v>14</v>
      </c>
      <c r="C2084">
        <v>71.680000000000007</v>
      </c>
    </row>
    <row r="2085" spans="1:3" x14ac:dyDescent="0.25">
      <c r="A2085" s="2">
        <v>43315</v>
      </c>
      <c r="B2085" t="s">
        <v>14</v>
      </c>
      <c r="C2085">
        <v>71.819999999999993</v>
      </c>
    </row>
    <row r="2086" spans="1:3" x14ac:dyDescent="0.25">
      <c r="A2086" s="2">
        <v>43314</v>
      </c>
      <c r="B2086" t="s">
        <v>14</v>
      </c>
      <c r="C2086">
        <v>72.59</v>
      </c>
    </row>
    <row r="2087" spans="1:3" x14ac:dyDescent="0.25">
      <c r="A2087" s="2">
        <v>43313</v>
      </c>
      <c r="B2087" t="s">
        <v>14</v>
      </c>
      <c r="C2087">
        <v>72.010000000000005</v>
      </c>
    </row>
    <row r="2088" spans="1:3" x14ac:dyDescent="0.25">
      <c r="A2088" s="2">
        <v>43312</v>
      </c>
      <c r="B2088" t="s">
        <v>14</v>
      </c>
      <c r="C2088">
        <v>73.790000000000006</v>
      </c>
    </row>
    <row r="2089" spans="1:3" x14ac:dyDescent="0.25">
      <c r="A2089" s="2">
        <v>43311</v>
      </c>
      <c r="B2089" t="s">
        <v>14</v>
      </c>
      <c r="C2089">
        <v>74.58</v>
      </c>
    </row>
    <row r="2090" spans="1:3" x14ac:dyDescent="0.25">
      <c r="A2090" s="2">
        <v>43308</v>
      </c>
      <c r="B2090" t="s">
        <v>14</v>
      </c>
      <c r="C2090">
        <v>74.44</v>
      </c>
    </row>
    <row r="2091" spans="1:3" x14ac:dyDescent="0.25">
      <c r="A2091" s="2">
        <v>43307</v>
      </c>
      <c r="B2091" t="s">
        <v>14</v>
      </c>
      <c r="C2091">
        <v>74.13</v>
      </c>
    </row>
    <row r="2092" spans="1:3" x14ac:dyDescent="0.25">
      <c r="A2092" s="2">
        <v>43306</v>
      </c>
      <c r="B2092" t="s">
        <v>14</v>
      </c>
      <c r="C2092">
        <v>73.33</v>
      </c>
    </row>
    <row r="2093" spans="1:3" x14ac:dyDescent="0.25">
      <c r="A2093" s="2">
        <v>43305</v>
      </c>
      <c r="B2093" t="s">
        <v>14</v>
      </c>
      <c r="C2093">
        <v>73.16</v>
      </c>
    </row>
    <row r="2094" spans="1:3" x14ac:dyDescent="0.25">
      <c r="A2094" s="2">
        <v>43304</v>
      </c>
      <c r="B2094" t="s">
        <v>14</v>
      </c>
      <c r="C2094">
        <v>72.95</v>
      </c>
    </row>
    <row r="2095" spans="1:3" x14ac:dyDescent="0.25">
      <c r="A2095" s="2">
        <v>43301</v>
      </c>
      <c r="B2095" t="s">
        <v>14</v>
      </c>
      <c r="C2095">
        <v>71.430000000000007</v>
      </c>
    </row>
    <row r="2096" spans="1:3" x14ac:dyDescent="0.25">
      <c r="A2096" s="2">
        <v>43300</v>
      </c>
      <c r="B2096" t="s">
        <v>14</v>
      </c>
      <c r="C2096">
        <v>71.260000000000005</v>
      </c>
    </row>
    <row r="2097" spans="1:3" x14ac:dyDescent="0.25">
      <c r="A2097" s="2">
        <v>43299</v>
      </c>
      <c r="B2097" t="s">
        <v>14</v>
      </c>
      <c r="C2097">
        <v>69.92</v>
      </c>
    </row>
    <row r="2098" spans="1:3" x14ac:dyDescent="0.25">
      <c r="A2098" s="2">
        <v>43298</v>
      </c>
      <c r="B2098" t="s">
        <v>14</v>
      </c>
      <c r="C2098">
        <v>70.25</v>
      </c>
    </row>
    <row r="2099" spans="1:3" x14ac:dyDescent="0.25">
      <c r="A2099" s="2">
        <v>43297</v>
      </c>
      <c r="B2099" t="s">
        <v>14</v>
      </c>
      <c r="C2099">
        <v>70.400000000000006</v>
      </c>
    </row>
    <row r="2100" spans="1:3" x14ac:dyDescent="0.25">
      <c r="A2100" s="2">
        <v>43294</v>
      </c>
      <c r="B2100" t="s">
        <v>14</v>
      </c>
      <c r="C2100">
        <v>73.27</v>
      </c>
    </row>
    <row r="2101" spans="1:3" x14ac:dyDescent="0.25">
      <c r="A2101" s="2">
        <v>43293</v>
      </c>
      <c r="B2101" t="s">
        <v>14</v>
      </c>
      <c r="C2101">
        <v>71.45</v>
      </c>
    </row>
    <row r="2102" spans="1:3" x14ac:dyDescent="0.25">
      <c r="A2102" s="2">
        <v>43292</v>
      </c>
      <c r="B2102" t="s">
        <v>14</v>
      </c>
      <c r="C2102">
        <v>74.45</v>
      </c>
    </row>
    <row r="2103" spans="1:3" x14ac:dyDescent="0.25">
      <c r="A2103" s="2">
        <v>43291</v>
      </c>
      <c r="B2103" t="s">
        <v>14</v>
      </c>
      <c r="C2103">
        <v>76.754999999999995</v>
      </c>
    </row>
    <row r="2104" spans="1:3" x14ac:dyDescent="0.25">
      <c r="A2104" s="2">
        <v>43290</v>
      </c>
      <c r="B2104" t="s">
        <v>14</v>
      </c>
      <c r="C2104">
        <v>76.09</v>
      </c>
    </row>
    <row r="2105" spans="1:3" x14ac:dyDescent="0.25">
      <c r="A2105" s="2">
        <v>43287</v>
      </c>
      <c r="B2105" t="s">
        <v>14</v>
      </c>
      <c r="C2105">
        <v>74.05</v>
      </c>
    </row>
    <row r="2106" spans="1:3" x14ac:dyDescent="0.25">
      <c r="A2106" s="2">
        <v>43286</v>
      </c>
      <c r="B2106" t="s">
        <v>14</v>
      </c>
      <c r="C2106">
        <v>76.099999999999994</v>
      </c>
    </row>
    <row r="2107" spans="1:3" x14ac:dyDescent="0.25">
      <c r="A2107" s="2">
        <v>43285</v>
      </c>
      <c r="B2107" t="s">
        <v>14</v>
      </c>
      <c r="C2107">
        <v>76.010000000000005</v>
      </c>
    </row>
    <row r="2108" spans="1:3" x14ac:dyDescent="0.25">
      <c r="A2108" s="2">
        <v>43284</v>
      </c>
      <c r="B2108" t="s">
        <v>14</v>
      </c>
      <c r="C2108">
        <v>74.98</v>
      </c>
    </row>
    <row r="2109" spans="1:3" x14ac:dyDescent="0.25">
      <c r="A2109" s="2">
        <v>43283</v>
      </c>
      <c r="B2109" t="s">
        <v>14</v>
      </c>
      <c r="C2109">
        <v>75.75</v>
      </c>
    </row>
    <row r="2110" spans="1:3" x14ac:dyDescent="0.25">
      <c r="A2110" s="2">
        <v>43280</v>
      </c>
      <c r="B2110" t="s">
        <v>14</v>
      </c>
      <c r="C2110">
        <v>76.33</v>
      </c>
    </row>
    <row r="2111" spans="1:3" x14ac:dyDescent="0.25">
      <c r="A2111" s="2">
        <v>43279</v>
      </c>
      <c r="B2111" t="s">
        <v>14</v>
      </c>
      <c r="C2111">
        <v>75.209999999999994</v>
      </c>
    </row>
    <row r="2112" spans="1:3" x14ac:dyDescent="0.25">
      <c r="A2112" s="2">
        <v>43278</v>
      </c>
      <c r="B2112" t="s">
        <v>14</v>
      </c>
      <c r="C2112">
        <v>75.05</v>
      </c>
    </row>
    <row r="2113" spans="1:3" x14ac:dyDescent="0.25">
      <c r="A2113" s="2">
        <v>43277</v>
      </c>
      <c r="B2113" t="s">
        <v>14</v>
      </c>
      <c r="C2113">
        <v>72.72</v>
      </c>
    </row>
    <row r="2114" spans="1:3" x14ac:dyDescent="0.25">
      <c r="A2114" s="2">
        <v>43276</v>
      </c>
      <c r="B2114" t="s">
        <v>14</v>
      </c>
      <c r="C2114">
        <v>72.150000000000006</v>
      </c>
    </row>
    <row r="2115" spans="1:3" x14ac:dyDescent="0.25">
      <c r="A2115" s="2">
        <v>43273</v>
      </c>
      <c r="B2115" t="s">
        <v>14</v>
      </c>
      <c r="C2115">
        <v>72.954999999999998</v>
      </c>
    </row>
    <row r="2116" spans="1:3" x14ac:dyDescent="0.25">
      <c r="A2116" s="2">
        <v>43272</v>
      </c>
      <c r="B2116" t="s">
        <v>14</v>
      </c>
      <c r="C2116">
        <v>72.22</v>
      </c>
    </row>
    <row r="2117" spans="1:3" x14ac:dyDescent="0.25">
      <c r="A2117" s="2">
        <v>43271</v>
      </c>
      <c r="B2117" t="s">
        <v>14</v>
      </c>
      <c r="C2117">
        <v>73.489999999999995</v>
      </c>
    </row>
    <row r="2118" spans="1:3" x14ac:dyDescent="0.25">
      <c r="A2118" s="2">
        <v>43270</v>
      </c>
      <c r="B2118" t="s">
        <v>14</v>
      </c>
      <c r="C2118">
        <v>74.105000000000004</v>
      </c>
    </row>
    <row r="2119" spans="1:3" x14ac:dyDescent="0.25">
      <c r="A2119" s="2">
        <v>43269</v>
      </c>
      <c r="B2119" t="s">
        <v>14</v>
      </c>
      <c r="C2119">
        <v>74.06</v>
      </c>
    </row>
    <row r="2120" spans="1:3" x14ac:dyDescent="0.25">
      <c r="A2120" s="2">
        <v>43266</v>
      </c>
      <c r="B2120" t="s">
        <v>14</v>
      </c>
      <c r="C2120">
        <v>71.44</v>
      </c>
    </row>
    <row r="2121" spans="1:3" x14ac:dyDescent="0.25">
      <c r="A2121" s="2">
        <v>43265</v>
      </c>
      <c r="B2121" t="s">
        <v>14</v>
      </c>
      <c r="C2121">
        <v>73.965000000000003</v>
      </c>
    </row>
    <row r="2122" spans="1:3" x14ac:dyDescent="0.25">
      <c r="A2122" s="2">
        <v>43264</v>
      </c>
      <c r="B2122" t="s">
        <v>14</v>
      </c>
      <c r="C2122">
        <v>74.245000000000005</v>
      </c>
    </row>
    <row r="2123" spans="1:3" x14ac:dyDescent="0.25">
      <c r="A2123" s="2">
        <v>43263</v>
      </c>
      <c r="B2123" t="s">
        <v>14</v>
      </c>
      <c r="C2123">
        <v>74.05</v>
      </c>
    </row>
    <row r="2124" spans="1:3" x14ac:dyDescent="0.25">
      <c r="A2124" s="2">
        <v>43262</v>
      </c>
      <c r="B2124" t="s">
        <v>14</v>
      </c>
      <c r="C2124">
        <v>73.795000000000002</v>
      </c>
    </row>
    <row r="2125" spans="1:3" x14ac:dyDescent="0.25">
      <c r="A2125" s="2">
        <v>43259</v>
      </c>
      <c r="B2125" t="s">
        <v>14</v>
      </c>
      <c r="C2125">
        <v>74.28</v>
      </c>
    </row>
    <row r="2126" spans="1:3" x14ac:dyDescent="0.25">
      <c r="A2126" s="2">
        <v>43258</v>
      </c>
      <c r="B2126" t="s">
        <v>14</v>
      </c>
      <c r="C2126">
        <v>74.39</v>
      </c>
    </row>
    <row r="2127" spans="1:3" x14ac:dyDescent="0.25">
      <c r="A2127" s="2">
        <v>43257</v>
      </c>
      <c r="B2127" t="s">
        <v>14</v>
      </c>
      <c r="C2127">
        <v>72.5</v>
      </c>
    </row>
    <row r="2128" spans="1:3" x14ac:dyDescent="0.25">
      <c r="A2128" s="2">
        <v>43256</v>
      </c>
      <c r="B2128" t="s">
        <v>14</v>
      </c>
      <c r="C2128">
        <v>72.2</v>
      </c>
    </row>
    <row r="2129" spans="1:3" x14ac:dyDescent="0.25">
      <c r="A2129" s="2">
        <v>43255</v>
      </c>
      <c r="B2129" t="s">
        <v>14</v>
      </c>
      <c r="C2129">
        <v>72.534999999999997</v>
      </c>
    </row>
    <row r="2130" spans="1:3" x14ac:dyDescent="0.25">
      <c r="A2130" s="2">
        <v>43252</v>
      </c>
      <c r="B2130" t="s">
        <v>14</v>
      </c>
      <c r="C2130">
        <v>73.62</v>
      </c>
    </row>
    <row r="2131" spans="1:3" x14ac:dyDescent="0.25">
      <c r="A2131" s="2">
        <v>43251</v>
      </c>
      <c r="B2131" t="s">
        <v>14</v>
      </c>
      <c r="C2131">
        <v>75.66</v>
      </c>
    </row>
    <row r="2132" spans="1:3" x14ac:dyDescent="0.25">
      <c r="A2132" s="2">
        <v>43250</v>
      </c>
      <c r="B2132" t="s">
        <v>14</v>
      </c>
      <c r="C2132">
        <v>75.13</v>
      </c>
    </row>
    <row r="2133" spans="1:3" x14ac:dyDescent="0.25">
      <c r="A2133" s="2">
        <v>43249</v>
      </c>
      <c r="B2133" t="s">
        <v>14</v>
      </c>
      <c r="C2133">
        <v>73.930000000000007</v>
      </c>
    </row>
    <row r="2134" spans="1:3" x14ac:dyDescent="0.25">
      <c r="A2134" s="2">
        <v>43248</v>
      </c>
      <c r="B2134" t="s">
        <v>14</v>
      </c>
      <c r="C2134">
        <v>75.959999999999994</v>
      </c>
    </row>
    <row r="2135" spans="1:3" x14ac:dyDescent="0.25">
      <c r="A2135" s="2">
        <v>43245</v>
      </c>
      <c r="B2135" t="s">
        <v>14</v>
      </c>
      <c r="C2135">
        <v>76.260000000000005</v>
      </c>
    </row>
    <row r="2136" spans="1:3" x14ac:dyDescent="0.25">
      <c r="A2136" s="2">
        <v>43244</v>
      </c>
      <c r="B2136" t="s">
        <v>14</v>
      </c>
      <c r="C2136">
        <v>78.45</v>
      </c>
    </row>
    <row r="2137" spans="1:3" x14ac:dyDescent="0.25">
      <c r="A2137" s="2">
        <v>43243</v>
      </c>
      <c r="B2137" t="s">
        <v>14</v>
      </c>
      <c r="C2137">
        <v>78.25</v>
      </c>
    </row>
    <row r="2138" spans="1:3" x14ac:dyDescent="0.25">
      <c r="A2138" s="2">
        <v>43242</v>
      </c>
      <c r="B2138" t="s">
        <v>14</v>
      </c>
      <c r="C2138">
        <v>79.89</v>
      </c>
    </row>
    <row r="2139" spans="1:3" x14ac:dyDescent="0.25">
      <c r="A2139" s="2">
        <v>43241</v>
      </c>
      <c r="B2139" t="s">
        <v>14</v>
      </c>
      <c r="C2139">
        <v>77.709999999999994</v>
      </c>
    </row>
    <row r="2140" spans="1:3" x14ac:dyDescent="0.25">
      <c r="A2140" s="2">
        <v>43238</v>
      </c>
      <c r="B2140" t="s">
        <v>14</v>
      </c>
      <c r="C2140">
        <v>77.564999999999998</v>
      </c>
    </row>
    <row r="2141" spans="1:3" x14ac:dyDescent="0.25">
      <c r="A2141" s="2">
        <v>43237</v>
      </c>
      <c r="B2141" t="s">
        <v>14</v>
      </c>
      <c r="C2141">
        <v>79.42</v>
      </c>
    </row>
    <row r="2142" spans="1:3" x14ac:dyDescent="0.25">
      <c r="A2142" s="2">
        <v>43236</v>
      </c>
      <c r="B2142" t="s">
        <v>14</v>
      </c>
      <c r="C2142">
        <v>77.62</v>
      </c>
    </row>
    <row r="2143" spans="1:3" x14ac:dyDescent="0.25">
      <c r="A2143" s="2">
        <v>43235</v>
      </c>
      <c r="B2143" t="s">
        <v>14</v>
      </c>
      <c r="C2143">
        <v>78.33</v>
      </c>
    </row>
    <row r="2144" spans="1:3" x14ac:dyDescent="0.25">
      <c r="A2144" s="2">
        <v>43234</v>
      </c>
      <c r="B2144" t="s">
        <v>14</v>
      </c>
      <c r="C2144">
        <v>77.599999999999994</v>
      </c>
    </row>
    <row r="2145" spans="1:3" x14ac:dyDescent="0.25">
      <c r="A2145" s="2">
        <v>43231</v>
      </c>
      <c r="B2145" t="s">
        <v>14</v>
      </c>
      <c r="C2145">
        <v>76.790000000000006</v>
      </c>
    </row>
    <row r="2146" spans="1:3" x14ac:dyDescent="0.25">
      <c r="A2146" s="2">
        <v>43230</v>
      </c>
      <c r="B2146" t="s">
        <v>14</v>
      </c>
      <c r="C2146">
        <v>76.989999999999995</v>
      </c>
    </row>
    <row r="2147" spans="1:3" x14ac:dyDescent="0.25">
      <c r="A2147" s="2">
        <v>43229</v>
      </c>
      <c r="B2147" t="s">
        <v>14</v>
      </c>
      <c r="C2147">
        <v>77.03</v>
      </c>
    </row>
    <row r="2148" spans="1:3" x14ac:dyDescent="0.25">
      <c r="A2148" s="2">
        <v>43228</v>
      </c>
      <c r="B2148" t="s">
        <v>14</v>
      </c>
      <c r="C2148">
        <v>73.739999999999995</v>
      </c>
    </row>
    <row r="2149" spans="1:3" x14ac:dyDescent="0.25">
      <c r="A2149" s="2">
        <v>43224</v>
      </c>
      <c r="B2149" t="s">
        <v>14</v>
      </c>
      <c r="C2149">
        <v>74.319999999999993</v>
      </c>
    </row>
    <row r="2150" spans="1:3" x14ac:dyDescent="0.25">
      <c r="A2150" s="2">
        <v>43223</v>
      </c>
      <c r="B2150" t="s">
        <v>14</v>
      </c>
      <c r="C2150">
        <v>73.010000000000005</v>
      </c>
    </row>
    <row r="2151" spans="1:3" x14ac:dyDescent="0.25">
      <c r="A2151" s="2">
        <v>43222</v>
      </c>
      <c r="B2151" t="s">
        <v>14</v>
      </c>
      <c r="C2151">
        <v>72.78</v>
      </c>
    </row>
    <row r="2152" spans="1:3" x14ac:dyDescent="0.25">
      <c r="A2152" s="2">
        <v>43221</v>
      </c>
      <c r="B2152" t="s">
        <v>14</v>
      </c>
      <c r="C2152">
        <v>74.48</v>
      </c>
    </row>
    <row r="2153" spans="1:3" x14ac:dyDescent="0.25">
      <c r="A2153" s="2">
        <v>43220</v>
      </c>
      <c r="B2153" t="s">
        <v>14</v>
      </c>
      <c r="C2153">
        <v>75.430000000000007</v>
      </c>
    </row>
    <row r="2154" spans="1:3" x14ac:dyDescent="0.25">
      <c r="A2154" s="2">
        <v>43217</v>
      </c>
      <c r="B2154" t="s">
        <v>14</v>
      </c>
      <c r="C2154">
        <v>74.52</v>
      </c>
    </row>
    <row r="2155" spans="1:3" x14ac:dyDescent="0.25">
      <c r="A2155" s="2">
        <v>43216</v>
      </c>
      <c r="B2155" t="s">
        <v>14</v>
      </c>
      <c r="C2155">
        <v>74.569999999999993</v>
      </c>
    </row>
    <row r="2156" spans="1:3" x14ac:dyDescent="0.25">
      <c r="A2156" s="2">
        <v>43215</v>
      </c>
      <c r="B2156" t="s">
        <v>14</v>
      </c>
      <c r="C2156">
        <v>73.06</v>
      </c>
    </row>
    <row r="2157" spans="1:3" x14ac:dyDescent="0.25">
      <c r="A2157" s="2">
        <v>43214</v>
      </c>
      <c r="B2157" t="s">
        <v>14</v>
      </c>
      <c r="C2157">
        <v>75</v>
      </c>
    </row>
    <row r="2158" spans="1:3" x14ac:dyDescent="0.25">
      <c r="A2158" s="2">
        <v>43213</v>
      </c>
      <c r="B2158" t="s">
        <v>14</v>
      </c>
      <c r="C2158">
        <v>73.89</v>
      </c>
    </row>
    <row r="2159" spans="1:3" x14ac:dyDescent="0.25">
      <c r="A2159" s="2">
        <v>43210</v>
      </c>
      <c r="B2159" t="s">
        <v>14</v>
      </c>
      <c r="C2159">
        <v>73.83</v>
      </c>
    </row>
    <row r="2160" spans="1:3" x14ac:dyDescent="0.25">
      <c r="A2160" s="2">
        <v>43209</v>
      </c>
      <c r="B2160" t="s">
        <v>14</v>
      </c>
      <c r="C2160">
        <v>74.040000000000006</v>
      </c>
    </row>
    <row r="2161" spans="1:3" x14ac:dyDescent="0.25">
      <c r="A2161" s="2">
        <v>43208</v>
      </c>
      <c r="B2161" t="s">
        <v>14</v>
      </c>
      <c r="C2161">
        <v>73</v>
      </c>
    </row>
    <row r="2162" spans="1:3" x14ac:dyDescent="0.25">
      <c r="A2162" s="2">
        <v>43207</v>
      </c>
      <c r="B2162" t="s">
        <v>14</v>
      </c>
      <c r="C2162">
        <v>71.08</v>
      </c>
    </row>
    <row r="2163" spans="1:3" x14ac:dyDescent="0.25">
      <c r="A2163" s="2">
        <v>43206</v>
      </c>
      <c r="B2163" t="s">
        <v>14</v>
      </c>
      <c r="C2163">
        <v>71.53</v>
      </c>
    </row>
    <row r="2164" spans="1:3" x14ac:dyDescent="0.25">
      <c r="A2164" s="2">
        <v>43203</v>
      </c>
      <c r="B2164" t="s">
        <v>14</v>
      </c>
      <c r="C2164">
        <v>72.599999999999994</v>
      </c>
    </row>
    <row r="2165" spans="1:3" x14ac:dyDescent="0.25">
      <c r="A2165" s="2">
        <v>43202</v>
      </c>
      <c r="B2165" t="s">
        <v>14</v>
      </c>
      <c r="C2165">
        <v>70.91</v>
      </c>
    </row>
    <row r="2166" spans="1:3" x14ac:dyDescent="0.25">
      <c r="A2166" s="2">
        <v>43201</v>
      </c>
      <c r="B2166" t="s">
        <v>14</v>
      </c>
      <c r="C2166">
        <v>72.349999999999994</v>
      </c>
    </row>
    <row r="2167" spans="1:3" x14ac:dyDescent="0.25">
      <c r="A2167" s="2">
        <v>43200</v>
      </c>
      <c r="B2167" t="s">
        <v>14</v>
      </c>
      <c r="C2167">
        <v>69.959999999999994</v>
      </c>
    </row>
    <row r="2168" spans="1:3" x14ac:dyDescent="0.25">
      <c r="A2168" s="2">
        <v>43199</v>
      </c>
      <c r="B2168" t="s">
        <v>14</v>
      </c>
      <c r="C2168">
        <v>67.959999999999994</v>
      </c>
    </row>
    <row r="2169" spans="1:3" x14ac:dyDescent="0.25">
      <c r="A2169" s="2">
        <v>43196</v>
      </c>
      <c r="B2169" t="s">
        <v>14</v>
      </c>
      <c r="C2169">
        <v>66.22</v>
      </c>
    </row>
    <row r="2170" spans="1:3" x14ac:dyDescent="0.25">
      <c r="A2170" s="2">
        <v>43195</v>
      </c>
      <c r="B2170" t="s">
        <v>14</v>
      </c>
      <c r="C2170">
        <v>66.12</v>
      </c>
    </row>
    <row r="2171" spans="1:3" x14ac:dyDescent="0.25">
      <c r="A2171" s="2">
        <v>43194</v>
      </c>
      <c r="B2171" t="s">
        <v>14</v>
      </c>
      <c r="C2171">
        <v>65.59</v>
      </c>
    </row>
    <row r="2172" spans="1:3" x14ac:dyDescent="0.25">
      <c r="A2172" s="2">
        <v>43193</v>
      </c>
      <c r="B2172" t="s">
        <v>14</v>
      </c>
      <c r="C2172">
        <v>66.62</v>
      </c>
    </row>
    <row r="2173" spans="1:3" x14ac:dyDescent="0.25">
      <c r="A2173" s="2">
        <v>43188</v>
      </c>
      <c r="B2173" t="s">
        <v>14</v>
      </c>
      <c r="C2173">
        <v>68.45</v>
      </c>
    </row>
    <row r="2174" spans="1:3" x14ac:dyDescent="0.25">
      <c r="A2174" s="2">
        <v>43187</v>
      </c>
      <c r="B2174" t="s">
        <v>14</v>
      </c>
      <c r="C2174">
        <v>67.61</v>
      </c>
    </row>
    <row r="2175" spans="1:3" x14ac:dyDescent="0.25">
      <c r="A2175" s="2">
        <v>43186</v>
      </c>
      <c r="B2175" t="s">
        <v>14</v>
      </c>
      <c r="C2175">
        <v>68.09</v>
      </c>
    </row>
    <row r="2176" spans="1:3" x14ac:dyDescent="0.25">
      <c r="A2176" s="2">
        <v>43185</v>
      </c>
      <c r="B2176" t="s">
        <v>14</v>
      </c>
      <c r="C2176">
        <v>68.34</v>
      </c>
    </row>
    <row r="2177" spans="1:3" x14ac:dyDescent="0.25">
      <c r="A2177" s="2">
        <v>43182</v>
      </c>
      <c r="B2177" t="s">
        <v>14</v>
      </c>
      <c r="C2177">
        <v>68.569999999999993</v>
      </c>
    </row>
    <row r="2178" spans="1:3" x14ac:dyDescent="0.25">
      <c r="A2178" s="2">
        <v>43181</v>
      </c>
      <c r="B2178" t="s">
        <v>14</v>
      </c>
      <c r="C2178">
        <v>68.569999999999993</v>
      </c>
    </row>
    <row r="2179" spans="1:3" x14ac:dyDescent="0.25">
      <c r="A2179" s="2">
        <v>43180</v>
      </c>
      <c r="B2179" t="s">
        <v>14</v>
      </c>
      <c r="C2179">
        <v>67.709999999999994</v>
      </c>
    </row>
    <row r="2180" spans="1:3" x14ac:dyDescent="0.25">
      <c r="A2180" s="2">
        <v>43179</v>
      </c>
      <c r="B2180" t="s">
        <v>14</v>
      </c>
      <c r="C2180">
        <v>65.709999999999994</v>
      </c>
    </row>
    <row r="2181" spans="1:3" x14ac:dyDescent="0.25">
      <c r="A2181" s="2">
        <v>43178</v>
      </c>
      <c r="B2181" t="s">
        <v>14</v>
      </c>
      <c r="C2181">
        <v>64.459999999999994</v>
      </c>
    </row>
    <row r="2182" spans="1:3" x14ac:dyDescent="0.25">
      <c r="A2182" s="2">
        <v>43175</v>
      </c>
      <c r="B2182" t="s">
        <v>14</v>
      </c>
      <c r="C2182">
        <v>64.31</v>
      </c>
    </row>
    <row r="2183" spans="1:3" x14ac:dyDescent="0.25">
      <c r="A2183" s="2">
        <v>43174</v>
      </c>
      <c r="B2183" t="s">
        <v>14</v>
      </c>
      <c r="C2183">
        <v>63.38</v>
      </c>
    </row>
    <row r="2184" spans="1:3" x14ac:dyDescent="0.25">
      <c r="A2184" s="2">
        <v>43173</v>
      </c>
      <c r="B2184" t="s">
        <v>14</v>
      </c>
      <c r="C2184">
        <v>63.4</v>
      </c>
    </row>
    <row r="2185" spans="1:3" x14ac:dyDescent="0.25">
      <c r="A2185" s="2">
        <v>43172</v>
      </c>
      <c r="B2185" t="s">
        <v>14</v>
      </c>
      <c r="C2185">
        <v>64.23</v>
      </c>
    </row>
    <row r="2186" spans="1:3" x14ac:dyDescent="0.25">
      <c r="A2186" s="2">
        <v>43171</v>
      </c>
      <c r="B2186" t="s">
        <v>14</v>
      </c>
      <c r="C2186">
        <v>64.540000000000006</v>
      </c>
    </row>
    <row r="2187" spans="1:3" x14ac:dyDescent="0.25">
      <c r="A2187" s="2">
        <v>43168</v>
      </c>
      <c r="B2187" t="s">
        <v>14</v>
      </c>
      <c r="C2187">
        <v>65.16</v>
      </c>
    </row>
    <row r="2188" spans="1:3" x14ac:dyDescent="0.25">
      <c r="A2188" s="2">
        <v>43167</v>
      </c>
      <c r="B2188" t="s">
        <v>14</v>
      </c>
      <c r="C2188">
        <v>63.91</v>
      </c>
    </row>
    <row r="2189" spans="1:3" x14ac:dyDescent="0.25">
      <c r="A2189" s="2">
        <v>43166</v>
      </c>
      <c r="B2189" t="s">
        <v>14</v>
      </c>
      <c r="C2189">
        <v>65.069999999999993</v>
      </c>
    </row>
    <row r="2190" spans="1:3" x14ac:dyDescent="0.25">
      <c r="A2190" s="2">
        <v>43165</v>
      </c>
      <c r="B2190" t="s">
        <v>14</v>
      </c>
      <c r="C2190">
        <v>65.72</v>
      </c>
    </row>
    <row r="2191" spans="1:3" x14ac:dyDescent="0.25">
      <c r="A2191" s="2">
        <v>43164</v>
      </c>
      <c r="B2191" t="s">
        <v>14</v>
      </c>
      <c r="C2191">
        <v>65.81</v>
      </c>
    </row>
    <row r="2192" spans="1:3" x14ac:dyDescent="0.25">
      <c r="A2192" s="2">
        <v>43161</v>
      </c>
      <c r="B2192" t="s">
        <v>14</v>
      </c>
      <c r="C2192">
        <v>64.430000000000007</v>
      </c>
    </row>
    <row r="2193" spans="1:3" x14ac:dyDescent="0.25">
      <c r="A2193" s="2">
        <v>43160</v>
      </c>
      <c r="B2193" t="s">
        <v>14</v>
      </c>
      <c r="C2193">
        <v>64.48</v>
      </c>
    </row>
    <row r="2194" spans="1:3" x14ac:dyDescent="0.25">
      <c r="A2194" s="2">
        <v>43159</v>
      </c>
      <c r="B2194" t="s">
        <v>14</v>
      </c>
      <c r="C2194">
        <v>66.2</v>
      </c>
    </row>
    <row r="2195" spans="1:3" x14ac:dyDescent="0.25">
      <c r="A2195" s="2">
        <v>43158</v>
      </c>
      <c r="B2195" t="s">
        <v>14</v>
      </c>
      <c r="C2195">
        <v>67.66</v>
      </c>
    </row>
    <row r="2196" spans="1:3" x14ac:dyDescent="0.25">
      <c r="A2196" s="2">
        <v>43157</v>
      </c>
      <c r="B2196" t="s">
        <v>14</v>
      </c>
      <c r="C2196">
        <v>67.86</v>
      </c>
    </row>
    <row r="2197" spans="1:3" x14ac:dyDescent="0.25">
      <c r="A2197" s="2">
        <v>43154</v>
      </c>
      <c r="B2197" t="s">
        <v>14</v>
      </c>
      <c r="C2197">
        <v>66.87</v>
      </c>
    </row>
    <row r="2198" spans="1:3" x14ac:dyDescent="0.25">
      <c r="A2198" s="2">
        <v>43153</v>
      </c>
      <c r="B2198" t="s">
        <v>14</v>
      </c>
      <c r="C2198">
        <v>65.97</v>
      </c>
    </row>
    <row r="2199" spans="1:3" x14ac:dyDescent="0.25">
      <c r="A2199" s="2">
        <v>43152</v>
      </c>
      <c r="B2199" t="s">
        <v>14</v>
      </c>
      <c r="C2199">
        <v>64.73</v>
      </c>
    </row>
    <row r="2200" spans="1:3" x14ac:dyDescent="0.25">
      <c r="A2200" s="2">
        <v>43151</v>
      </c>
      <c r="B2200" t="s">
        <v>14</v>
      </c>
      <c r="C2200">
        <v>64.59</v>
      </c>
    </row>
    <row r="2201" spans="1:3" x14ac:dyDescent="0.25">
      <c r="A2201" s="2">
        <v>43150</v>
      </c>
      <c r="B2201" t="s">
        <v>14</v>
      </c>
      <c r="C2201">
        <v>64.84</v>
      </c>
    </row>
    <row r="2202" spans="1:3" x14ac:dyDescent="0.25">
      <c r="A2202" s="2">
        <v>43147</v>
      </c>
      <c r="B2202" t="s">
        <v>14</v>
      </c>
      <c r="C2202">
        <v>64.03</v>
      </c>
    </row>
    <row r="2203" spans="1:3" x14ac:dyDescent="0.25">
      <c r="A2203" s="2">
        <v>43146</v>
      </c>
      <c r="B2203" t="s">
        <v>14</v>
      </c>
      <c r="C2203">
        <v>62.89</v>
      </c>
    </row>
    <row r="2204" spans="1:3" x14ac:dyDescent="0.25">
      <c r="A2204" s="2">
        <v>43145</v>
      </c>
      <c r="B2204" t="s">
        <v>14</v>
      </c>
      <c r="C2204">
        <v>62.32</v>
      </c>
    </row>
    <row r="2205" spans="1:3" x14ac:dyDescent="0.25">
      <c r="A2205" s="2">
        <v>43144</v>
      </c>
      <c r="B2205" t="s">
        <v>14</v>
      </c>
      <c r="C2205">
        <v>62.15</v>
      </c>
    </row>
    <row r="2206" spans="1:3" x14ac:dyDescent="0.25">
      <c r="A2206" s="2">
        <v>43143</v>
      </c>
      <c r="B2206" t="s">
        <v>14</v>
      </c>
      <c r="C2206">
        <v>62.29</v>
      </c>
    </row>
    <row r="2207" spans="1:3" x14ac:dyDescent="0.25">
      <c r="A2207" s="2">
        <v>43140</v>
      </c>
      <c r="B2207" t="s">
        <v>14</v>
      </c>
      <c r="C2207">
        <v>63.28</v>
      </c>
    </row>
    <row r="2208" spans="1:3" x14ac:dyDescent="0.25">
      <c r="A2208" s="2">
        <v>43139</v>
      </c>
      <c r="B2208" t="s">
        <v>14</v>
      </c>
      <c r="C2208">
        <v>64.42</v>
      </c>
    </row>
    <row r="2209" spans="1:3" x14ac:dyDescent="0.25">
      <c r="A2209" s="2">
        <v>43138</v>
      </c>
      <c r="B2209" t="s">
        <v>14</v>
      </c>
      <c r="C2209">
        <v>65.87</v>
      </c>
    </row>
    <row r="2210" spans="1:3" x14ac:dyDescent="0.25">
      <c r="A2210" s="2">
        <v>43137</v>
      </c>
      <c r="B2210" t="s">
        <v>14</v>
      </c>
      <c r="C2210">
        <v>66.790000000000006</v>
      </c>
    </row>
    <row r="2211" spans="1:3" x14ac:dyDescent="0.25">
      <c r="A2211" s="2">
        <v>43136</v>
      </c>
      <c r="B2211" t="s">
        <v>14</v>
      </c>
      <c r="C2211">
        <v>67.569999999999993</v>
      </c>
    </row>
    <row r="2212" spans="1:3" x14ac:dyDescent="0.25">
      <c r="A2212" s="2">
        <v>43133</v>
      </c>
      <c r="B2212" t="s">
        <v>14</v>
      </c>
      <c r="C2212">
        <v>67.36</v>
      </c>
    </row>
    <row r="2213" spans="1:3" x14ac:dyDescent="0.25">
      <c r="A2213" s="2">
        <v>43132</v>
      </c>
      <c r="B2213" t="s">
        <v>14</v>
      </c>
      <c r="C2213">
        <v>68.45</v>
      </c>
    </row>
    <row r="2214" spans="1:3" x14ac:dyDescent="0.25">
      <c r="A2214" s="2">
        <v>43131</v>
      </c>
      <c r="B2214" t="s">
        <v>14</v>
      </c>
      <c r="C2214">
        <v>67.959999999999994</v>
      </c>
    </row>
    <row r="2215" spans="1:3" x14ac:dyDescent="0.25">
      <c r="A2215" s="2">
        <v>43130</v>
      </c>
      <c r="B2215" t="s">
        <v>14</v>
      </c>
      <c r="C2215">
        <v>67.78</v>
      </c>
    </row>
    <row r="2216" spans="1:3" x14ac:dyDescent="0.25">
      <c r="A2216" s="2">
        <v>43129</v>
      </c>
      <c r="B2216" t="s">
        <v>14</v>
      </c>
      <c r="C2216">
        <v>68.36</v>
      </c>
    </row>
    <row r="2217" spans="1:3" x14ac:dyDescent="0.25">
      <c r="A2217" s="2">
        <v>43126</v>
      </c>
      <c r="B2217" t="s">
        <v>14</v>
      </c>
      <c r="C2217">
        <v>69.95</v>
      </c>
    </row>
    <row r="2218" spans="1:3" x14ac:dyDescent="0.25">
      <c r="A2218" s="2">
        <v>43125</v>
      </c>
      <c r="B2218" t="s">
        <v>14</v>
      </c>
      <c r="C2218">
        <v>70.94</v>
      </c>
    </row>
    <row r="2219" spans="1:3" x14ac:dyDescent="0.25">
      <c r="A2219" s="2">
        <v>43124</v>
      </c>
      <c r="B2219" t="s">
        <v>14</v>
      </c>
      <c r="C2219">
        <v>69.84</v>
      </c>
    </row>
    <row r="2220" spans="1:3" x14ac:dyDescent="0.25">
      <c r="A2220" s="2">
        <v>43123</v>
      </c>
      <c r="B2220" t="s">
        <v>14</v>
      </c>
      <c r="C2220">
        <v>69.7</v>
      </c>
    </row>
    <row r="2221" spans="1:3" x14ac:dyDescent="0.25">
      <c r="A2221" s="2">
        <v>43122</v>
      </c>
      <c r="B2221" t="s">
        <v>14</v>
      </c>
      <c r="C2221">
        <v>69.27</v>
      </c>
    </row>
    <row r="2222" spans="1:3" x14ac:dyDescent="0.25">
      <c r="A2222" s="2">
        <v>43119</v>
      </c>
      <c r="B2222" t="s">
        <v>14</v>
      </c>
      <c r="C2222">
        <v>68.58</v>
      </c>
    </row>
    <row r="2223" spans="1:3" x14ac:dyDescent="0.25">
      <c r="A2223" s="2">
        <v>43118</v>
      </c>
      <c r="B2223" t="s">
        <v>14</v>
      </c>
      <c r="C2223">
        <v>69.45</v>
      </c>
    </row>
    <row r="2224" spans="1:3" x14ac:dyDescent="0.25">
      <c r="A2224" s="2">
        <v>43117</v>
      </c>
      <c r="B2224" t="s">
        <v>14</v>
      </c>
      <c r="C2224">
        <v>69.180000000000007</v>
      </c>
    </row>
    <row r="2225" spans="1:3" x14ac:dyDescent="0.25">
      <c r="A2225" s="2">
        <v>43116</v>
      </c>
      <c r="B2225" t="s">
        <v>14</v>
      </c>
      <c r="C2225">
        <v>69.38</v>
      </c>
    </row>
    <row r="2226" spans="1:3" x14ac:dyDescent="0.25">
      <c r="A2226" s="2">
        <v>43115</v>
      </c>
      <c r="B2226" t="s">
        <v>14</v>
      </c>
      <c r="C2226">
        <v>70.28</v>
      </c>
    </row>
    <row r="2227" spans="1:3" x14ac:dyDescent="0.25">
      <c r="A2227" s="2">
        <v>43112</v>
      </c>
      <c r="B2227" t="s">
        <v>14</v>
      </c>
      <c r="C2227">
        <v>69.680000000000007</v>
      </c>
    </row>
    <row r="2228" spans="1:3" x14ac:dyDescent="0.25">
      <c r="A2228" s="2">
        <v>43111</v>
      </c>
      <c r="B2228" t="s">
        <v>14</v>
      </c>
      <c r="C2228">
        <v>70.36</v>
      </c>
    </row>
    <row r="2229" spans="1:3" x14ac:dyDescent="0.25">
      <c r="A2229" s="2">
        <v>43110</v>
      </c>
      <c r="B2229" t="s">
        <v>14</v>
      </c>
      <c r="C2229">
        <v>69.959999999999994</v>
      </c>
    </row>
    <row r="2230" spans="1:3" x14ac:dyDescent="0.25">
      <c r="A2230" s="2">
        <v>43109</v>
      </c>
      <c r="B2230" t="s">
        <v>14</v>
      </c>
      <c r="C2230">
        <v>69.31</v>
      </c>
    </row>
    <row r="2231" spans="1:3" x14ac:dyDescent="0.25">
      <c r="A2231" s="2">
        <v>43108</v>
      </c>
      <c r="B2231" t="s">
        <v>14</v>
      </c>
      <c r="C2231">
        <v>68.709999999999994</v>
      </c>
    </row>
    <row r="2232" spans="1:3" x14ac:dyDescent="0.25">
      <c r="A2232" s="2">
        <v>43105</v>
      </c>
      <c r="B2232" t="s">
        <v>14</v>
      </c>
      <c r="C2232">
        <v>68.19</v>
      </c>
    </row>
    <row r="2233" spans="1:3" x14ac:dyDescent="0.25">
      <c r="A2233" s="2">
        <v>43104</v>
      </c>
      <c r="B2233" t="s">
        <v>14</v>
      </c>
      <c r="C2233">
        <v>68.72</v>
      </c>
    </row>
    <row r="2234" spans="1:3" x14ac:dyDescent="0.25">
      <c r="A2234" s="2">
        <v>43103</v>
      </c>
      <c r="B2234" t="s">
        <v>14</v>
      </c>
      <c r="C2234">
        <v>67.87</v>
      </c>
    </row>
    <row r="2235" spans="1:3" x14ac:dyDescent="0.25">
      <c r="A2235" s="2">
        <v>43102</v>
      </c>
      <c r="B2235" t="s">
        <v>14</v>
      </c>
      <c r="C2235">
        <v>66.650000000000006</v>
      </c>
    </row>
    <row r="2236" spans="1:3" x14ac:dyDescent="0.25">
      <c r="A2236" s="2">
        <v>43098</v>
      </c>
      <c r="B2236" t="s">
        <v>14</v>
      </c>
      <c r="C2236">
        <v>66.64</v>
      </c>
    </row>
    <row r="2237" spans="1:3" x14ac:dyDescent="0.25">
      <c r="A2237" s="2">
        <v>43097</v>
      </c>
      <c r="B2237" t="s">
        <v>14</v>
      </c>
      <c r="C2237">
        <v>66.08</v>
      </c>
    </row>
    <row r="2238" spans="1:3" x14ac:dyDescent="0.25">
      <c r="A2238" s="2">
        <v>43096</v>
      </c>
      <c r="B2238" t="s">
        <v>14</v>
      </c>
      <c r="C2238">
        <v>65.98</v>
      </c>
    </row>
    <row r="2239" spans="1:3" x14ac:dyDescent="0.25">
      <c r="A2239" s="2">
        <v>43091</v>
      </c>
      <c r="B2239" t="s">
        <v>14</v>
      </c>
      <c r="C2239">
        <v>64.67</v>
      </c>
    </row>
    <row r="2240" spans="1:3" x14ac:dyDescent="0.25">
      <c r="A2240" s="2">
        <v>43090</v>
      </c>
      <c r="B2240" t="s">
        <v>14</v>
      </c>
      <c r="C2240">
        <v>64.75</v>
      </c>
    </row>
    <row r="2241" spans="1:3" x14ac:dyDescent="0.25">
      <c r="A2241" s="2">
        <v>43089</v>
      </c>
      <c r="B2241" t="s">
        <v>14</v>
      </c>
      <c r="C2241">
        <v>64.55</v>
      </c>
    </row>
    <row r="2242" spans="1:3" x14ac:dyDescent="0.25">
      <c r="A2242" s="2">
        <v>43088</v>
      </c>
      <c r="B2242" t="s">
        <v>14</v>
      </c>
      <c r="C2242">
        <v>63.89</v>
      </c>
    </row>
    <row r="2243" spans="1:3" x14ac:dyDescent="0.25">
      <c r="A2243" s="2">
        <v>43087</v>
      </c>
      <c r="B2243" t="s">
        <v>14</v>
      </c>
      <c r="C2243">
        <v>64.61</v>
      </c>
    </row>
    <row r="2244" spans="1:3" x14ac:dyDescent="0.25">
      <c r="A2244" s="2">
        <v>43084</v>
      </c>
      <c r="B2244" t="s">
        <v>14</v>
      </c>
      <c r="C2244">
        <v>64.069999999999993</v>
      </c>
    </row>
    <row r="2245" spans="1:3" x14ac:dyDescent="0.25">
      <c r="A2245" s="2">
        <v>43083</v>
      </c>
      <c r="B2245" t="s">
        <v>14</v>
      </c>
      <c r="C2245">
        <v>63.98</v>
      </c>
    </row>
    <row r="2246" spans="1:3" x14ac:dyDescent="0.25">
      <c r="A2246" s="2">
        <v>43082</v>
      </c>
      <c r="B2246" t="s">
        <v>14</v>
      </c>
      <c r="C2246">
        <v>63.93</v>
      </c>
    </row>
    <row r="2247" spans="1:3" x14ac:dyDescent="0.25">
      <c r="A2247" s="2">
        <v>43081</v>
      </c>
      <c r="B2247" t="s">
        <v>14</v>
      </c>
      <c r="C2247">
        <v>65.23</v>
      </c>
    </row>
    <row r="2248" spans="1:3" x14ac:dyDescent="0.25">
      <c r="A2248" s="2">
        <v>43080</v>
      </c>
      <c r="B2248" t="s">
        <v>14</v>
      </c>
      <c r="C2248">
        <v>65.849999999999994</v>
      </c>
    </row>
    <row r="2249" spans="1:3" x14ac:dyDescent="0.25">
      <c r="A2249" s="2">
        <v>43077</v>
      </c>
      <c r="B2249" t="s">
        <v>14</v>
      </c>
      <c r="C2249">
        <v>64.11</v>
      </c>
    </row>
    <row r="2250" spans="1:3" x14ac:dyDescent="0.25">
      <c r="A2250" s="2">
        <v>43076</v>
      </c>
      <c r="B2250" t="s">
        <v>14</v>
      </c>
      <c r="C2250">
        <v>62.66</v>
      </c>
    </row>
    <row r="2251" spans="1:3" x14ac:dyDescent="0.25">
      <c r="A2251" s="2">
        <v>43075</v>
      </c>
      <c r="B2251" t="s">
        <v>14</v>
      </c>
      <c r="C2251">
        <v>62.58</v>
      </c>
    </row>
    <row r="2252" spans="1:3" x14ac:dyDescent="0.25">
      <c r="A2252" s="2">
        <v>43074</v>
      </c>
      <c r="B2252" t="s">
        <v>14</v>
      </c>
      <c r="C2252">
        <v>63.81</v>
      </c>
    </row>
    <row r="2253" spans="1:3" x14ac:dyDescent="0.25">
      <c r="A2253" s="2">
        <v>43073</v>
      </c>
      <c r="B2253" t="s">
        <v>14</v>
      </c>
      <c r="C2253">
        <v>63.81</v>
      </c>
    </row>
    <row r="2254" spans="1:3" x14ac:dyDescent="0.25">
      <c r="A2254" s="2">
        <v>43070</v>
      </c>
      <c r="B2254" t="s">
        <v>14</v>
      </c>
      <c r="C2254">
        <v>64.87</v>
      </c>
    </row>
    <row r="2255" spans="1:3" x14ac:dyDescent="0.25">
      <c r="A2255" s="2">
        <v>43069</v>
      </c>
      <c r="B2255" t="s">
        <v>14</v>
      </c>
      <c r="C2255">
        <v>63.89</v>
      </c>
    </row>
    <row r="2256" spans="1:3" x14ac:dyDescent="0.25">
      <c r="A2256" s="2">
        <v>43068</v>
      </c>
      <c r="B2256" t="s">
        <v>14</v>
      </c>
      <c r="C2256">
        <v>64.09</v>
      </c>
    </row>
    <row r="2257" spans="1:3" x14ac:dyDescent="0.25">
      <c r="A2257" s="2">
        <v>43067</v>
      </c>
      <c r="B2257" t="s">
        <v>14</v>
      </c>
      <c r="C2257">
        <v>63.86</v>
      </c>
    </row>
    <row r="2258" spans="1:3" x14ac:dyDescent="0.25">
      <c r="A2258" s="2">
        <v>43066</v>
      </c>
      <c r="B2258" t="s">
        <v>14</v>
      </c>
      <c r="C2258">
        <v>63.56</v>
      </c>
    </row>
    <row r="2259" spans="1:3" x14ac:dyDescent="0.25">
      <c r="A2259" s="2">
        <v>43063</v>
      </c>
      <c r="B2259" t="s">
        <v>14</v>
      </c>
      <c r="C2259">
        <v>63.8</v>
      </c>
    </row>
    <row r="2260" spans="1:3" x14ac:dyDescent="0.25">
      <c r="A2260" s="2">
        <v>43062</v>
      </c>
      <c r="B2260" t="s">
        <v>14</v>
      </c>
      <c r="C2260">
        <v>63.46</v>
      </c>
    </row>
    <row r="2261" spans="1:3" x14ac:dyDescent="0.25">
      <c r="A2261" s="2">
        <v>43061</v>
      </c>
      <c r="B2261" t="s">
        <v>14</v>
      </c>
      <c r="C2261">
        <v>63.03</v>
      </c>
    </row>
    <row r="2262" spans="1:3" x14ac:dyDescent="0.25">
      <c r="A2262" s="2">
        <v>43060</v>
      </c>
      <c r="B2262" t="s">
        <v>14</v>
      </c>
      <c r="C2262">
        <v>62.42</v>
      </c>
    </row>
    <row r="2263" spans="1:3" x14ac:dyDescent="0.25">
      <c r="A2263" s="2">
        <v>43059</v>
      </c>
      <c r="B2263" t="s">
        <v>14</v>
      </c>
      <c r="C2263">
        <v>61.4</v>
      </c>
    </row>
    <row r="2264" spans="1:3" x14ac:dyDescent="0.25">
      <c r="A2264" s="2">
        <v>43056</v>
      </c>
      <c r="B2264" t="s">
        <v>14</v>
      </c>
      <c r="C2264">
        <v>61.79</v>
      </c>
    </row>
    <row r="2265" spans="1:3" x14ac:dyDescent="0.25">
      <c r="A2265" s="2">
        <v>43055</v>
      </c>
      <c r="B2265" t="s">
        <v>14</v>
      </c>
      <c r="C2265">
        <v>61.27</v>
      </c>
    </row>
    <row r="2266" spans="1:3" x14ac:dyDescent="0.25">
      <c r="A2266" s="2">
        <v>43054</v>
      </c>
      <c r="B2266" t="s">
        <v>14</v>
      </c>
      <c r="C2266">
        <v>61.34</v>
      </c>
    </row>
    <row r="2267" spans="1:3" x14ac:dyDescent="0.25">
      <c r="A2267" s="2">
        <v>43053</v>
      </c>
      <c r="B2267" t="s">
        <v>14</v>
      </c>
      <c r="C2267">
        <v>61.06</v>
      </c>
    </row>
    <row r="2268" spans="1:3" x14ac:dyDescent="0.25">
      <c r="A2268" s="2">
        <v>43052</v>
      </c>
      <c r="B2268" t="s">
        <v>14</v>
      </c>
      <c r="C2268">
        <v>62.98</v>
      </c>
    </row>
    <row r="2269" spans="1:3" x14ac:dyDescent="0.25">
      <c r="A2269" s="2">
        <v>43049</v>
      </c>
      <c r="B2269" t="s">
        <v>14</v>
      </c>
      <c r="C2269">
        <v>64.599999999999994</v>
      </c>
    </row>
    <row r="2270" spans="1:3" x14ac:dyDescent="0.25">
      <c r="A2270" s="2">
        <v>43048</v>
      </c>
      <c r="B2270" t="s">
        <v>14</v>
      </c>
      <c r="C2270">
        <v>64.73</v>
      </c>
    </row>
    <row r="2271" spans="1:3" x14ac:dyDescent="0.25">
      <c r="A2271" s="2">
        <v>43047</v>
      </c>
      <c r="B2271" t="s">
        <v>14</v>
      </c>
      <c r="C2271">
        <v>64.19</v>
      </c>
    </row>
    <row r="2272" spans="1:3" x14ac:dyDescent="0.25">
      <c r="A2272" s="2">
        <v>43046</v>
      </c>
      <c r="B2272" t="s">
        <v>14</v>
      </c>
      <c r="C2272">
        <v>64.61</v>
      </c>
    </row>
    <row r="2273" spans="1:3" x14ac:dyDescent="0.25">
      <c r="A2273" s="2">
        <v>43045</v>
      </c>
      <c r="B2273" t="s">
        <v>14</v>
      </c>
      <c r="C2273">
        <v>64.5</v>
      </c>
    </row>
    <row r="2274" spans="1:3" x14ac:dyDescent="0.25">
      <c r="A2274" s="2">
        <v>43042</v>
      </c>
      <c r="B2274" t="s">
        <v>14</v>
      </c>
      <c r="C2274">
        <v>61.72</v>
      </c>
    </row>
    <row r="2275" spans="1:3" x14ac:dyDescent="0.25">
      <c r="A2275" s="2">
        <v>43041</v>
      </c>
      <c r="B2275" t="s">
        <v>14</v>
      </c>
      <c r="C2275">
        <v>61.12</v>
      </c>
    </row>
    <row r="2276" spans="1:3" x14ac:dyDescent="0.25">
      <c r="A2276" s="2">
        <v>43040</v>
      </c>
      <c r="B2276" t="s">
        <v>14</v>
      </c>
      <c r="C2276">
        <v>61.3</v>
      </c>
    </row>
    <row r="2277" spans="1:3" x14ac:dyDescent="0.25">
      <c r="A2277" s="2">
        <v>43039</v>
      </c>
      <c r="B2277" t="s">
        <v>14</v>
      </c>
      <c r="C2277">
        <v>61.65</v>
      </c>
    </row>
    <row r="2278" spans="1:3" x14ac:dyDescent="0.25">
      <c r="A2278" s="2">
        <v>43038</v>
      </c>
      <c r="B2278" t="s">
        <v>14</v>
      </c>
      <c r="C2278">
        <v>60.99</v>
      </c>
    </row>
    <row r="2279" spans="1:3" x14ac:dyDescent="0.25">
      <c r="A2279" s="2">
        <v>43035</v>
      </c>
      <c r="B2279" t="s">
        <v>14</v>
      </c>
      <c r="C2279">
        <v>60.56</v>
      </c>
    </row>
    <row r="2280" spans="1:3" x14ac:dyDescent="0.25">
      <c r="A2280" s="2">
        <v>43034</v>
      </c>
      <c r="B2280" t="s">
        <v>14</v>
      </c>
      <c r="C2280">
        <v>59.24</v>
      </c>
    </row>
    <row r="2281" spans="1:3" x14ac:dyDescent="0.25">
      <c r="A2281" s="2">
        <v>43033</v>
      </c>
      <c r="B2281" t="s">
        <v>14</v>
      </c>
      <c r="C2281">
        <v>58.94</v>
      </c>
    </row>
    <row r="2282" spans="1:3" x14ac:dyDescent="0.25">
      <c r="A2282" s="2">
        <v>43032</v>
      </c>
      <c r="B2282" t="s">
        <v>14</v>
      </c>
      <c r="C2282">
        <v>58.29</v>
      </c>
    </row>
    <row r="2283" spans="1:3" x14ac:dyDescent="0.25">
      <c r="A2283" s="2">
        <v>43031</v>
      </c>
      <c r="B2283" t="s">
        <v>14</v>
      </c>
      <c r="C2283">
        <v>58.17</v>
      </c>
    </row>
    <row r="2284" spans="1:3" x14ac:dyDescent="0.25">
      <c r="A2284" s="2">
        <v>43028</v>
      </c>
      <c r="B2284" t="s">
        <v>14</v>
      </c>
      <c r="C2284">
        <v>58.36</v>
      </c>
    </row>
    <row r="2285" spans="1:3" x14ac:dyDescent="0.25">
      <c r="A2285" s="2">
        <v>43027</v>
      </c>
      <c r="B2285" t="s">
        <v>14</v>
      </c>
      <c r="C2285">
        <v>58.17</v>
      </c>
    </row>
    <row r="2286" spans="1:3" x14ac:dyDescent="0.25">
      <c r="A2286" s="2">
        <v>43026</v>
      </c>
      <c r="B2286" t="s">
        <v>14</v>
      </c>
      <c r="C2286">
        <v>58.39</v>
      </c>
    </row>
    <row r="2287" spans="1:3" x14ac:dyDescent="0.25">
      <c r="A2287" s="2">
        <v>43025</v>
      </c>
      <c r="B2287" t="s">
        <v>14</v>
      </c>
      <c r="C2287">
        <v>57.99</v>
      </c>
    </row>
    <row r="2288" spans="1:3" x14ac:dyDescent="0.25">
      <c r="A2288" s="2">
        <v>43024</v>
      </c>
      <c r="B2288" t="s">
        <v>14</v>
      </c>
      <c r="C2288">
        <v>57.63</v>
      </c>
    </row>
    <row r="2289" spans="1:3" x14ac:dyDescent="0.25">
      <c r="A2289" s="2">
        <v>43021</v>
      </c>
      <c r="B2289" t="s">
        <v>14</v>
      </c>
      <c r="C2289">
        <v>57.05</v>
      </c>
    </row>
    <row r="2290" spans="1:3" x14ac:dyDescent="0.25">
      <c r="A2290" s="2">
        <v>43020</v>
      </c>
      <c r="B2290" t="s">
        <v>14</v>
      </c>
      <c r="C2290">
        <v>56.2</v>
      </c>
    </row>
    <row r="2291" spans="1:3" x14ac:dyDescent="0.25">
      <c r="A2291" s="2">
        <v>43019</v>
      </c>
      <c r="B2291" t="s">
        <v>14</v>
      </c>
      <c r="C2291">
        <v>56.36</v>
      </c>
    </row>
    <row r="2292" spans="1:3" x14ac:dyDescent="0.25">
      <c r="A2292" s="2">
        <v>43018</v>
      </c>
      <c r="B2292" t="s">
        <v>14</v>
      </c>
      <c r="C2292">
        <v>56.83</v>
      </c>
    </row>
    <row r="2293" spans="1:3" x14ac:dyDescent="0.25">
      <c r="A2293" s="2">
        <v>43017</v>
      </c>
      <c r="B2293" t="s">
        <v>14</v>
      </c>
      <c r="C2293">
        <v>55.65</v>
      </c>
    </row>
    <row r="2294" spans="1:3" x14ac:dyDescent="0.25">
      <c r="A2294" s="2">
        <v>43014</v>
      </c>
      <c r="B2294" t="s">
        <v>14</v>
      </c>
      <c r="C2294">
        <v>55.86</v>
      </c>
    </row>
    <row r="2295" spans="1:3" x14ac:dyDescent="0.25">
      <c r="A2295" s="2">
        <v>43013</v>
      </c>
      <c r="B2295" t="s">
        <v>14</v>
      </c>
      <c r="C2295">
        <v>57.37</v>
      </c>
    </row>
    <row r="2296" spans="1:3" x14ac:dyDescent="0.25">
      <c r="A2296" s="2">
        <v>43012</v>
      </c>
      <c r="B2296" t="s">
        <v>14</v>
      </c>
      <c r="C2296">
        <v>56.34</v>
      </c>
    </row>
    <row r="2297" spans="1:3" x14ac:dyDescent="0.25">
      <c r="A2297" s="2">
        <v>43011</v>
      </c>
      <c r="B2297" t="s">
        <v>14</v>
      </c>
      <c r="C2297">
        <v>56.45</v>
      </c>
    </row>
    <row r="2298" spans="1:3" x14ac:dyDescent="0.25">
      <c r="A2298" s="2">
        <v>43010</v>
      </c>
      <c r="B2298" t="s">
        <v>14</v>
      </c>
      <c r="C2298">
        <v>56.03</v>
      </c>
    </row>
    <row r="2299" spans="1:3" x14ac:dyDescent="0.25">
      <c r="A2299" s="2">
        <v>43007</v>
      </c>
      <c r="B2299" t="s">
        <v>14</v>
      </c>
      <c r="C2299">
        <v>57.39</v>
      </c>
    </row>
    <row r="2300" spans="1:3" x14ac:dyDescent="0.25">
      <c r="A2300" s="2">
        <v>43006</v>
      </c>
      <c r="B2300" t="s">
        <v>14</v>
      </c>
      <c r="C2300">
        <v>59.37</v>
      </c>
    </row>
    <row r="2301" spans="1:3" x14ac:dyDescent="0.25">
      <c r="A2301" s="2">
        <v>43005</v>
      </c>
      <c r="B2301" t="s">
        <v>14</v>
      </c>
      <c r="C2301">
        <v>59.31</v>
      </c>
    </row>
    <row r="2302" spans="1:3" x14ac:dyDescent="0.25">
      <c r="A2302" s="2">
        <v>43004</v>
      </c>
      <c r="B2302" t="s">
        <v>14</v>
      </c>
      <c r="C2302">
        <v>60.19</v>
      </c>
    </row>
    <row r="2303" spans="1:3" x14ac:dyDescent="0.25">
      <c r="A2303" s="2">
        <v>43003</v>
      </c>
      <c r="B2303" t="s">
        <v>14</v>
      </c>
      <c r="C2303">
        <v>59.85</v>
      </c>
    </row>
    <row r="2304" spans="1:3" x14ac:dyDescent="0.25">
      <c r="A2304" s="2">
        <v>43000</v>
      </c>
      <c r="B2304" t="s">
        <v>14</v>
      </c>
      <c r="C2304">
        <v>58.72</v>
      </c>
    </row>
    <row r="2305" spans="1:3" x14ac:dyDescent="0.25">
      <c r="A2305" s="2">
        <v>42999</v>
      </c>
      <c r="B2305" t="s">
        <v>14</v>
      </c>
      <c r="C2305">
        <v>58.2</v>
      </c>
    </row>
    <row r="2306" spans="1:3" x14ac:dyDescent="0.25">
      <c r="A2306" s="2">
        <v>42998</v>
      </c>
      <c r="B2306" t="s">
        <v>14</v>
      </c>
      <c r="C2306">
        <v>58.05</v>
      </c>
    </row>
    <row r="2307" spans="1:3" x14ac:dyDescent="0.25">
      <c r="A2307" s="2">
        <v>42997</v>
      </c>
      <c r="B2307" t="s">
        <v>14</v>
      </c>
      <c r="C2307">
        <v>57.42</v>
      </c>
    </row>
    <row r="2308" spans="1:3" x14ac:dyDescent="0.25">
      <c r="A2308" s="2">
        <v>42996</v>
      </c>
      <c r="B2308" t="s">
        <v>14</v>
      </c>
      <c r="C2308">
        <v>56.35</v>
      </c>
    </row>
    <row r="2309" spans="1:3" x14ac:dyDescent="0.25">
      <c r="A2309" s="2">
        <v>42993</v>
      </c>
      <c r="B2309" t="s">
        <v>14</v>
      </c>
      <c r="C2309">
        <v>56.91</v>
      </c>
    </row>
    <row r="2310" spans="1:3" x14ac:dyDescent="0.25">
      <c r="A2310" s="2">
        <v>42992</v>
      </c>
      <c r="B2310" t="s">
        <v>14</v>
      </c>
      <c r="C2310">
        <v>57.42</v>
      </c>
    </row>
    <row r="2311" spans="1:3" x14ac:dyDescent="0.25">
      <c r="A2311" s="2">
        <v>42991</v>
      </c>
      <c r="B2311" t="s">
        <v>14</v>
      </c>
      <c r="C2311">
        <v>56.31</v>
      </c>
    </row>
    <row r="2312" spans="1:3" x14ac:dyDescent="0.25">
      <c r="A2312" s="2">
        <v>42990</v>
      </c>
      <c r="B2312" t="s">
        <v>14</v>
      </c>
      <c r="C2312">
        <v>55.79</v>
      </c>
    </row>
    <row r="2313" spans="1:3" x14ac:dyDescent="0.25">
      <c r="A2313" s="2">
        <v>42989</v>
      </c>
      <c r="B2313" t="s">
        <v>14</v>
      </c>
      <c r="C2313">
        <v>54.98</v>
      </c>
    </row>
    <row r="2314" spans="1:3" x14ac:dyDescent="0.25">
      <c r="A2314" s="2">
        <v>42986</v>
      </c>
      <c r="B2314" t="s">
        <v>14</v>
      </c>
      <c r="C2314">
        <v>55.27</v>
      </c>
    </row>
    <row r="2315" spans="1:3" x14ac:dyDescent="0.25">
      <c r="A2315" s="2">
        <v>42985</v>
      </c>
      <c r="B2315" t="s">
        <v>14</v>
      </c>
      <c r="C2315">
        <v>54.75</v>
      </c>
    </row>
    <row r="2316" spans="1:3" x14ac:dyDescent="0.25">
      <c r="A2316" s="2">
        <v>42984</v>
      </c>
      <c r="B2316" t="s">
        <v>14</v>
      </c>
      <c r="C2316">
        <v>55.18</v>
      </c>
    </row>
    <row r="2317" spans="1:3" x14ac:dyDescent="0.25">
      <c r="A2317" s="2">
        <v>42983</v>
      </c>
      <c r="B2317" t="s">
        <v>14</v>
      </c>
      <c r="C2317">
        <v>54.4</v>
      </c>
    </row>
    <row r="2318" spans="1:3" x14ac:dyDescent="0.25">
      <c r="A2318" s="2">
        <v>42982</v>
      </c>
      <c r="B2318" t="s">
        <v>14</v>
      </c>
      <c r="C2318">
        <v>53.43</v>
      </c>
    </row>
    <row r="2319" spans="1:3" x14ac:dyDescent="0.25">
      <c r="A2319" s="2">
        <v>42979</v>
      </c>
      <c r="B2319" t="s">
        <v>14</v>
      </c>
      <c r="C2319">
        <v>53.96</v>
      </c>
    </row>
    <row r="2320" spans="1:3" x14ac:dyDescent="0.25">
      <c r="A2320" s="2">
        <v>42978</v>
      </c>
      <c r="B2320" t="s">
        <v>14</v>
      </c>
      <c r="C2320">
        <v>53.52</v>
      </c>
    </row>
    <row r="2321" spans="1:3" x14ac:dyDescent="0.25">
      <c r="A2321" s="2">
        <v>42977</v>
      </c>
      <c r="B2321" t="s">
        <v>14</v>
      </c>
      <c r="C2321">
        <v>52.71</v>
      </c>
    </row>
    <row r="2322" spans="1:3" x14ac:dyDescent="0.25">
      <c r="A2322" s="2">
        <v>42976</v>
      </c>
      <c r="B2322" t="s">
        <v>14</v>
      </c>
      <c r="C2322">
        <v>52.45</v>
      </c>
    </row>
    <row r="2323" spans="1:3" x14ac:dyDescent="0.25">
      <c r="A2323" s="2">
        <v>42975</v>
      </c>
      <c r="B2323" t="s">
        <v>14</v>
      </c>
      <c r="C2323">
        <v>52.16</v>
      </c>
    </row>
    <row r="2324" spans="1:3" x14ac:dyDescent="0.25">
      <c r="A2324" s="2">
        <v>42972</v>
      </c>
      <c r="B2324" t="s">
        <v>14</v>
      </c>
      <c r="C2324">
        <v>52.54</v>
      </c>
    </row>
    <row r="2325" spans="1:3" x14ac:dyDescent="0.25">
      <c r="A2325" s="2">
        <v>42971</v>
      </c>
      <c r="B2325" t="s">
        <v>14</v>
      </c>
      <c r="C2325">
        <v>52.34</v>
      </c>
    </row>
    <row r="2326" spans="1:3" x14ac:dyDescent="0.25">
      <c r="A2326" s="2">
        <v>42970</v>
      </c>
      <c r="B2326" t="s">
        <v>14</v>
      </c>
      <c r="C2326">
        <v>52.88</v>
      </c>
    </row>
    <row r="2327" spans="1:3" x14ac:dyDescent="0.25">
      <c r="A2327" s="2">
        <v>42969</v>
      </c>
      <c r="B2327" t="s">
        <v>14</v>
      </c>
      <c r="C2327">
        <v>52.88</v>
      </c>
    </row>
    <row r="2328" spans="1:3" x14ac:dyDescent="0.25">
      <c r="A2328" s="2">
        <v>42968</v>
      </c>
      <c r="B2328" t="s">
        <v>14</v>
      </c>
      <c r="C2328">
        <v>52.53</v>
      </c>
    </row>
    <row r="2329" spans="1:3" x14ac:dyDescent="0.25">
      <c r="A2329" s="2">
        <v>42965</v>
      </c>
      <c r="B2329" t="s">
        <v>14</v>
      </c>
      <c r="C2329">
        <v>51.48</v>
      </c>
    </row>
    <row r="2330" spans="1:3" x14ac:dyDescent="0.25">
      <c r="A2330" s="2">
        <v>42964</v>
      </c>
      <c r="B2330" t="s">
        <v>14</v>
      </c>
      <c r="C2330">
        <v>50.92</v>
      </c>
    </row>
    <row r="2331" spans="1:3" x14ac:dyDescent="0.25">
      <c r="A2331" s="2">
        <v>42963</v>
      </c>
      <c r="B2331" t="s">
        <v>14</v>
      </c>
      <c r="C2331">
        <v>50.94</v>
      </c>
    </row>
    <row r="2332" spans="1:3" x14ac:dyDescent="0.25">
      <c r="A2332" s="2">
        <v>42962</v>
      </c>
      <c r="B2332" t="s">
        <v>14</v>
      </c>
      <c r="C2332">
        <v>50.48</v>
      </c>
    </row>
    <row r="2333" spans="1:3" x14ac:dyDescent="0.25">
      <c r="A2333" s="2">
        <v>42961</v>
      </c>
      <c r="B2333" t="s">
        <v>14</v>
      </c>
      <c r="C2333">
        <v>51.78</v>
      </c>
    </row>
    <row r="2334" spans="1:3" x14ac:dyDescent="0.25">
      <c r="A2334" s="2">
        <v>42958</v>
      </c>
      <c r="B2334" t="s">
        <v>14</v>
      </c>
      <c r="C2334">
        <v>52</v>
      </c>
    </row>
    <row r="2335" spans="1:3" x14ac:dyDescent="0.25">
      <c r="A2335" s="2">
        <v>42957</v>
      </c>
      <c r="B2335" t="s">
        <v>14</v>
      </c>
      <c r="C2335">
        <v>53.08</v>
      </c>
    </row>
    <row r="2336" spans="1:3" x14ac:dyDescent="0.25">
      <c r="A2336" s="2">
        <v>42956</v>
      </c>
      <c r="B2336" t="s">
        <v>14</v>
      </c>
      <c r="C2336">
        <v>52.79</v>
      </c>
    </row>
    <row r="2337" spans="1:3" x14ac:dyDescent="0.25">
      <c r="A2337" s="2">
        <v>42955</v>
      </c>
      <c r="B2337" t="s">
        <v>14</v>
      </c>
      <c r="C2337">
        <v>52.74</v>
      </c>
    </row>
    <row r="2338" spans="1:3" x14ac:dyDescent="0.25">
      <c r="A2338" s="2">
        <v>42954</v>
      </c>
      <c r="B2338" t="s">
        <v>14</v>
      </c>
      <c r="C2338">
        <v>52.02</v>
      </c>
    </row>
    <row r="2339" spans="1:3" x14ac:dyDescent="0.25">
      <c r="A2339" s="2">
        <v>42951</v>
      </c>
      <c r="B2339" t="s">
        <v>14</v>
      </c>
      <c r="C2339">
        <v>53.1</v>
      </c>
    </row>
    <row r="2340" spans="1:3" x14ac:dyDescent="0.25">
      <c r="A2340" s="2">
        <v>42950</v>
      </c>
      <c r="B2340" t="s">
        <v>14</v>
      </c>
      <c r="C2340">
        <v>53.46</v>
      </c>
    </row>
    <row r="2341" spans="1:3" x14ac:dyDescent="0.25">
      <c r="A2341" s="2">
        <v>42949</v>
      </c>
      <c r="B2341" t="s">
        <v>14</v>
      </c>
      <c r="C2341">
        <v>52.69</v>
      </c>
    </row>
    <row r="2342" spans="1:3" x14ac:dyDescent="0.25">
      <c r="A2342" s="2">
        <v>42948</v>
      </c>
      <c r="B2342" t="s">
        <v>14</v>
      </c>
      <c r="C2342">
        <v>51.34</v>
      </c>
    </row>
    <row r="2343" spans="1:3" x14ac:dyDescent="0.25">
      <c r="A2343" s="2">
        <v>42947</v>
      </c>
      <c r="B2343" t="s">
        <v>14</v>
      </c>
      <c r="C2343">
        <v>52.5</v>
      </c>
    </row>
    <row r="2344" spans="1:3" x14ac:dyDescent="0.25">
      <c r="A2344" s="2">
        <v>42944</v>
      </c>
      <c r="B2344" t="s">
        <v>14</v>
      </c>
      <c r="C2344">
        <v>52.5</v>
      </c>
    </row>
    <row r="2345" spans="1:3" x14ac:dyDescent="0.25">
      <c r="A2345" s="2">
        <v>42943</v>
      </c>
      <c r="B2345" t="s">
        <v>14</v>
      </c>
      <c r="C2345">
        <v>51.24</v>
      </c>
    </row>
    <row r="2346" spans="1:3" x14ac:dyDescent="0.25">
      <c r="A2346" s="2">
        <v>42942</v>
      </c>
      <c r="B2346" t="s">
        <v>14</v>
      </c>
      <c r="C2346">
        <v>50.68</v>
      </c>
    </row>
    <row r="2347" spans="1:3" x14ac:dyDescent="0.25">
      <c r="A2347" s="2">
        <v>42941</v>
      </c>
      <c r="B2347" t="s">
        <v>14</v>
      </c>
      <c r="C2347">
        <v>49.77</v>
      </c>
    </row>
    <row r="2348" spans="1:3" x14ac:dyDescent="0.25">
      <c r="A2348" s="2">
        <v>42940</v>
      </c>
      <c r="B2348" t="s">
        <v>14</v>
      </c>
      <c r="C2348">
        <v>48.38</v>
      </c>
    </row>
    <row r="2349" spans="1:3" x14ac:dyDescent="0.25">
      <c r="A2349" s="2">
        <v>42937</v>
      </c>
      <c r="B2349" t="s">
        <v>14</v>
      </c>
      <c r="C2349">
        <v>48.09</v>
      </c>
    </row>
    <row r="2350" spans="1:3" x14ac:dyDescent="0.25">
      <c r="A2350" s="2">
        <v>42936</v>
      </c>
      <c r="B2350" t="s">
        <v>14</v>
      </c>
      <c r="C2350">
        <v>49.03</v>
      </c>
    </row>
    <row r="2351" spans="1:3" x14ac:dyDescent="0.25">
      <c r="A2351" s="2">
        <v>42935</v>
      </c>
      <c r="B2351" t="s">
        <v>14</v>
      </c>
      <c r="C2351">
        <v>48.75</v>
      </c>
    </row>
    <row r="2352" spans="1:3" x14ac:dyDescent="0.25">
      <c r="A2352" s="2">
        <v>42934</v>
      </c>
      <c r="B2352" t="s">
        <v>14</v>
      </c>
      <c r="C2352">
        <v>48.31</v>
      </c>
    </row>
    <row r="2353" spans="1:3" x14ac:dyDescent="0.25">
      <c r="A2353" s="2">
        <v>42933</v>
      </c>
      <c r="B2353" t="s">
        <v>14</v>
      </c>
      <c r="C2353">
        <v>48.06</v>
      </c>
    </row>
    <row r="2354" spans="1:3" x14ac:dyDescent="0.25">
      <c r="A2354" s="2">
        <v>42930</v>
      </c>
      <c r="B2354" t="s">
        <v>14</v>
      </c>
      <c r="C2354">
        <v>48.35</v>
      </c>
    </row>
    <row r="2355" spans="1:3" x14ac:dyDescent="0.25">
      <c r="A2355" s="2">
        <v>42929</v>
      </c>
      <c r="B2355" t="s">
        <v>14</v>
      </c>
      <c r="C2355">
        <v>48.28</v>
      </c>
    </row>
    <row r="2356" spans="1:3" x14ac:dyDescent="0.25">
      <c r="A2356" s="2">
        <v>42928</v>
      </c>
      <c r="B2356" t="s">
        <v>14</v>
      </c>
      <c r="C2356">
        <v>47.41</v>
      </c>
    </row>
    <row r="2357" spans="1:3" x14ac:dyDescent="0.25">
      <c r="A2357" s="2">
        <v>42927</v>
      </c>
      <c r="B2357" t="s">
        <v>14</v>
      </c>
      <c r="C2357">
        <v>47.36</v>
      </c>
    </row>
    <row r="2358" spans="1:3" x14ac:dyDescent="0.25">
      <c r="A2358" s="2">
        <v>42926</v>
      </c>
      <c r="B2358" t="s">
        <v>14</v>
      </c>
      <c r="C2358">
        <v>47.28</v>
      </c>
    </row>
    <row r="2359" spans="1:3" x14ac:dyDescent="0.25">
      <c r="A2359" s="2">
        <v>42923</v>
      </c>
      <c r="B2359" t="s">
        <v>14</v>
      </c>
      <c r="C2359">
        <v>47.15</v>
      </c>
    </row>
    <row r="2360" spans="1:3" x14ac:dyDescent="0.25">
      <c r="A2360" s="2">
        <v>42922</v>
      </c>
      <c r="B2360" t="s">
        <v>14</v>
      </c>
      <c r="C2360">
        <v>49.07</v>
      </c>
    </row>
    <row r="2361" spans="1:3" x14ac:dyDescent="0.25">
      <c r="A2361" s="2">
        <v>42921</v>
      </c>
      <c r="B2361" t="s">
        <v>14</v>
      </c>
      <c r="C2361">
        <v>48.07</v>
      </c>
    </row>
    <row r="2362" spans="1:3" x14ac:dyDescent="0.25">
      <c r="A2362" s="2">
        <v>42920</v>
      </c>
      <c r="B2362" t="s">
        <v>14</v>
      </c>
      <c r="C2362">
        <v>49.61</v>
      </c>
    </row>
    <row r="2363" spans="1:3" x14ac:dyDescent="0.25">
      <c r="A2363" s="2">
        <v>42919</v>
      </c>
      <c r="B2363" t="s">
        <v>14</v>
      </c>
      <c r="C2363">
        <v>49.47</v>
      </c>
    </row>
    <row r="2364" spans="1:3" x14ac:dyDescent="0.25">
      <c r="A2364" s="2">
        <v>42916</v>
      </c>
      <c r="B2364" t="s">
        <v>14</v>
      </c>
      <c r="C2364">
        <v>47.58</v>
      </c>
    </row>
    <row r="2365" spans="1:3" x14ac:dyDescent="0.25">
      <c r="A2365" s="2">
        <v>42915</v>
      </c>
      <c r="B2365" t="s">
        <v>14</v>
      </c>
      <c r="C2365">
        <v>47.5</v>
      </c>
    </row>
    <row r="2366" spans="1:3" x14ac:dyDescent="0.25">
      <c r="A2366" s="2">
        <v>42914</v>
      </c>
      <c r="B2366" t="s">
        <v>14</v>
      </c>
      <c r="C2366">
        <v>46.96</v>
      </c>
    </row>
    <row r="2367" spans="1:3" x14ac:dyDescent="0.25">
      <c r="A2367" s="2">
        <v>42913</v>
      </c>
      <c r="B2367" t="s">
        <v>14</v>
      </c>
      <c r="C2367">
        <v>46.69</v>
      </c>
    </row>
    <row r="2368" spans="1:3" x14ac:dyDescent="0.25">
      <c r="A2368" s="2">
        <v>42912</v>
      </c>
      <c r="B2368" t="s">
        <v>14</v>
      </c>
      <c r="C2368">
        <v>44.5</v>
      </c>
    </row>
    <row r="2369" spans="1:3" x14ac:dyDescent="0.25">
      <c r="A2369" s="2">
        <v>42909</v>
      </c>
      <c r="B2369" t="s">
        <v>14</v>
      </c>
      <c r="C2369">
        <v>44.54</v>
      </c>
    </row>
    <row r="2370" spans="1:3" x14ac:dyDescent="0.25">
      <c r="A2370" s="2">
        <v>42908</v>
      </c>
      <c r="B2370" t="s">
        <v>14</v>
      </c>
      <c r="C2370">
        <v>44.85</v>
      </c>
    </row>
    <row r="2371" spans="1:3" x14ac:dyDescent="0.25">
      <c r="A2371" s="2">
        <v>42907</v>
      </c>
      <c r="B2371" t="s">
        <v>14</v>
      </c>
      <c r="C2371">
        <v>45.06</v>
      </c>
    </row>
    <row r="2372" spans="1:3" x14ac:dyDescent="0.25">
      <c r="A2372" s="2">
        <v>42906</v>
      </c>
      <c r="B2372" t="s">
        <v>14</v>
      </c>
      <c r="C2372">
        <v>44.34</v>
      </c>
    </row>
    <row r="2373" spans="1:3" x14ac:dyDescent="0.25">
      <c r="A2373" s="2">
        <v>42905</v>
      </c>
      <c r="B2373" t="s">
        <v>14</v>
      </c>
      <c r="C2373">
        <v>46.31</v>
      </c>
    </row>
    <row r="2374" spans="1:3" x14ac:dyDescent="0.25">
      <c r="A2374" s="2">
        <v>42902</v>
      </c>
      <c r="B2374" t="s">
        <v>14</v>
      </c>
      <c r="C2374">
        <v>46.17</v>
      </c>
    </row>
    <row r="2375" spans="1:3" x14ac:dyDescent="0.25">
      <c r="A2375" s="2">
        <v>42901</v>
      </c>
      <c r="B2375" t="s">
        <v>14</v>
      </c>
      <c r="C2375">
        <v>46.03</v>
      </c>
    </row>
    <row r="2376" spans="1:3" x14ac:dyDescent="0.25">
      <c r="A2376" s="2">
        <v>42900</v>
      </c>
      <c r="B2376" t="s">
        <v>14</v>
      </c>
      <c r="C2376">
        <v>45.9</v>
      </c>
    </row>
    <row r="2377" spans="1:3" x14ac:dyDescent="0.25">
      <c r="A2377" s="2">
        <v>42899</v>
      </c>
      <c r="B2377" t="s">
        <v>14</v>
      </c>
      <c r="C2377">
        <v>47.34</v>
      </c>
    </row>
    <row r="2378" spans="1:3" x14ac:dyDescent="0.25">
      <c r="A2378" s="2">
        <v>42898</v>
      </c>
      <c r="B2378" t="s">
        <v>14</v>
      </c>
      <c r="C2378">
        <v>47.45</v>
      </c>
    </row>
    <row r="2379" spans="1:3" x14ac:dyDescent="0.25">
      <c r="A2379" s="2">
        <v>42895</v>
      </c>
      <c r="B2379" t="s">
        <v>14</v>
      </c>
      <c r="C2379">
        <v>46.99</v>
      </c>
    </row>
    <row r="2380" spans="1:3" x14ac:dyDescent="0.25">
      <c r="A2380" s="2">
        <v>42894</v>
      </c>
      <c r="B2380" t="s">
        <v>14</v>
      </c>
      <c r="C2380">
        <v>46.68</v>
      </c>
    </row>
    <row r="2381" spans="1:3" x14ac:dyDescent="0.25">
      <c r="A2381" s="2">
        <v>42893</v>
      </c>
      <c r="B2381" t="s">
        <v>14</v>
      </c>
      <c r="C2381">
        <v>47.48</v>
      </c>
    </row>
    <row r="2382" spans="1:3" x14ac:dyDescent="0.25">
      <c r="A2382" s="2">
        <v>42892</v>
      </c>
      <c r="B2382" t="s">
        <v>14</v>
      </c>
      <c r="C2382">
        <v>48.56</v>
      </c>
    </row>
    <row r="2383" spans="1:3" x14ac:dyDescent="0.25">
      <c r="A2383" s="2">
        <v>42891</v>
      </c>
      <c r="B2383" t="s">
        <v>14</v>
      </c>
      <c r="C2383">
        <v>48.43</v>
      </c>
    </row>
    <row r="2384" spans="1:3" x14ac:dyDescent="0.25">
      <c r="A2384" s="2">
        <v>42888</v>
      </c>
      <c r="B2384" t="s">
        <v>14</v>
      </c>
      <c r="C2384">
        <v>48.63</v>
      </c>
    </row>
    <row r="2385" spans="1:3" x14ac:dyDescent="0.25">
      <c r="A2385" s="2">
        <v>42887</v>
      </c>
      <c r="B2385" t="s">
        <v>14</v>
      </c>
      <c r="C2385">
        <v>50.67</v>
      </c>
    </row>
    <row r="2386" spans="1:3" x14ac:dyDescent="0.25">
      <c r="A2386" s="2">
        <v>42886</v>
      </c>
      <c r="B2386" t="s">
        <v>14</v>
      </c>
      <c r="C2386">
        <v>49.67</v>
      </c>
    </row>
    <row r="2387" spans="1:3" x14ac:dyDescent="0.25">
      <c r="A2387" s="2">
        <v>42885</v>
      </c>
      <c r="B2387" t="s">
        <v>14</v>
      </c>
      <c r="C2387">
        <v>50.81</v>
      </c>
    </row>
    <row r="2388" spans="1:3" x14ac:dyDescent="0.25">
      <c r="A2388" s="2">
        <v>42884</v>
      </c>
      <c r="B2388" t="s">
        <v>14</v>
      </c>
      <c r="C2388">
        <v>51.82</v>
      </c>
    </row>
    <row r="2389" spans="1:3" x14ac:dyDescent="0.25">
      <c r="A2389" s="2">
        <v>42881</v>
      </c>
      <c r="B2389" t="s">
        <v>14</v>
      </c>
      <c r="C2389">
        <v>51.05</v>
      </c>
    </row>
    <row r="2390" spans="1:3" x14ac:dyDescent="0.25">
      <c r="A2390" s="2">
        <v>42880</v>
      </c>
      <c r="B2390" t="s">
        <v>14</v>
      </c>
      <c r="C2390">
        <v>52.4</v>
      </c>
    </row>
    <row r="2391" spans="1:3" x14ac:dyDescent="0.25">
      <c r="A2391" s="2">
        <v>42879</v>
      </c>
      <c r="B2391" t="s">
        <v>14</v>
      </c>
      <c r="C2391">
        <v>53.39</v>
      </c>
    </row>
    <row r="2392" spans="1:3" x14ac:dyDescent="0.25">
      <c r="A2392" s="2">
        <v>42878</v>
      </c>
      <c r="B2392" t="s">
        <v>14</v>
      </c>
      <c r="C2392">
        <v>53.3</v>
      </c>
    </row>
    <row r="2393" spans="1:3" x14ac:dyDescent="0.25">
      <c r="A2393" s="2">
        <v>42877</v>
      </c>
      <c r="B2393" t="s">
        <v>14</v>
      </c>
      <c r="C2393">
        <v>53.53</v>
      </c>
    </row>
    <row r="2394" spans="1:3" x14ac:dyDescent="0.25">
      <c r="A2394" s="2">
        <v>42874</v>
      </c>
      <c r="B2394" t="s">
        <v>14</v>
      </c>
      <c r="C2394">
        <v>52.94</v>
      </c>
    </row>
    <row r="2395" spans="1:3" x14ac:dyDescent="0.25">
      <c r="A2395" s="2">
        <v>42873</v>
      </c>
      <c r="B2395" t="s">
        <v>14</v>
      </c>
      <c r="C2395">
        <v>51.86</v>
      </c>
    </row>
    <row r="2396" spans="1:3" x14ac:dyDescent="0.25">
      <c r="A2396" s="2">
        <v>42872</v>
      </c>
      <c r="B2396" t="s">
        <v>14</v>
      </c>
      <c r="C2396">
        <v>51.91</v>
      </c>
    </row>
    <row r="2397" spans="1:3" x14ac:dyDescent="0.25">
      <c r="A2397" s="2">
        <v>42871</v>
      </c>
      <c r="B2397" t="s">
        <v>14</v>
      </c>
      <c r="C2397">
        <v>51.51</v>
      </c>
    </row>
    <row r="2398" spans="1:3" x14ac:dyDescent="0.25">
      <c r="A2398" s="2">
        <v>42870</v>
      </c>
      <c r="B2398" t="s">
        <v>14</v>
      </c>
      <c r="C2398">
        <v>51.47</v>
      </c>
    </row>
    <row r="2399" spans="1:3" x14ac:dyDescent="0.25">
      <c r="A2399" s="2">
        <v>42867</v>
      </c>
      <c r="B2399" t="s">
        <v>14</v>
      </c>
      <c r="C2399">
        <v>49.12</v>
      </c>
    </row>
    <row r="2400" spans="1:3" x14ac:dyDescent="0.25">
      <c r="A2400" s="2">
        <v>42866</v>
      </c>
      <c r="B2400" t="s">
        <v>14</v>
      </c>
      <c r="C2400">
        <v>49.21</v>
      </c>
    </row>
    <row r="2401" spans="1:3" x14ac:dyDescent="0.25">
      <c r="A2401" s="2">
        <v>42865</v>
      </c>
      <c r="B2401" t="s">
        <v>14</v>
      </c>
      <c r="C2401">
        <v>48.18</v>
      </c>
    </row>
    <row r="2402" spans="1:3" x14ac:dyDescent="0.25">
      <c r="A2402" s="2">
        <v>42864</v>
      </c>
      <c r="B2402" t="s">
        <v>14</v>
      </c>
      <c r="C2402">
        <v>47.2</v>
      </c>
    </row>
    <row r="2403" spans="1:3" x14ac:dyDescent="0.25">
      <c r="A2403" s="2">
        <v>42863</v>
      </c>
      <c r="B2403" t="s">
        <v>14</v>
      </c>
      <c r="C2403">
        <v>46.77</v>
      </c>
    </row>
    <row r="2404" spans="1:3" x14ac:dyDescent="0.25">
      <c r="A2404" s="2">
        <v>42860</v>
      </c>
      <c r="B2404" t="s">
        <v>14</v>
      </c>
      <c r="C2404">
        <v>47.66</v>
      </c>
    </row>
    <row r="2405" spans="1:3" x14ac:dyDescent="0.25">
      <c r="A2405" s="2">
        <v>42859</v>
      </c>
      <c r="B2405" t="s">
        <v>14</v>
      </c>
      <c r="C2405">
        <v>47.73</v>
      </c>
    </row>
    <row r="2406" spans="1:3" x14ac:dyDescent="0.25">
      <c r="A2406" s="2">
        <v>42858</v>
      </c>
      <c r="B2406" t="s">
        <v>14</v>
      </c>
      <c r="C2406">
        <v>48.96</v>
      </c>
    </row>
    <row r="2407" spans="1:3" x14ac:dyDescent="0.25">
      <c r="A2407" s="2">
        <v>42857</v>
      </c>
      <c r="B2407" t="s">
        <v>14</v>
      </c>
      <c r="C2407">
        <v>49.29</v>
      </c>
    </row>
    <row r="2408" spans="1:3" x14ac:dyDescent="0.25">
      <c r="A2408" s="2">
        <v>42856</v>
      </c>
      <c r="B2408" t="s">
        <v>14</v>
      </c>
      <c r="C2408">
        <v>50.32</v>
      </c>
    </row>
    <row r="2409" spans="1:3" x14ac:dyDescent="0.25">
      <c r="A2409" s="2">
        <v>42853</v>
      </c>
      <c r="B2409" t="s">
        <v>14</v>
      </c>
      <c r="C2409">
        <v>50.57</v>
      </c>
    </row>
    <row r="2410" spans="1:3" x14ac:dyDescent="0.25">
      <c r="A2410" s="2">
        <v>42852</v>
      </c>
      <c r="B2410" t="s">
        <v>14</v>
      </c>
      <c r="C2410">
        <v>49.66</v>
      </c>
    </row>
    <row r="2411" spans="1:3" x14ac:dyDescent="0.25">
      <c r="A2411" s="2">
        <v>42851</v>
      </c>
      <c r="B2411" t="s">
        <v>14</v>
      </c>
      <c r="C2411">
        <v>50.01</v>
      </c>
    </row>
    <row r="2412" spans="1:3" x14ac:dyDescent="0.25">
      <c r="A2412" s="2">
        <v>42850</v>
      </c>
      <c r="B2412" t="s">
        <v>14</v>
      </c>
      <c r="C2412">
        <v>49.43</v>
      </c>
    </row>
    <row r="2413" spans="1:3" x14ac:dyDescent="0.25">
      <c r="A2413" s="2">
        <v>42849</v>
      </c>
      <c r="B2413" t="s">
        <v>14</v>
      </c>
      <c r="C2413">
        <v>49.5</v>
      </c>
    </row>
    <row r="2414" spans="1:3" x14ac:dyDescent="0.25">
      <c r="A2414" s="2">
        <v>42846</v>
      </c>
      <c r="B2414" t="s">
        <v>14</v>
      </c>
      <c r="C2414">
        <v>49.96</v>
      </c>
    </row>
    <row r="2415" spans="1:3" x14ac:dyDescent="0.25">
      <c r="A2415" s="2">
        <v>42845</v>
      </c>
      <c r="B2415" t="s">
        <v>14</v>
      </c>
      <c r="C2415">
        <v>50.93</v>
      </c>
    </row>
    <row r="2416" spans="1:3" x14ac:dyDescent="0.25">
      <c r="A2416" s="2">
        <v>42844</v>
      </c>
      <c r="B2416" t="s">
        <v>14</v>
      </c>
      <c r="C2416">
        <v>52.33</v>
      </c>
    </row>
    <row r="2417" spans="1:3" x14ac:dyDescent="0.25">
      <c r="A2417" s="2">
        <v>42843</v>
      </c>
      <c r="B2417" t="s">
        <v>14</v>
      </c>
      <c r="C2417">
        <v>52.54</v>
      </c>
    </row>
    <row r="2418" spans="1:3" x14ac:dyDescent="0.25">
      <c r="A2418" s="2">
        <v>42842</v>
      </c>
      <c r="B2418" t="s">
        <v>14</v>
      </c>
      <c r="C2418">
        <v>55.1</v>
      </c>
    </row>
    <row r="2419" spans="1:3" x14ac:dyDescent="0.25">
      <c r="A2419" s="2">
        <v>42838</v>
      </c>
      <c r="B2419" t="s">
        <v>14</v>
      </c>
      <c r="C2419">
        <v>54.73</v>
      </c>
    </row>
    <row r="2420" spans="1:3" x14ac:dyDescent="0.25">
      <c r="A2420" s="2">
        <v>42837</v>
      </c>
      <c r="B2420" t="s">
        <v>14</v>
      </c>
      <c r="C2420">
        <v>54.81</v>
      </c>
    </row>
    <row r="2421" spans="1:3" x14ac:dyDescent="0.25">
      <c r="A2421" s="2">
        <v>42836</v>
      </c>
      <c r="B2421" t="s">
        <v>14</v>
      </c>
      <c r="C2421">
        <v>54.78</v>
      </c>
    </row>
    <row r="2422" spans="1:3" x14ac:dyDescent="0.25">
      <c r="A2422" s="2">
        <v>42835</v>
      </c>
      <c r="B2422" t="s">
        <v>14</v>
      </c>
      <c r="C2422">
        <v>54.83</v>
      </c>
    </row>
    <row r="2423" spans="1:3" x14ac:dyDescent="0.25">
      <c r="A2423" s="2">
        <v>42832</v>
      </c>
      <c r="B2423" t="s">
        <v>14</v>
      </c>
      <c r="C2423">
        <v>54.3</v>
      </c>
    </row>
    <row r="2424" spans="1:3" x14ac:dyDescent="0.25">
      <c r="A2424" s="2">
        <v>42831</v>
      </c>
      <c r="B2424" t="s">
        <v>14</v>
      </c>
      <c r="C2424">
        <v>53.69</v>
      </c>
    </row>
    <row r="2425" spans="1:3" x14ac:dyDescent="0.25">
      <c r="A2425" s="2">
        <v>42830</v>
      </c>
      <c r="B2425" t="s">
        <v>14</v>
      </c>
      <c r="C2425">
        <v>53.52</v>
      </c>
    </row>
    <row r="2426" spans="1:3" x14ac:dyDescent="0.25">
      <c r="A2426" s="2">
        <v>42829</v>
      </c>
      <c r="B2426" t="s">
        <v>14</v>
      </c>
      <c r="C2426">
        <v>53.19</v>
      </c>
    </row>
    <row r="2427" spans="1:3" x14ac:dyDescent="0.25">
      <c r="A2427" s="2">
        <v>42828</v>
      </c>
      <c r="B2427" t="s">
        <v>14</v>
      </c>
      <c r="C2427">
        <v>52.16</v>
      </c>
    </row>
    <row r="2428" spans="1:3" x14ac:dyDescent="0.25">
      <c r="A2428" s="2">
        <v>42825</v>
      </c>
      <c r="B2428" t="s">
        <v>14</v>
      </c>
      <c r="C2428">
        <v>52.32</v>
      </c>
    </row>
    <row r="2429" spans="1:3" x14ac:dyDescent="0.25">
      <c r="A2429" s="2">
        <v>42824</v>
      </c>
      <c r="B2429" t="s">
        <v>14</v>
      </c>
      <c r="C2429">
        <v>52.34</v>
      </c>
    </row>
    <row r="2430" spans="1:3" x14ac:dyDescent="0.25">
      <c r="A2430" s="2">
        <v>42823</v>
      </c>
      <c r="B2430" t="s">
        <v>14</v>
      </c>
      <c r="C2430">
        <v>51.5</v>
      </c>
    </row>
    <row r="2431" spans="1:3" x14ac:dyDescent="0.25">
      <c r="A2431" s="2">
        <v>42822</v>
      </c>
      <c r="B2431" t="s">
        <v>14</v>
      </c>
      <c r="C2431">
        <v>50.85</v>
      </c>
    </row>
    <row r="2432" spans="1:3" x14ac:dyDescent="0.25">
      <c r="A2432" s="2">
        <v>42821</v>
      </c>
      <c r="B2432" t="s">
        <v>14</v>
      </c>
      <c r="C2432">
        <v>50.38</v>
      </c>
    </row>
    <row r="2433" spans="1:3" x14ac:dyDescent="0.25">
      <c r="A2433" s="2">
        <v>42818</v>
      </c>
      <c r="B2433" t="s">
        <v>14</v>
      </c>
      <c r="C2433">
        <v>50.24</v>
      </c>
    </row>
    <row r="2434" spans="1:3" x14ac:dyDescent="0.25">
      <c r="A2434" s="2">
        <v>42817</v>
      </c>
      <c r="B2434" t="s">
        <v>14</v>
      </c>
      <c r="C2434">
        <v>50.43</v>
      </c>
    </row>
    <row r="2435" spans="1:3" x14ac:dyDescent="0.25">
      <c r="A2435" s="2">
        <v>42816</v>
      </c>
      <c r="B2435" t="s">
        <v>14</v>
      </c>
      <c r="C2435">
        <v>49.83</v>
      </c>
    </row>
    <row r="2436" spans="1:3" x14ac:dyDescent="0.25">
      <c r="A2436" s="2">
        <v>42815</v>
      </c>
      <c r="B2436" t="s">
        <v>14</v>
      </c>
      <c r="C2436">
        <v>50.37</v>
      </c>
    </row>
    <row r="2437" spans="1:3" x14ac:dyDescent="0.25">
      <c r="A2437" s="2">
        <v>42814</v>
      </c>
      <c r="B2437" t="s">
        <v>14</v>
      </c>
      <c r="C2437">
        <v>50.82</v>
      </c>
    </row>
    <row r="2438" spans="1:3" x14ac:dyDescent="0.25">
      <c r="A2438" s="2">
        <v>42811</v>
      </c>
      <c r="B2438" t="s">
        <v>14</v>
      </c>
      <c r="C2438">
        <v>50.62</v>
      </c>
    </row>
    <row r="2439" spans="1:3" x14ac:dyDescent="0.25">
      <c r="A2439" s="2">
        <v>42810</v>
      </c>
      <c r="B2439" t="s">
        <v>14</v>
      </c>
      <c r="C2439">
        <v>50.6</v>
      </c>
    </row>
    <row r="2440" spans="1:3" x14ac:dyDescent="0.25">
      <c r="A2440" s="2">
        <v>42809</v>
      </c>
      <c r="B2440" t="s">
        <v>14</v>
      </c>
      <c r="C2440">
        <v>50.67</v>
      </c>
    </row>
    <row r="2441" spans="1:3" x14ac:dyDescent="0.25">
      <c r="A2441" s="2">
        <v>42808</v>
      </c>
      <c r="B2441" t="s">
        <v>14</v>
      </c>
      <c r="C2441">
        <v>49.83</v>
      </c>
    </row>
    <row r="2442" spans="1:3" x14ac:dyDescent="0.25">
      <c r="A2442" s="2">
        <v>42807</v>
      </c>
      <c r="B2442" t="s">
        <v>14</v>
      </c>
      <c r="C2442">
        <v>50.38</v>
      </c>
    </row>
    <row r="2443" spans="1:3" x14ac:dyDescent="0.25">
      <c r="A2443" s="2">
        <v>42804</v>
      </c>
      <c r="B2443" t="s">
        <v>14</v>
      </c>
      <c r="C2443">
        <v>50.88</v>
      </c>
    </row>
    <row r="2444" spans="1:3" x14ac:dyDescent="0.25">
      <c r="A2444" s="2">
        <v>42803</v>
      </c>
      <c r="B2444" t="s">
        <v>14</v>
      </c>
      <c r="C2444">
        <v>50.85</v>
      </c>
    </row>
    <row r="2445" spans="1:3" x14ac:dyDescent="0.25">
      <c r="A2445" s="2">
        <v>42802</v>
      </c>
      <c r="B2445" t="s">
        <v>14</v>
      </c>
      <c r="C2445">
        <v>53.21</v>
      </c>
    </row>
    <row r="2446" spans="1:3" x14ac:dyDescent="0.25">
      <c r="A2446" s="2">
        <v>42801</v>
      </c>
      <c r="B2446" t="s">
        <v>14</v>
      </c>
      <c r="C2446">
        <v>54.52</v>
      </c>
    </row>
    <row r="2447" spans="1:3" x14ac:dyDescent="0.25">
      <c r="A2447" s="2">
        <v>42800</v>
      </c>
      <c r="B2447" t="s">
        <v>14</v>
      </c>
      <c r="C2447">
        <v>54.65</v>
      </c>
    </row>
    <row r="2448" spans="1:3" x14ac:dyDescent="0.25">
      <c r="A2448" s="2">
        <v>42797</v>
      </c>
      <c r="B2448" t="s">
        <v>14</v>
      </c>
      <c r="C2448">
        <v>54.06</v>
      </c>
    </row>
    <row r="2449" spans="1:3" x14ac:dyDescent="0.25">
      <c r="A2449" s="2">
        <v>42796</v>
      </c>
      <c r="B2449" t="s">
        <v>14</v>
      </c>
      <c r="C2449">
        <v>54.23</v>
      </c>
    </row>
    <row r="2450" spans="1:3" x14ac:dyDescent="0.25">
      <c r="A2450" s="2">
        <v>42795</v>
      </c>
      <c r="B2450" t="s">
        <v>14</v>
      </c>
      <c r="C2450">
        <v>55.72</v>
      </c>
    </row>
    <row r="2451" spans="1:3" x14ac:dyDescent="0.25">
      <c r="A2451" s="2">
        <v>42794</v>
      </c>
      <c r="B2451" t="s">
        <v>14</v>
      </c>
      <c r="C2451">
        <v>53.38</v>
      </c>
    </row>
    <row r="2452" spans="1:3" x14ac:dyDescent="0.25">
      <c r="A2452" s="2">
        <v>42793</v>
      </c>
      <c r="B2452" t="s">
        <v>14</v>
      </c>
      <c r="C2452">
        <v>54.67</v>
      </c>
    </row>
    <row r="2453" spans="1:3" x14ac:dyDescent="0.25">
      <c r="A2453" s="2">
        <v>42790</v>
      </c>
      <c r="B2453" t="s">
        <v>14</v>
      </c>
      <c r="C2453">
        <v>54.78</v>
      </c>
    </row>
    <row r="2454" spans="1:3" x14ac:dyDescent="0.25">
      <c r="A2454" s="2">
        <v>42789</v>
      </c>
      <c r="B2454" t="s">
        <v>14</v>
      </c>
      <c r="C2454">
        <v>55.9</v>
      </c>
    </row>
    <row r="2455" spans="1:3" x14ac:dyDescent="0.25">
      <c r="A2455" s="2">
        <v>42788</v>
      </c>
      <c r="B2455" t="s">
        <v>14</v>
      </c>
      <c r="C2455">
        <v>55.03</v>
      </c>
    </row>
    <row r="2456" spans="1:3" x14ac:dyDescent="0.25">
      <c r="A2456" s="2">
        <v>42787</v>
      </c>
      <c r="B2456" t="s">
        <v>14</v>
      </c>
      <c r="C2456">
        <v>56.38</v>
      </c>
    </row>
    <row r="2457" spans="1:3" x14ac:dyDescent="0.25">
      <c r="A2457" s="2">
        <v>42786</v>
      </c>
      <c r="B2457" t="s">
        <v>14</v>
      </c>
      <c r="C2457">
        <v>55.21</v>
      </c>
    </row>
    <row r="2458" spans="1:3" x14ac:dyDescent="0.25">
      <c r="A2458" s="2">
        <v>42783</v>
      </c>
      <c r="B2458" t="s">
        <v>14</v>
      </c>
      <c r="C2458">
        <v>54.45</v>
      </c>
    </row>
    <row r="2459" spans="1:3" x14ac:dyDescent="0.25">
      <c r="A2459" s="2">
        <v>42782</v>
      </c>
      <c r="B2459" t="s">
        <v>14</v>
      </c>
      <c r="C2459">
        <v>54.11</v>
      </c>
    </row>
    <row r="2460" spans="1:3" x14ac:dyDescent="0.25">
      <c r="A2460" s="2">
        <v>42781</v>
      </c>
      <c r="B2460" t="s">
        <v>14</v>
      </c>
      <c r="C2460">
        <v>54.57</v>
      </c>
    </row>
    <row r="2461" spans="1:3" x14ac:dyDescent="0.25">
      <c r="A2461" s="2">
        <v>42780</v>
      </c>
      <c r="B2461" t="s">
        <v>14</v>
      </c>
      <c r="C2461">
        <v>54.96</v>
      </c>
    </row>
    <row r="2462" spans="1:3" x14ac:dyDescent="0.25">
      <c r="A2462" s="2">
        <v>42779</v>
      </c>
      <c r="B2462" t="s">
        <v>14</v>
      </c>
      <c r="C2462">
        <v>54.16</v>
      </c>
    </row>
    <row r="2463" spans="1:3" x14ac:dyDescent="0.25">
      <c r="A2463" s="2">
        <v>42776</v>
      </c>
      <c r="B2463" t="s">
        <v>14</v>
      </c>
      <c r="C2463">
        <v>55.15</v>
      </c>
    </row>
    <row r="2464" spans="1:3" x14ac:dyDescent="0.25">
      <c r="A2464" s="2">
        <v>42775</v>
      </c>
      <c r="B2464" t="s">
        <v>14</v>
      </c>
      <c r="C2464">
        <v>54.03</v>
      </c>
    </row>
    <row r="2465" spans="1:3" x14ac:dyDescent="0.25">
      <c r="A2465" s="2">
        <v>42774</v>
      </c>
      <c r="B2465" t="s">
        <v>14</v>
      </c>
      <c r="C2465">
        <v>54.45</v>
      </c>
    </row>
    <row r="2466" spans="1:3" x14ac:dyDescent="0.25">
      <c r="A2466" s="2">
        <v>42773</v>
      </c>
      <c r="B2466" t="s">
        <v>14</v>
      </c>
      <c r="C2466">
        <v>53.82</v>
      </c>
    </row>
    <row r="2467" spans="1:3" x14ac:dyDescent="0.25">
      <c r="A2467" s="2">
        <v>42772</v>
      </c>
      <c r="B2467" t="s">
        <v>14</v>
      </c>
      <c r="C2467">
        <v>55.02</v>
      </c>
    </row>
    <row r="2468" spans="1:3" x14ac:dyDescent="0.25">
      <c r="A2468" s="2">
        <v>42769</v>
      </c>
      <c r="B2468" t="s">
        <v>14</v>
      </c>
      <c r="C2468">
        <v>55.84</v>
      </c>
    </row>
    <row r="2469" spans="1:3" x14ac:dyDescent="0.25">
      <c r="A2469" s="2">
        <v>42768</v>
      </c>
      <c r="B2469" t="s">
        <v>14</v>
      </c>
      <c r="C2469">
        <v>55.99</v>
      </c>
    </row>
    <row r="2470" spans="1:3" x14ac:dyDescent="0.25">
      <c r="A2470" s="2">
        <v>42767</v>
      </c>
      <c r="B2470" t="s">
        <v>14</v>
      </c>
      <c r="C2470">
        <v>55.9</v>
      </c>
    </row>
    <row r="2471" spans="1:3" x14ac:dyDescent="0.25">
      <c r="A2471" s="2">
        <v>42766</v>
      </c>
      <c r="B2471" t="s">
        <v>14</v>
      </c>
      <c r="C2471">
        <v>55.42</v>
      </c>
    </row>
    <row r="2472" spans="1:3" x14ac:dyDescent="0.25">
      <c r="A2472" s="2">
        <v>42765</v>
      </c>
      <c r="B2472" t="s">
        <v>14</v>
      </c>
      <c r="C2472">
        <v>54.98</v>
      </c>
    </row>
    <row r="2473" spans="1:3" x14ac:dyDescent="0.25">
      <c r="A2473" s="2">
        <v>42762</v>
      </c>
      <c r="B2473" t="s">
        <v>14</v>
      </c>
      <c r="C2473">
        <v>54.99</v>
      </c>
    </row>
    <row r="2474" spans="1:3" x14ac:dyDescent="0.25">
      <c r="A2474" s="2">
        <v>42761</v>
      </c>
      <c r="B2474" t="s">
        <v>14</v>
      </c>
      <c r="C2474">
        <v>55.99</v>
      </c>
    </row>
    <row r="2475" spans="1:3" x14ac:dyDescent="0.25">
      <c r="A2475" s="2">
        <v>42760</v>
      </c>
      <c r="B2475" t="s">
        <v>14</v>
      </c>
      <c r="C2475">
        <v>54.45</v>
      </c>
    </row>
    <row r="2476" spans="1:3" x14ac:dyDescent="0.25">
      <c r="A2476" s="2">
        <v>42759</v>
      </c>
      <c r="B2476" t="s">
        <v>14</v>
      </c>
      <c r="C2476">
        <v>54.83</v>
      </c>
    </row>
    <row r="2477" spans="1:3" x14ac:dyDescent="0.25">
      <c r="A2477" s="2">
        <v>42758</v>
      </c>
      <c r="B2477" t="s">
        <v>14</v>
      </c>
      <c r="C2477">
        <v>54.97</v>
      </c>
    </row>
    <row r="2478" spans="1:3" x14ac:dyDescent="0.25">
      <c r="A2478" s="2">
        <v>42755</v>
      </c>
      <c r="B2478" t="s">
        <v>14</v>
      </c>
      <c r="C2478">
        <v>55.16</v>
      </c>
    </row>
    <row r="2479" spans="1:3" x14ac:dyDescent="0.25">
      <c r="A2479" s="2">
        <v>42754</v>
      </c>
      <c r="B2479" t="s">
        <v>14</v>
      </c>
      <c r="C2479">
        <v>53.4</v>
      </c>
    </row>
    <row r="2480" spans="1:3" x14ac:dyDescent="0.25">
      <c r="A2480" s="2">
        <v>42753</v>
      </c>
      <c r="B2480" t="s">
        <v>14</v>
      </c>
      <c r="C2480">
        <v>53.94</v>
      </c>
    </row>
    <row r="2481" spans="1:3" x14ac:dyDescent="0.25">
      <c r="A2481" s="2">
        <v>42752</v>
      </c>
      <c r="B2481" t="s">
        <v>14</v>
      </c>
      <c r="C2481">
        <v>54.72</v>
      </c>
    </row>
    <row r="2482" spans="1:3" x14ac:dyDescent="0.25">
      <c r="A2482" s="2">
        <v>42751</v>
      </c>
      <c r="B2482" t="s">
        <v>14</v>
      </c>
      <c r="C2482">
        <v>54.34</v>
      </c>
    </row>
    <row r="2483" spans="1:3" x14ac:dyDescent="0.25">
      <c r="A2483" s="2">
        <v>42748</v>
      </c>
      <c r="B2483" t="s">
        <v>14</v>
      </c>
      <c r="C2483">
        <v>54.4</v>
      </c>
    </row>
    <row r="2484" spans="1:3" x14ac:dyDescent="0.25">
      <c r="A2484" s="2">
        <v>42747</v>
      </c>
      <c r="B2484" t="s">
        <v>14</v>
      </c>
      <c r="C2484">
        <v>54.61</v>
      </c>
    </row>
    <row r="2485" spans="1:3" x14ac:dyDescent="0.25">
      <c r="A2485" s="2">
        <v>42746</v>
      </c>
      <c r="B2485" t="s">
        <v>14</v>
      </c>
      <c r="C2485">
        <v>53.72</v>
      </c>
    </row>
    <row r="2486" spans="1:3" x14ac:dyDescent="0.25">
      <c r="A2486" s="2">
        <v>42745</v>
      </c>
      <c r="B2486" t="s">
        <v>14</v>
      </c>
      <c r="C2486">
        <v>53.41</v>
      </c>
    </row>
    <row r="2487" spans="1:3" x14ac:dyDescent="0.25">
      <c r="A2487" s="2">
        <v>42744</v>
      </c>
      <c r="B2487" t="s">
        <v>14</v>
      </c>
      <c r="C2487">
        <v>54.53</v>
      </c>
    </row>
    <row r="2488" spans="1:3" x14ac:dyDescent="0.25">
      <c r="A2488" s="2">
        <v>42741</v>
      </c>
      <c r="B2488" t="s">
        <v>14</v>
      </c>
      <c r="C2488">
        <v>56.02</v>
      </c>
    </row>
    <row r="2489" spans="1:3" x14ac:dyDescent="0.25">
      <c r="A2489" s="2">
        <v>42740</v>
      </c>
      <c r="B2489" t="s">
        <v>14</v>
      </c>
      <c r="C2489">
        <v>55.16</v>
      </c>
    </row>
    <row r="2490" spans="1:3" x14ac:dyDescent="0.25">
      <c r="A2490" s="2">
        <v>42739</v>
      </c>
      <c r="B2490" t="s">
        <v>14</v>
      </c>
      <c r="C2490">
        <v>54.72</v>
      </c>
    </row>
    <row r="2491" spans="1:3" x14ac:dyDescent="0.25">
      <c r="A2491" s="2">
        <v>42738</v>
      </c>
      <c r="B2491" t="s">
        <v>14</v>
      </c>
      <c r="C2491">
        <v>55.27</v>
      </c>
    </row>
    <row r="2492" spans="1:3" x14ac:dyDescent="0.25">
      <c r="A2492" s="2">
        <v>42734</v>
      </c>
      <c r="B2492" t="s">
        <v>14</v>
      </c>
      <c r="C2492">
        <v>55.13</v>
      </c>
    </row>
    <row r="2493" spans="1:3" x14ac:dyDescent="0.25">
      <c r="A2493" s="2">
        <v>42733</v>
      </c>
      <c r="B2493" t="s">
        <v>14</v>
      </c>
      <c r="C2493">
        <v>55.19</v>
      </c>
    </row>
    <row r="2494" spans="1:3" x14ac:dyDescent="0.25">
      <c r="A2494" s="2">
        <v>42732</v>
      </c>
      <c r="B2494" t="s">
        <v>14</v>
      </c>
      <c r="C2494">
        <v>55.45</v>
      </c>
    </row>
    <row r="2495" spans="1:3" x14ac:dyDescent="0.25">
      <c r="A2495" s="2">
        <v>42730</v>
      </c>
      <c r="B2495" t="s">
        <v>14</v>
      </c>
      <c r="C2495">
        <v>54.715000000000003</v>
      </c>
    </row>
    <row r="2496" spans="1:3" x14ac:dyDescent="0.25">
      <c r="A2496" s="2">
        <v>42727</v>
      </c>
      <c r="B2496" t="s">
        <v>14</v>
      </c>
      <c r="C2496">
        <v>54.24</v>
      </c>
    </row>
    <row r="2497" spans="1:3" x14ac:dyDescent="0.25">
      <c r="A2497" s="2">
        <v>42726</v>
      </c>
      <c r="B2497" t="s">
        <v>14</v>
      </c>
      <c r="C2497">
        <v>54.34</v>
      </c>
    </row>
    <row r="2498" spans="1:3" x14ac:dyDescent="0.25">
      <c r="A2498" s="2">
        <v>42725</v>
      </c>
      <c r="B2498" t="s">
        <v>14</v>
      </c>
      <c r="C2498">
        <v>53.14</v>
      </c>
    </row>
    <row r="2499" spans="1:3" x14ac:dyDescent="0.25">
      <c r="A2499" s="2">
        <v>42724</v>
      </c>
      <c r="B2499" t="s">
        <v>14</v>
      </c>
      <c r="C2499">
        <v>54.77</v>
      </c>
    </row>
    <row r="2500" spans="1:3" x14ac:dyDescent="0.25">
      <c r="A2500" s="2">
        <v>42723</v>
      </c>
      <c r="B2500" t="s">
        <v>14</v>
      </c>
      <c r="C2500">
        <v>53.82</v>
      </c>
    </row>
    <row r="2501" spans="1:3" x14ac:dyDescent="0.25">
      <c r="A2501" s="2">
        <v>42720</v>
      </c>
      <c r="B2501" t="s">
        <v>14</v>
      </c>
      <c r="C2501">
        <v>54.36</v>
      </c>
    </row>
    <row r="2502" spans="1:3" x14ac:dyDescent="0.25">
      <c r="A2502" s="2">
        <v>42719</v>
      </c>
      <c r="B2502" t="s">
        <v>14</v>
      </c>
      <c r="C2502">
        <v>51.95</v>
      </c>
    </row>
    <row r="2503" spans="1:3" x14ac:dyDescent="0.25">
      <c r="A2503" s="2">
        <v>42718</v>
      </c>
      <c r="B2503" t="s">
        <v>14</v>
      </c>
      <c r="C2503">
        <v>53.3</v>
      </c>
    </row>
    <row r="2504" spans="1:3" x14ac:dyDescent="0.25">
      <c r="A2504" s="2">
        <v>42717</v>
      </c>
      <c r="B2504" t="s">
        <v>14</v>
      </c>
      <c r="C2504">
        <v>53.49</v>
      </c>
    </row>
    <row r="2505" spans="1:3" x14ac:dyDescent="0.25">
      <c r="A2505" s="2">
        <v>42716</v>
      </c>
      <c r="B2505" t="s">
        <v>14</v>
      </c>
      <c r="C2505">
        <v>54.07</v>
      </c>
    </row>
    <row r="2506" spans="1:3" x14ac:dyDescent="0.25">
      <c r="A2506" s="2">
        <v>42713</v>
      </c>
      <c r="B2506" t="s">
        <v>14</v>
      </c>
      <c r="C2506">
        <v>52.36</v>
      </c>
    </row>
    <row r="2507" spans="1:3" x14ac:dyDescent="0.25">
      <c r="A2507" s="2">
        <v>42712</v>
      </c>
      <c r="B2507" t="s">
        <v>14</v>
      </c>
      <c r="C2507">
        <v>51.85</v>
      </c>
    </row>
    <row r="2508" spans="1:3" x14ac:dyDescent="0.25">
      <c r="A2508" s="2">
        <v>42711</v>
      </c>
      <c r="B2508" t="s">
        <v>14</v>
      </c>
      <c r="C2508">
        <v>52.09</v>
      </c>
    </row>
    <row r="2509" spans="1:3" x14ac:dyDescent="0.25">
      <c r="A2509" s="2">
        <v>42710</v>
      </c>
      <c r="B2509" t="s">
        <v>14</v>
      </c>
      <c r="C2509">
        <v>52.52</v>
      </c>
    </row>
    <row r="2510" spans="1:3" x14ac:dyDescent="0.25">
      <c r="A2510" s="2">
        <v>42709</v>
      </c>
      <c r="B2510" t="s">
        <v>14</v>
      </c>
      <c r="C2510">
        <v>53.47</v>
      </c>
    </row>
    <row r="2511" spans="1:3" x14ac:dyDescent="0.25">
      <c r="A2511" s="2">
        <v>42706</v>
      </c>
      <c r="B2511" t="s">
        <v>14</v>
      </c>
      <c r="C2511">
        <v>52.54</v>
      </c>
    </row>
    <row r="2512" spans="1:3" x14ac:dyDescent="0.25">
      <c r="A2512" s="2">
        <v>42705</v>
      </c>
      <c r="B2512" t="s">
        <v>14</v>
      </c>
      <c r="C2512">
        <v>52.37</v>
      </c>
    </row>
    <row r="2513" spans="1:3" x14ac:dyDescent="0.25">
      <c r="A2513" s="2">
        <v>42704</v>
      </c>
      <c r="B2513" t="s">
        <v>14</v>
      </c>
      <c r="C2513">
        <v>48.33</v>
      </c>
    </row>
    <row r="2514" spans="1:3" x14ac:dyDescent="0.25">
      <c r="A2514" s="2">
        <v>42703</v>
      </c>
      <c r="B2514" t="s">
        <v>14</v>
      </c>
      <c r="C2514">
        <v>45.23</v>
      </c>
    </row>
    <row r="2515" spans="1:3" x14ac:dyDescent="0.25">
      <c r="A2515" s="2">
        <v>42702</v>
      </c>
      <c r="B2515" t="s">
        <v>14</v>
      </c>
      <c r="C2515">
        <v>47.09</v>
      </c>
    </row>
    <row r="2516" spans="1:3" x14ac:dyDescent="0.25">
      <c r="A2516" s="2">
        <v>42699</v>
      </c>
      <c r="B2516" t="s">
        <v>14</v>
      </c>
      <c r="C2516">
        <v>46.76</v>
      </c>
    </row>
    <row r="2517" spans="1:3" x14ac:dyDescent="0.25">
      <c r="A2517" s="2">
        <v>42698</v>
      </c>
      <c r="B2517" t="s">
        <v>14</v>
      </c>
      <c r="C2517">
        <v>47.91</v>
      </c>
    </row>
    <row r="2518" spans="1:3" x14ac:dyDescent="0.25">
      <c r="A2518" s="2">
        <v>42697</v>
      </c>
      <c r="B2518" t="s">
        <v>14</v>
      </c>
      <c r="C2518">
        <v>46.97</v>
      </c>
    </row>
    <row r="2519" spans="1:3" x14ac:dyDescent="0.25">
      <c r="A2519" s="2">
        <v>42696</v>
      </c>
      <c r="B2519" t="s">
        <v>14</v>
      </c>
      <c r="C2519">
        <v>46.44</v>
      </c>
    </row>
    <row r="2520" spans="1:3" x14ac:dyDescent="0.25">
      <c r="A2520" s="2">
        <v>42695</v>
      </c>
      <c r="B2520" t="s">
        <v>14</v>
      </c>
      <c r="C2520">
        <v>46.31</v>
      </c>
    </row>
    <row r="2521" spans="1:3" x14ac:dyDescent="0.25">
      <c r="A2521" s="2">
        <v>42692</v>
      </c>
      <c r="B2521" t="s">
        <v>14</v>
      </c>
      <c r="C2521">
        <v>44.81</v>
      </c>
    </row>
    <row r="2522" spans="1:3" x14ac:dyDescent="0.25">
      <c r="A2522" s="2">
        <v>42691</v>
      </c>
      <c r="B2522" t="s">
        <v>14</v>
      </c>
      <c r="C2522">
        <v>44.92</v>
      </c>
    </row>
    <row r="2523" spans="1:3" x14ac:dyDescent="0.25">
      <c r="A2523" s="2">
        <v>42690</v>
      </c>
      <c r="B2523" t="s">
        <v>14</v>
      </c>
      <c r="C2523">
        <v>45.4</v>
      </c>
    </row>
    <row r="2524" spans="1:3" x14ac:dyDescent="0.25">
      <c r="A2524" s="2">
        <v>42689</v>
      </c>
      <c r="B2524" t="s">
        <v>14</v>
      </c>
      <c r="C2524">
        <v>44.52</v>
      </c>
    </row>
    <row r="2525" spans="1:3" x14ac:dyDescent="0.25">
      <c r="A2525" s="2">
        <v>42688</v>
      </c>
      <c r="B2525" t="s">
        <v>14</v>
      </c>
      <c r="C2525">
        <v>42.35</v>
      </c>
    </row>
    <row r="2526" spans="1:3" x14ac:dyDescent="0.25">
      <c r="A2526" s="2">
        <v>42685</v>
      </c>
      <c r="B2526" t="s">
        <v>14</v>
      </c>
      <c r="C2526">
        <v>42.16</v>
      </c>
    </row>
    <row r="2527" spans="1:3" x14ac:dyDescent="0.25">
      <c r="A2527" s="2">
        <v>42684</v>
      </c>
      <c r="B2527" t="s">
        <v>14</v>
      </c>
      <c r="C2527">
        <v>44.04</v>
      </c>
    </row>
    <row r="2528" spans="1:3" x14ac:dyDescent="0.25">
      <c r="A2528" s="2">
        <v>42683</v>
      </c>
      <c r="B2528" t="s">
        <v>14</v>
      </c>
      <c r="C2528">
        <v>44.19</v>
      </c>
    </row>
    <row r="2529" spans="1:3" x14ac:dyDescent="0.25">
      <c r="A2529" s="2">
        <v>42682</v>
      </c>
      <c r="B2529" t="s">
        <v>14</v>
      </c>
      <c r="C2529">
        <v>43.79</v>
      </c>
    </row>
    <row r="2530" spans="1:3" x14ac:dyDescent="0.25">
      <c r="A2530" s="2">
        <v>42681</v>
      </c>
      <c r="B2530" t="s">
        <v>14</v>
      </c>
      <c r="C2530">
        <v>43.27</v>
      </c>
    </row>
    <row r="2531" spans="1:3" x14ac:dyDescent="0.25">
      <c r="A2531" s="2">
        <v>42678</v>
      </c>
      <c r="B2531" t="s">
        <v>14</v>
      </c>
      <c r="C2531">
        <v>43.42</v>
      </c>
    </row>
    <row r="2532" spans="1:3" x14ac:dyDescent="0.25">
      <c r="A2532" s="2">
        <v>42677</v>
      </c>
      <c r="B2532" t="s">
        <v>14</v>
      </c>
      <c r="C2532">
        <v>44.16</v>
      </c>
    </row>
    <row r="2533" spans="1:3" x14ac:dyDescent="0.25">
      <c r="A2533" s="2">
        <v>42676</v>
      </c>
      <c r="B2533" t="s">
        <v>14</v>
      </c>
      <c r="C2533">
        <v>44.56</v>
      </c>
    </row>
    <row r="2534" spans="1:3" x14ac:dyDescent="0.25">
      <c r="A2534" s="2">
        <v>42675</v>
      </c>
      <c r="B2534" t="s">
        <v>14</v>
      </c>
      <c r="C2534">
        <v>46.01</v>
      </c>
    </row>
    <row r="2535" spans="1:3" x14ac:dyDescent="0.25">
      <c r="A2535" s="2">
        <v>42674</v>
      </c>
      <c r="B2535" t="s">
        <v>14</v>
      </c>
      <c r="C2535">
        <v>46.47</v>
      </c>
    </row>
    <row r="2536" spans="1:3" x14ac:dyDescent="0.25">
      <c r="A2536" s="2">
        <v>42671</v>
      </c>
      <c r="B2536" t="s">
        <v>14</v>
      </c>
      <c r="C2536">
        <v>47.91</v>
      </c>
    </row>
    <row r="2537" spans="1:3" x14ac:dyDescent="0.25">
      <c r="A2537" s="2">
        <v>42670</v>
      </c>
      <c r="B2537" t="s">
        <v>14</v>
      </c>
      <c r="C2537">
        <v>49.19</v>
      </c>
    </row>
    <row r="2538" spans="1:3" x14ac:dyDescent="0.25">
      <c r="A2538" s="2">
        <v>42669</v>
      </c>
      <c r="B2538" t="s">
        <v>14</v>
      </c>
      <c r="C2538">
        <v>49.05</v>
      </c>
    </row>
    <row r="2539" spans="1:3" x14ac:dyDescent="0.25">
      <c r="A2539" s="2">
        <v>42668</v>
      </c>
      <c r="B2539" t="s">
        <v>14</v>
      </c>
      <c r="C2539">
        <v>49.13</v>
      </c>
    </row>
    <row r="2540" spans="1:3" x14ac:dyDescent="0.25">
      <c r="A2540" s="2">
        <v>42667</v>
      </c>
      <c r="B2540" t="s">
        <v>14</v>
      </c>
      <c r="C2540">
        <v>49.86</v>
      </c>
    </row>
    <row r="2541" spans="1:3" x14ac:dyDescent="0.25">
      <c r="A2541" s="2">
        <v>42664</v>
      </c>
      <c r="B2541" t="s">
        <v>14</v>
      </c>
      <c r="C2541">
        <v>50.45</v>
      </c>
    </row>
    <row r="2542" spans="1:3" x14ac:dyDescent="0.25">
      <c r="A2542" s="2">
        <v>42663</v>
      </c>
      <c r="B2542" t="s">
        <v>14</v>
      </c>
      <c r="C2542">
        <v>50.58</v>
      </c>
    </row>
    <row r="2543" spans="1:3" x14ac:dyDescent="0.25">
      <c r="A2543" s="2">
        <v>42662</v>
      </c>
      <c r="B2543" t="s">
        <v>14</v>
      </c>
      <c r="C2543">
        <v>51.94</v>
      </c>
    </row>
    <row r="2544" spans="1:3" x14ac:dyDescent="0.25">
      <c r="A2544" s="2">
        <v>42661</v>
      </c>
      <c r="B2544" t="s">
        <v>14</v>
      </c>
      <c r="C2544">
        <v>50</v>
      </c>
    </row>
    <row r="2545" spans="1:3" x14ac:dyDescent="0.25">
      <c r="A2545" s="2">
        <v>42660</v>
      </c>
      <c r="B2545" t="s">
        <v>14</v>
      </c>
      <c r="C2545">
        <v>49.47</v>
      </c>
    </row>
    <row r="2546" spans="1:3" x14ac:dyDescent="0.25">
      <c r="A2546" s="2">
        <v>42657</v>
      </c>
      <c r="B2546" t="s">
        <v>14</v>
      </c>
      <c r="C2546">
        <v>48.95</v>
      </c>
    </row>
    <row r="2547" spans="1:3" x14ac:dyDescent="0.25">
      <c r="A2547" s="2">
        <v>42656</v>
      </c>
      <c r="B2547" t="s">
        <v>14</v>
      </c>
      <c r="C2547">
        <v>49.35</v>
      </c>
    </row>
    <row r="2548" spans="1:3" x14ac:dyDescent="0.25">
      <c r="A2548" s="2">
        <v>42655</v>
      </c>
      <c r="B2548" t="s">
        <v>14</v>
      </c>
      <c r="C2548">
        <v>49.54</v>
      </c>
    </row>
    <row r="2549" spans="1:3" x14ac:dyDescent="0.25">
      <c r="A2549" s="2">
        <v>42654</v>
      </c>
      <c r="B2549" t="s">
        <v>14</v>
      </c>
      <c r="C2549">
        <v>50.5</v>
      </c>
    </row>
    <row r="2550" spans="1:3" x14ac:dyDescent="0.25">
      <c r="A2550" s="2">
        <v>42653</v>
      </c>
      <c r="B2550" t="s">
        <v>14</v>
      </c>
      <c r="C2550">
        <v>51.51</v>
      </c>
    </row>
    <row r="2551" spans="1:3" x14ac:dyDescent="0.25">
      <c r="A2551" s="2">
        <v>42650</v>
      </c>
      <c r="B2551" t="s">
        <v>14</v>
      </c>
      <c r="C2551">
        <v>50.51</v>
      </c>
    </row>
    <row r="2552" spans="1:3" x14ac:dyDescent="0.25">
      <c r="A2552" s="2">
        <v>42649</v>
      </c>
      <c r="B2552" t="s">
        <v>14</v>
      </c>
      <c r="C2552">
        <v>50.11</v>
      </c>
    </row>
    <row r="2553" spans="1:3" x14ac:dyDescent="0.25">
      <c r="A2553" s="2">
        <v>42648</v>
      </c>
      <c r="B2553" t="s">
        <v>14</v>
      </c>
      <c r="C2553">
        <v>49.56</v>
      </c>
    </row>
    <row r="2554" spans="1:3" x14ac:dyDescent="0.25">
      <c r="A2554" s="2">
        <v>42647</v>
      </c>
      <c r="B2554" t="s">
        <v>14</v>
      </c>
      <c r="C2554">
        <v>49.28</v>
      </c>
    </row>
    <row r="2555" spans="1:3" x14ac:dyDescent="0.25">
      <c r="A2555" s="2">
        <v>42646</v>
      </c>
      <c r="B2555" t="s">
        <v>14</v>
      </c>
      <c r="C2555">
        <v>48.57</v>
      </c>
    </row>
    <row r="2556" spans="1:3" x14ac:dyDescent="0.25">
      <c r="A2556" s="2">
        <v>42643</v>
      </c>
      <c r="B2556" t="s">
        <v>14</v>
      </c>
      <c r="C2556">
        <v>48.46</v>
      </c>
    </row>
    <row r="2557" spans="1:3" x14ac:dyDescent="0.25">
      <c r="A2557" s="2">
        <v>42642</v>
      </c>
      <c r="B2557" t="s">
        <v>14</v>
      </c>
      <c r="C2557">
        <v>48.89</v>
      </c>
    </row>
    <row r="2558" spans="1:3" x14ac:dyDescent="0.25">
      <c r="A2558" s="2">
        <v>42641</v>
      </c>
      <c r="B2558" t="s">
        <v>14</v>
      </c>
      <c r="C2558">
        <v>46.02</v>
      </c>
    </row>
    <row r="2559" spans="1:3" x14ac:dyDescent="0.25">
      <c r="A2559" s="2">
        <v>42640</v>
      </c>
      <c r="B2559" t="s">
        <v>14</v>
      </c>
      <c r="C2559">
        <v>45.51</v>
      </c>
    </row>
    <row r="2560" spans="1:3" x14ac:dyDescent="0.25">
      <c r="A2560" s="2">
        <v>42639</v>
      </c>
      <c r="B2560" t="s">
        <v>14</v>
      </c>
      <c r="C2560">
        <v>47.07</v>
      </c>
    </row>
    <row r="2561" spans="1:3" x14ac:dyDescent="0.25">
      <c r="A2561" s="2">
        <v>42636</v>
      </c>
      <c r="B2561" t="s">
        <v>14</v>
      </c>
      <c r="C2561">
        <v>47.28</v>
      </c>
    </row>
    <row r="2562" spans="1:3" x14ac:dyDescent="0.25">
      <c r="A2562" s="2">
        <v>42635</v>
      </c>
      <c r="B2562" t="s">
        <v>14</v>
      </c>
      <c r="C2562">
        <v>47.76</v>
      </c>
    </row>
    <row r="2563" spans="1:3" x14ac:dyDescent="0.25">
      <c r="A2563" s="2">
        <v>42634</v>
      </c>
      <c r="B2563" t="s">
        <v>14</v>
      </c>
      <c r="C2563">
        <v>46.6</v>
      </c>
    </row>
    <row r="2564" spans="1:3" x14ac:dyDescent="0.25">
      <c r="A2564" s="2">
        <v>42633</v>
      </c>
      <c r="B2564" t="s">
        <v>14</v>
      </c>
      <c r="C2564">
        <v>45.83</v>
      </c>
    </row>
    <row r="2565" spans="1:3" x14ac:dyDescent="0.25">
      <c r="A2565" s="2">
        <v>42632</v>
      </c>
      <c r="B2565" t="s">
        <v>14</v>
      </c>
      <c r="C2565">
        <v>46.64</v>
      </c>
    </row>
    <row r="2566" spans="1:3" x14ac:dyDescent="0.25">
      <c r="A2566" s="2">
        <v>42629</v>
      </c>
      <c r="B2566" t="s">
        <v>14</v>
      </c>
      <c r="C2566">
        <v>45.88</v>
      </c>
    </row>
    <row r="2567" spans="1:3" x14ac:dyDescent="0.25">
      <c r="A2567" s="2">
        <v>42628</v>
      </c>
      <c r="B2567" t="s">
        <v>14</v>
      </c>
      <c r="C2567">
        <v>46.42</v>
      </c>
    </row>
    <row r="2568" spans="1:3" x14ac:dyDescent="0.25">
      <c r="A2568" s="2">
        <v>42627</v>
      </c>
      <c r="B2568" t="s">
        <v>14</v>
      </c>
      <c r="C2568">
        <v>46.27</v>
      </c>
    </row>
    <row r="2569" spans="1:3" x14ac:dyDescent="0.25">
      <c r="A2569" s="2">
        <v>42626</v>
      </c>
      <c r="B2569" t="s">
        <v>14</v>
      </c>
      <c r="C2569">
        <v>47.05</v>
      </c>
    </row>
    <row r="2570" spans="1:3" x14ac:dyDescent="0.25">
      <c r="A2570" s="2">
        <v>42625</v>
      </c>
      <c r="B2570" t="s">
        <v>14</v>
      </c>
      <c r="C2570">
        <v>48.32</v>
      </c>
    </row>
    <row r="2571" spans="1:3" x14ac:dyDescent="0.25">
      <c r="A2571" s="2">
        <v>42622</v>
      </c>
      <c r="B2571" t="s">
        <v>14</v>
      </c>
      <c r="C2571">
        <v>48.88</v>
      </c>
    </row>
    <row r="2572" spans="1:3" x14ac:dyDescent="0.25">
      <c r="A2572" s="2">
        <v>42621</v>
      </c>
      <c r="B2572" t="s">
        <v>14</v>
      </c>
      <c r="C2572">
        <v>49.65</v>
      </c>
    </row>
    <row r="2573" spans="1:3" x14ac:dyDescent="0.25">
      <c r="A2573" s="2">
        <v>42620</v>
      </c>
      <c r="B2573" t="s">
        <v>14</v>
      </c>
      <c r="C2573">
        <v>47.49</v>
      </c>
    </row>
    <row r="2574" spans="1:3" x14ac:dyDescent="0.25">
      <c r="A2574" s="2">
        <v>42619</v>
      </c>
      <c r="B2574" t="s">
        <v>14</v>
      </c>
      <c r="C2574">
        <v>46.69</v>
      </c>
    </row>
    <row r="2575" spans="1:3" x14ac:dyDescent="0.25">
      <c r="A2575" s="2">
        <v>42618</v>
      </c>
      <c r="B2575" t="s">
        <v>14</v>
      </c>
      <c r="C2575">
        <v>47.21</v>
      </c>
    </row>
    <row r="2576" spans="1:3" x14ac:dyDescent="0.25">
      <c r="A2576" s="2">
        <v>42615</v>
      </c>
      <c r="B2576" t="s">
        <v>14</v>
      </c>
      <c r="C2576">
        <v>46.35</v>
      </c>
    </row>
    <row r="2577" spans="1:3" x14ac:dyDescent="0.25">
      <c r="A2577" s="2">
        <v>42614</v>
      </c>
      <c r="B2577" t="s">
        <v>14</v>
      </c>
      <c r="C2577">
        <v>45.55</v>
      </c>
    </row>
    <row r="2578" spans="1:3" x14ac:dyDescent="0.25">
      <c r="A2578" s="2">
        <v>42613</v>
      </c>
      <c r="B2578" t="s">
        <v>14</v>
      </c>
      <c r="C2578">
        <v>46.86</v>
      </c>
    </row>
    <row r="2579" spans="1:3" x14ac:dyDescent="0.25">
      <c r="A2579" s="2">
        <v>42612</v>
      </c>
      <c r="B2579" t="s">
        <v>14</v>
      </c>
      <c r="C2579">
        <v>48.31</v>
      </c>
    </row>
    <row r="2580" spans="1:3" x14ac:dyDescent="0.25">
      <c r="A2580" s="2">
        <v>42608</v>
      </c>
      <c r="B2580" t="s">
        <v>14</v>
      </c>
      <c r="C2580">
        <v>50.04</v>
      </c>
    </row>
    <row r="2581" spans="1:3" x14ac:dyDescent="0.25">
      <c r="A2581" s="2">
        <v>42607</v>
      </c>
      <c r="B2581" t="s">
        <v>14</v>
      </c>
      <c r="C2581">
        <v>49.77</v>
      </c>
    </row>
    <row r="2582" spans="1:3" x14ac:dyDescent="0.25">
      <c r="A2582" s="2">
        <v>42606</v>
      </c>
      <c r="B2582" t="s">
        <v>14</v>
      </c>
      <c r="C2582">
        <v>48.15</v>
      </c>
    </row>
    <row r="2583" spans="1:3" x14ac:dyDescent="0.25">
      <c r="A2583" s="2">
        <v>42605</v>
      </c>
      <c r="B2583" t="s">
        <v>14</v>
      </c>
      <c r="C2583">
        <v>49.23</v>
      </c>
    </row>
    <row r="2584" spans="1:3" x14ac:dyDescent="0.25">
      <c r="A2584" s="2">
        <v>42604</v>
      </c>
      <c r="B2584" t="s">
        <v>14</v>
      </c>
      <c r="C2584">
        <v>48.65</v>
      </c>
    </row>
    <row r="2585" spans="1:3" x14ac:dyDescent="0.25">
      <c r="A2585" s="2">
        <v>42601</v>
      </c>
      <c r="B2585" t="s">
        <v>14</v>
      </c>
      <c r="C2585">
        <v>49.85</v>
      </c>
    </row>
    <row r="2586" spans="1:3" x14ac:dyDescent="0.25">
      <c r="A2586" s="2">
        <v>42600</v>
      </c>
      <c r="B2586" t="s">
        <v>14</v>
      </c>
      <c r="C2586">
        <v>49.92</v>
      </c>
    </row>
    <row r="2587" spans="1:3" x14ac:dyDescent="0.25">
      <c r="A2587" s="2">
        <v>42599</v>
      </c>
      <c r="B2587" t="s">
        <v>14</v>
      </c>
      <c r="C2587">
        <v>49.14</v>
      </c>
    </row>
    <row r="2588" spans="1:3" x14ac:dyDescent="0.25">
      <c r="A2588" s="2">
        <v>42598</v>
      </c>
      <c r="B2588" t="s">
        <v>14</v>
      </c>
      <c r="C2588">
        <v>48.84</v>
      </c>
    </row>
    <row r="2589" spans="1:3" x14ac:dyDescent="0.25">
      <c r="A2589" s="2">
        <v>42597</v>
      </c>
      <c r="B2589" t="s">
        <v>14</v>
      </c>
      <c r="C2589">
        <v>47.88</v>
      </c>
    </row>
    <row r="2590" spans="1:3" x14ac:dyDescent="0.25">
      <c r="A2590" s="2">
        <v>42594</v>
      </c>
      <c r="B2590" t="s">
        <v>14</v>
      </c>
      <c r="C2590">
        <v>45.75</v>
      </c>
    </row>
    <row r="2591" spans="1:3" x14ac:dyDescent="0.25">
      <c r="A2591" s="2">
        <v>42593</v>
      </c>
      <c r="B2591" t="s">
        <v>14</v>
      </c>
      <c r="C2591">
        <v>44.9</v>
      </c>
    </row>
    <row r="2592" spans="1:3" x14ac:dyDescent="0.25">
      <c r="A2592" s="2">
        <v>42592</v>
      </c>
      <c r="B2592" t="s">
        <v>14</v>
      </c>
      <c r="C2592">
        <v>42.79</v>
      </c>
    </row>
    <row r="2593" spans="1:3" x14ac:dyDescent="0.25">
      <c r="A2593" s="2">
        <v>42591</v>
      </c>
      <c r="B2593" t="s">
        <v>14</v>
      </c>
      <c r="C2593">
        <v>43.91</v>
      </c>
    </row>
    <row r="2594" spans="1:3" x14ac:dyDescent="0.25">
      <c r="A2594" s="2">
        <v>42590</v>
      </c>
      <c r="B2594" t="s">
        <v>14</v>
      </c>
      <c r="C2594">
        <v>43.79</v>
      </c>
    </row>
    <row r="2595" spans="1:3" x14ac:dyDescent="0.25">
      <c r="A2595" s="2">
        <v>42587</v>
      </c>
      <c r="B2595" t="s">
        <v>14</v>
      </c>
      <c r="C2595">
        <v>43.06</v>
      </c>
    </row>
    <row r="2596" spans="1:3" x14ac:dyDescent="0.25">
      <c r="A2596" s="2">
        <v>42586</v>
      </c>
      <c r="B2596" t="s">
        <v>14</v>
      </c>
      <c r="C2596">
        <v>42.01</v>
      </c>
    </row>
    <row r="2597" spans="1:3" x14ac:dyDescent="0.25">
      <c r="A2597" s="2">
        <v>42585</v>
      </c>
      <c r="B2597" t="s">
        <v>14</v>
      </c>
      <c r="C2597">
        <v>41.19</v>
      </c>
    </row>
    <row r="2598" spans="1:3" x14ac:dyDescent="0.25">
      <c r="A2598" s="2">
        <v>42584</v>
      </c>
      <c r="B2598" t="s">
        <v>14</v>
      </c>
      <c r="C2598">
        <v>40.76</v>
      </c>
    </row>
    <row r="2599" spans="1:3" x14ac:dyDescent="0.25">
      <c r="A2599" s="2">
        <v>42583</v>
      </c>
      <c r="B2599" t="s">
        <v>14</v>
      </c>
      <c r="C2599">
        <v>40.93</v>
      </c>
    </row>
    <row r="2600" spans="1:3" x14ac:dyDescent="0.25">
      <c r="A2600" s="2">
        <v>42580</v>
      </c>
      <c r="B2600" t="s">
        <v>14</v>
      </c>
      <c r="C2600">
        <v>41.36</v>
      </c>
    </row>
    <row r="2601" spans="1:3" x14ac:dyDescent="0.25">
      <c r="A2601" s="2">
        <v>42579</v>
      </c>
      <c r="B2601" t="s">
        <v>14</v>
      </c>
      <c r="C2601">
        <v>42.61</v>
      </c>
    </row>
    <row r="2602" spans="1:3" x14ac:dyDescent="0.25">
      <c r="A2602" s="2">
        <v>42578</v>
      </c>
      <c r="B2602" t="s">
        <v>14</v>
      </c>
      <c r="C2602">
        <v>43.53</v>
      </c>
    </row>
    <row r="2603" spans="1:3" x14ac:dyDescent="0.25">
      <c r="A2603" s="2">
        <v>42577</v>
      </c>
      <c r="B2603" t="s">
        <v>14</v>
      </c>
      <c r="C2603">
        <v>44.27</v>
      </c>
    </row>
    <row r="2604" spans="1:3" x14ac:dyDescent="0.25">
      <c r="A2604" s="2">
        <v>42576</v>
      </c>
      <c r="B2604" t="s">
        <v>14</v>
      </c>
      <c r="C2604">
        <v>44.46</v>
      </c>
    </row>
    <row r="2605" spans="1:3" x14ac:dyDescent="0.25">
      <c r="A2605" s="2">
        <v>42573</v>
      </c>
      <c r="B2605" t="s">
        <v>14</v>
      </c>
      <c r="C2605">
        <v>44.89</v>
      </c>
    </row>
    <row r="2606" spans="1:3" x14ac:dyDescent="0.25">
      <c r="A2606" s="2">
        <v>42572</v>
      </c>
      <c r="B2606" t="s">
        <v>14</v>
      </c>
      <c r="C2606">
        <v>45.61</v>
      </c>
    </row>
    <row r="2607" spans="1:3" x14ac:dyDescent="0.25">
      <c r="A2607" s="2">
        <v>42571</v>
      </c>
      <c r="B2607" t="s">
        <v>14</v>
      </c>
      <c r="C2607">
        <v>46.48</v>
      </c>
    </row>
    <row r="2608" spans="1:3" x14ac:dyDescent="0.25">
      <c r="A2608" s="2">
        <v>42570</v>
      </c>
      <c r="B2608" t="s">
        <v>14</v>
      </c>
      <c r="C2608">
        <v>46.25</v>
      </c>
    </row>
    <row r="2609" spans="1:3" x14ac:dyDescent="0.25">
      <c r="A2609" s="2">
        <v>42569</v>
      </c>
      <c r="B2609" t="s">
        <v>14</v>
      </c>
      <c r="C2609">
        <v>46</v>
      </c>
    </row>
    <row r="2610" spans="1:3" x14ac:dyDescent="0.25">
      <c r="A2610" s="2">
        <v>42566</v>
      </c>
      <c r="B2610" t="s">
        <v>14</v>
      </c>
      <c r="C2610">
        <v>46.86</v>
      </c>
    </row>
    <row r="2611" spans="1:3" x14ac:dyDescent="0.25">
      <c r="A2611" s="2">
        <v>42565</v>
      </c>
      <c r="B2611" t="s">
        <v>14</v>
      </c>
      <c r="C2611">
        <v>46.57</v>
      </c>
    </row>
    <row r="2612" spans="1:3" x14ac:dyDescent="0.25">
      <c r="A2612" s="2">
        <v>42564</v>
      </c>
      <c r="B2612" t="s">
        <v>14</v>
      </c>
      <c r="C2612">
        <v>45.24</v>
      </c>
    </row>
    <row r="2613" spans="1:3" x14ac:dyDescent="0.25">
      <c r="A2613" s="2">
        <v>42563</v>
      </c>
      <c r="B2613" t="s">
        <v>14</v>
      </c>
      <c r="C2613">
        <v>47.15</v>
      </c>
    </row>
    <row r="2614" spans="1:3" x14ac:dyDescent="0.25">
      <c r="A2614" s="2">
        <v>42562</v>
      </c>
      <c r="B2614" t="s">
        <v>14</v>
      </c>
      <c r="C2614">
        <v>44.49</v>
      </c>
    </row>
    <row r="2615" spans="1:3" x14ac:dyDescent="0.25">
      <c r="A2615" s="2">
        <v>42559</v>
      </c>
      <c r="B2615" t="s">
        <v>14</v>
      </c>
      <c r="C2615">
        <v>44.95</v>
      </c>
    </row>
    <row r="2616" spans="1:3" x14ac:dyDescent="0.25">
      <c r="A2616" s="2">
        <v>42558</v>
      </c>
      <c r="B2616" t="s">
        <v>14</v>
      </c>
      <c r="C2616">
        <v>46.3</v>
      </c>
    </row>
    <row r="2617" spans="1:3" x14ac:dyDescent="0.25">
      <c r="A2617" s="2">
        <v>42557</v>
      </c>
      <c r="B2617" t="s">
        <v>14</v>
      </c>
      <c r="C2617">
        <v>46.08</v>
      </c>
    </row>
    <row r="2618" spans="1:3" x14ac:dyDescent="0.25">
      <c r="A2618" s="2">
        <v>42556</v>
      </c>
      <c r="B2618" t="s">
        <v>14</v>
      </c>
      <c r="C2618">
        <v>45.99</v>
      </c>
    </row>
    <row r="2619" spans="1:3" x14ac:dyDescent="0.25">
      <c r="A2619" s="2">
        <v>42555</v>
      </c>
      <c r="B2619" t="s">
        <v>14</v>
      </c>
      <c r="C2619">
        <v>48.25</v>
      </c>
    </row>
    <row r="2620" spans="1:3" x14ac:dyDescent="0.25">
      <c r="A2620" s="2">
        <v>42552</v>
      </c>
      <c r="B2620" t="s">
        <v>14</v>
      </c>
      <c r="C2620">
        <v>47.91</v>
      </c>
    </row>
    <row r="2621" spans="1:3" x14ac:dyDescent="0.25">
      <c r="A2621" s="2">
        <v>42551</v>
      </c>
      <c r="B2621" t="s">
        <v>14</v>
      </c>
      <c r="C2621">
        <v>48.29</v>
      </c>
    </row>
    <row r="2622" spans="1:3" x14ac:dyDescent="0.25">
      <c r="A2622" s="2">
        <v>42550</v>
      </c>
      <c r="B2622" t="s">
        <v>14</v>
      </c>
      <c r="C2622">
        <v>48.63</v>
      </c>
    </row>
    <row r="2623" spans="1:3" x14ac:dyDescent="0.25">
      <c r="A2623" s="2">
        <v>42549</v>
      </c>
      <c r="B2623" t="s">
        <v>14</v>
      </c>
      <c r="C2623">
        <v>46.67</v>
      </c>
    </row>
    <row r="2624" spans="1:3" x14ac:dyDescent="0.25">
      <c r="A2624" s="2">
        <v>42548</v>
      </c>
      <c r="B2624" t="s">
        <v>14</v>
      </c>
      <c r="C2624">
        <v>45.51</v>
      </c>
    </row>
    <row r="2625" spans="1:3" x14ac:dyDescent="0.25">
      <c r="A2625" s="2">
        <v>42545</v>
      </c>
      <c r="B2625" t="s">
        <v>14</v>
      </c>
      <c r="C2625">
        <v>47.07</v>
      </c>
    </row>
    <row r="2626" spans="1:3" x14ac:dyDescent="0.25">
      <c r="A2626" s="2">
        <v>42544</v>
      </c>
      <c r="B2626" t="s">
        <v>14</v>
      </c>
      <c r="C2626">
        <v>48.98</v>
      </c>
    </row>
    <row r="2627" spans="1:3" x14ac:dyDescent="0.25">
      <c r="A2627" s="2">
        <v>42543</v>
      </c>
      <c r="B2627" t="s">
        <v>14</v>
      </c>
      <c r="C2627">
        <v>48.6</v>
      </c>
    </row>
    <row r="2628" spans="1:3" x14ac:dyDescent="0.25">
      <c r="A2628" s="2">
        <v>42542</v>
      </c>
      <c r="B2628" t="s">
        <v>14</v>
      </c>
      <c r="C2628">
        <v>48.43</v>
      </c>
    </row>
    <row r="2629" spans="1:3" x14ac:dyDescent="0.25">
      <c r="A2629" s="2">
        <v>42541</v>
      </c>
      <c r="B2629" t="s">
        <v>14</v>
      </c>
      <c r="C2629">
        <v>48.91</v>
      </c>
    </row>
    <row r="2630" spans="1:3" x14ac:dyDescent="0.25">
      <c r="A2630" s="2">
        <v>42538</v>
      </c>
      <c r="B2630" t="s">
        <v>14</v>
      </c>
      <c r="C2630">
        <v>46.94</v>
      </c>
    </row>
    <row r="2631" spans="1:3" x14ac:dyDescent="0.25">
      <c r="A2631" s="2">
        <v>42537</v>
      </c>
      <c r="B2631" t="s">
        <v>14</v>
      </c>
      <c r="C2631">
        <v>46.11</v>
      </c>
    </row>
    <row r="2632" spans="1:3" x14ac:dyDescent="0.25">
      <c r="A2632" s="2">
        <v>42536</v>
      </c>
      <c r="B2632" t="s">
        <v>14</v>
      </c>
      <c r="C2632">
        <v>47.9</v>
      </c>
    </row>
    <row r="2633" spans="1:3" x14ac:dyDescent="0.25">
      <c r="A2633" s="2">
        <v>42535</v>
      </c>
      <c r="B2633" t="s">
        <v>14</v>
      </c>
      <c r="C2633">
        <v>48.29</v>
      </c>
    </row>
    <row r="2634" spans="1:3" x14ac:dyDescent="0.25">
      <c r="A2634" s="2">
        <v>42534</v>
      </c>
      <c r="B2634" t="s">
        <v>14</v>
      </c>
      <c r="C2634">
        <v>49.71</v>
      </c>
    </row>
    <row r="2635" spans="1:3" x14ac:dyDescent="0.25">
      <c r="A2635" s="2">
        <v>42531</v>
      </c>
      <c r="B2635" t="s">
        <v>14</v>
      </c>
      <c r="C2635">
        <v>50.07</v>
      </c>
    </row>
    <row r="2636" spans="1:3" x14ac:dyDescent="0.25">
      <c r="A2636" s="2">
        <v>42530</v>
      </c>
      <c r="B2636" t="s">
        <v>14</v>
      </c>
      <c r="C2636">
        <v>50.92</v>
      </c>
    </row>
    <row r="2637" spans="1:3" x14ac:dyDescent="0.25">
      <c r="A2637" s="2">
        <v>42529</v>
      </c>
      <c r="B2637" t="s">
        <v>14</v>
      </c>
      <c r="C2637">
        <v>51.05</v>
      </c>
    </row>
    <row r="2638" spans="1:3" x14ac:dyDescent="0.25">
      <c r="A2638" s="2">
        <v>42528</v>
      </c>
      <c r="B2638" t="s">
        <v>14</v>
      </c>
      <c r="C2638">
        <v>50.07</v>
      </c>
    </row>
    <row r="2639" spans="1:3" x14ac:dyDescent="0.25">
      <c r="A2639" s="2">
        <v>42527</v>
      </c>
      <c r="B2639" t="s">
        <v>14</v>
      </c>
      <c r="C2639">
        <v>49.33</v>
      </c>
    </row>
    <row r="2640" spans="1:3" x14ac:dyDescent="0.25">
      <c r="A2640" s="2">
        <v>42524</v>
      </c>
      <c r="B2640" t="s">
        <v>14</v>
      </c>
      <c r="C2640">
        <v>48.97</v>
      </c>
    </row>
    <row r="2641" spans="1:3" x14ac:dyDescent="0.25">
      <c r="A2641" s="2">
        <v>42523</v>
      </c>
      <c r="B2641" t="s">
        <v>14</v>
      </c>
      <c r="C2641">
        <v>49.52</v>
      </c>
    </row>
    <row r="2642" spans="1:3" x14ac:dyDescent="0.25">
      <c r="A2642" s="2">
        <v>42522</v>
      </c>
      <c r="B2642" t="s">
        <v>14</v>
      </c>
      <c r="C2642">
        <v>49.35</v>
      </c>
    </row>
    <row r="2643" spans="1:3" x14ac:dyDescent="0.25">
      <c r="A2643" s="2">
        <v>42521</v>
      </c>
      <c r="B2643" t="s">
        <v>14</v>
      </c>
      <c r="C2643">
        <v>49.76</v>
      </c>
    </row>
    <row r="2644" spans="1:3" x14ac:dyDescent="0.25">
      <c r="A2644" s="2">
        <v>42517</v>
      </c>
      <c r="B2644" t="s">
        <v>14</v>
      </c>
      <c r="C2644">
        <v>49.71</v>
      </c>
    </row>
    <row r="2645" spans="1:3" x14ac:dyDescent="0.25">
      <c r="A2645" s="2">
        <v>42516</v>
      </c>
      <c r="B2645" t="s">
        <v>14</v>
      </c>
      <c r="C2645">
        <v>50.01</v>
      </c>
    </row>
    <row r="2646" spans="1:3" x14ac:dyDescent="0.25">
      <c r="A2646" s="2">
        <v>42515</v>
      </c>
      <c r="B2646" t="s">
        <v>14</v>
      </c>
      <c r="C2646">
        <v>49.39</v>
      </c>
    </row>
    <row r="2647" spans="1:3" x14ac:dyDescent="0.25">
      <c r="A2647" s="2">
        <v>42514</v>
      </c>
      <c r="B2647" t="s">
        <v>14</v>
      </c>
      <c r="C2647">
        <v>48.96</v>
      </c>
    </row>
    <row r="2648" spans="1:3" x14ac:dyDescent="0.25">
      <c r="A2648" s="2">
        <v>42513</v>
      </c>
      <c r="B2648" t="s">
        <v>14</v>
      </c>
      <c r="C2648">
        <v>48.35</v>
      </c>
    </row>
    <row r="2649" spans="1:3" x14ac:dyDescent="0.25">
      <c r="A2649" s="2">
        <v>42510</v>
      </c>
      <c r="B2649" t="s">
        <v>14</v>
      </c>
      <c r="C2649">
        <v>49.17</v>
      </c>
    </row>
    <row r="2650" spans="1:3" x14ac:dyDescent="0.25">
      <c r="A2650" s="2">
        <v>42509</v>
      </c>
      <c r="B2650" t="s">
        <v>14</v>
      </c>
      <c r="C2650">
        <v>47.81</v>
      </c>
    </row>
    <row r="2651" spans="1:3" x14ac:dyDescent="0.25">
      <c r="A2651" s="2">
        <v>42508</v>
      </c>
      <c r="B2651" t="s">
        <v>14</v>
      </c>
      <c r="C2651">
        <v>49.63</v>
      </c>
    </row>
    <row r="2652" spans="1:3" x14ac:dyDescent="0.25">
      <c r="A2652" s="2">
        <v>42507</v>
      </c>
      <c r="B2652" t="s">
        <v>14</v>
      </c>
      <c r="C2652">
        <v>49.53</v>
      </c>
    </row>
    <row r="2653" spans="1:3" x14ac:dyDescent="0.25">
      <c r="A2653" s="2">
        <v>42506</v>
      </c>
      <c r="B2653" t="s">
        <v>14</v>
      </c>
      <c r="C2653">
        <v>49.18</v>
      </c>
    </row>
    <row r="2654" spans="1:3" x14ac:dyDescent="0.25">
      <c r="A2654" s="2">
        <v>42503</v>
      </c>
      <c r="B2654" t="s">
        <v>14</v>
      </c>
      <c r="C2654">
        <v>47.82</v>
      </c>
    </row>
    <row r="2655" spans="1:3" x14ac:dyDescent="0.25">
      <c r="A2655" s="2">
        <v>42502</v>
      </c>
      <c r="B2655" t="s">
        <v>14</v>
      </c>
      <c r="C2655">
        <v>47.21</v>
      </c>
    </row>
    <row r="2656" spans="1:3" x14ac:dyDescent="0.25">
      <c r="A2656" s="2">
        <v>42501</v>
      </c>
      <c r="B2656" t="s">
        <v>14</v>
      </c>
      <c r="C2656">
        <v>46.74</v>
      </c>
    </row>
    <row r="2657" spans="1:3" x14ac:dyDescent="0.25">
      <c r="A2657" s="2">
        <v>42500</v>
      </c>
      <c r="B2657" t="s">
        <v>14</v>
      </c>
      <c r="C2657">
        <v>44.77</v>
      </c>
    </row>
    <row r="2658" spans="1:3" x14ac:dyDescent="0.25">
      <c r="A2658" s="2">
        <v>42499</v>
      </c>
      <c r="B2658" t="s">
        <v>14</v>
      </c>
      <c r="C2658">
        <v>43.27</v>
      </c>
    </row>
    <row r="2659" spans="1:3" x14ac:dyDescent="0.25">
      <c r="A2659" s="2">
        <v>42496</v>
      </c>
      <c r="B2659" t="s">
        <v>14</v>
      </c>
      <c r="C2659">
        <v>45.33</v>
      </c>
    </row>
    <row r="2660" spans="1:3" x14ac:dyDescent="0.25">
      <c r="A2660" s="2">
        <v>42495</v>
      </c>
      <c r="B2660" t="s">
        <v>14</v>
      </c>
      <c r="C2660">
        <v>45.13</v>
      </c>
    </row>
    <row r="2661" spans="1:3" x14ac:dyDescent="0.25">
      <c r="A2661" s="2">
        <v>42494</v>
      </c>
      <c r="B2661" t="s">
        <v>14</v>
      </c>
      <c r="C2661">
        <v>43.7</v>
      </c>
    </row>
    <row r="2662" spans="1:3" x14ac:dyDescent="0.25">
      <c r="A2662" s="2">
        <v>42493</v>
      </c>
      <c r="B2662" t="s">
        <v>14</v>
      </c>
      <c r="C2662">
        <v>43.71</v>
      </c>
    </row>
    <row r="2663" spans="1:3" x14ac:dyDescent="0.25">
      <c r="A2663" s="2">
        <v>42492</v>
      </c>
      <c r="B2663" t="s">
        <v>14</v>
      </c>
      <c r="C2663">
        <v>46.06</v>
      </c>
    </row>
    <row r="2664" spans="1:3" x14ac:dyDescent="0.25">
      <c r="A2664" s="2">
        <v>42489</v>
      </c>
      <c r="B2664" t="s">
        <v>14</v>
      </c>
      <c r="C2664">
        <v>46.26</v>
      </c>
    </row>
    <row r="2665" spans="1:3" x14ac:dyDescent="0.25">
      <c r="A2665" s="2">
        <v>42488</v>
      </c>
      <c r="B2665" t="s">
        <v>14</v>
      </c>
      <c r="C2665">
        <v>46.22</v>
      </c>
    </row>
    <row r="2666" spans="1:3" x14ac:dyDescent="0.25">
      <c r="A2666" s="2">
        <v>42487</v>
      </c>
      <c r="B2666" t="s">
        <v>14</v>
      </c>
      <c r="C2666">
        <v>44.86</v>
      </c>
    </row>
    <row r="2667" spans="1:3" x14ac:dyDescent="0.25">
      <c r="A2667" s="2">
        <v>42486</v>
      </c>
      <c r="B2667" t="s">
        <v>14</v>
      </c>
      <c r="C2667">
        <v>44.7</v>
      </c>
    </row>
    <row r="2668" spans="1:3" x14ac:dyDescent="0.25">
      <c r="A2668" s="2">
        <v>42485</v>
      </c>
      <c r="B2668" t="s">
        <v>14</v>
      </c>
      <c r="C2668">
        <v>43.63</v>
      </c>
    </row>
    <row r="2669" spans="1:3" x14ac:dyDescent="0.25">
      <c r="A2669" s="2">
        <v>42482</v>
      </c>
      <c r="B2669" t="s">
        <v>14</v>
      </c>
      <c r="C2669">
        <v>44.76</v>
      </c>
    </row>
    <row r="2670" spans="1:3" x14ac:dyDescent="0.25">
      <c r="A2670" s="2">
        <v>42481</v>
      </c>
      <c r="B2670" t="s">
        <v>14</v>
      </c>
      <c r="C2670">
        <v>44.27</v>
      </c>
    </row>
    <row r="2671" spans="1:3" x14ac:dyDescent="0.25">
      <c r="A2671" s="2">
        <v>42480</v>
      </c>
      <c r="B2671" t="s">
        <v>14</v>
      </c>
      <c r="C2671">
        <v>43.95</v>
      </c>
    </row>
    <row r="2672" spans="1:3" x14ac:dyDescent="0.25">
      <c r="A2672" s="2">
        <v>42479</v>
      </c>
      <c r="B2672" t="s">
        <v>14</v>
      </c>
      <c r="C2672">
        <v>43.98</v>
      </c>
    </row>
    <row r="2673" spans="1:3" x14ac:dyDescent="0.25">
      <c r="A2673" s="2">
        <v>42478</v>
      </c>
      <c r="B2673" t="s">
        <v>14</v>
      </c>
      <c r="C2673">
        <v>42.67</v>
      </c>
    </row>
    <row r="2674" spans="1:3" x14ac:dyDescent="0.25">
      <c r="A2674" s="2">
        <v>42475</v>
      </c>
      <c r="B2674" t="s">
        <v>14</v>
      </c>
      <c r="C2674">
        <v>42.24</v>
      </c>
    </row>
    <row r="2675" spans="1:3" x14ac:dyDescent="0.25">
      <c r="A2675" s="2">
        <v>42474</v>
      </c>
      <c r="B2675" t="s">
        <v>14</v>
      </c>
      <c r="C2675">
        <v>43.96</v>
      </c>
    </row>
    <row r="2676" spans="1:3" x14ac:dyDescent="0.25">
      <c r="A2676" s="2">
        <v>42473</v>
      </c>
      <c r="B2676" t="s">
        <v>14</v>
      </c>
      <c r="C2676">
        <v>43.73</v>
      </c>
    </row>
    <row r="2677" spans="1:3" x14ac:dyDescent="0.25">
      <c r="A2677" s="2">
        <v>42472</v>
      </c>
      <c r="B2677" t="s">
        <v>14</v>
      </c>
      <c r="C2677">
        <v>43.9</v>
      </c>
    </row>
    <row r="2678" spans="1:3" x14ac:dyDescent="0.25">
      <c r="A2678" s="2">
        <v>42471</v>
      </c>
      <c r="B2678" t="s">
        <v>14</v>
      </c>
      <c r="C2678">
        <v>42.54</v>
      </c>
    </row>
    <row r="2679" spans="1:3" x14ac:dyDescent="0.25">
      <c r="A2679" s="2">
        <v>42468</v>
      </c>
      <c r="B2679" t="s">
        <v>14</v>
      </c>
      <c r="C2679">
        <v>41.72</v>
      </c>
    </row>
    <row r="2680" spans="1:3" x14ac:dyDescent="0.25">
      <c r="A2680" s="2">
        <v>42467</v>
      </c>
      <c r="B2680" t="s">
        <v>14</v>
      </c>
      <c r="C2680">
        <v>38.15</v>
      </c>
    </row>
    <row r="2681" spans="1:3" x14ac:dyDescent="0.25">
      <c r="A2681" s="2">
        <v>42466</v>
      </c>
      <c r="B2681" t="s">
        <v>14</v>
      </c>
      <c r="C2681">
        <v>38.729999999999997</v>
      </c>
    </row>
    <row r="2682" spans="1:3" x14ac:dyDescent="0.25">
      <c r="A2682" s="2">
        <v>42465</v>
      </c>
      <c r="B2682" t="s">
        <v>14</v>
      </c>
      <c r="C2682">
        <v>36.9</v>
      </c>
    </row>
    <row r="2683" spans="1:3" x14ac:dyDescent="0.25">
      <c r="A2683" s="2">
        <v>42464</v>
      </c>
      <c r="B2683" t="s">
        <v>14</v>
      </c>
      <c r="C2683">
        <v>37.020000000000003</v>
      </c>
    </row>
    <row r="2684" spans="1:3" x14ac:dyDescent="0.25">
      <c r="A2684" s="2">
        <v>42461</v>
      </c>
      <c r="B2684" t="s">
        <v>14</v>
      </c>
      <c r="C2684">
        <v>37.380000000000003</v>
      </c>
    </row>
    <row r="2685" spans="1:3" x14ac:dyDescent="0.25">
      <c r="A2685" s="2">
        <v>42460</v>
      </c>
      <c r="B2685" t="s">
        <v>14</v>
      </c>
      <c r="C2685">
        <v>38.74</v>
      </c>
    </row>
    <row r="2686" spans="1:3" x14ac:dyDescent="0.25">
      <c r="A2686" s="2">
        <v>42459</v>
      </c>
      <c r="B2686" t="s">
        <v>14</v>
      </c>
      <c r="C2686">
        <v>38.69</v>
      </c>
    </row>
    <row r="2687" spans="1:3" x14ac:dyDescent="0.25">
      <c r="A2687" s="2">
        <v>42458</v>
      </c>
      <c r="B2687" t="s">
        <v>14</v>
      </c>
      <c r="C2687">
        <v>37.78</v>
      </c>
    </row>
    <row r="2688" spans="1:3" x14ac:dyDescent="0.25">
      <c r="A2688" s="2">
        <v>42453</v>
      </c>
      <c r="B2688" t="s">
        <v>14</v>
      </c>
      <c r="C2688">
        <v>39.29</v>
      </c>
    </row>
    <row r="2689" spans="1:3" x14ac:dyDescent="0.25">
      <c r="A2689" s="2">
        <v>42452</v>
      </c>
      <c r="B2689" t="s">
        <v>14</v>
      </c>
      <c r="C2689">
        <v>39.770000000000003</v>
      </c>
    </row>
    <row r="2690" spans="1:3" x14ac:dyDescent="0.25">
      <c r="A2690" s="2">
        <v>42451</v>
      </c>
      <c r="B2690" t="s">
        <v>14</v>
      </c>
      <c r="C2690">
        <v>41.3</v>
      </c>
    </row>
    <row r="2691" spans="1:3" x14ac:dyDescent="0.25">
      <c r="A2691" s="2">
        <v>42450</v>
      </c>
      <c r="B2691" t="s">
        <v>14</v>
      </c>
      <c r="C2691">
        <v>40.880000000000003</v>
      </c>
    </row>
    <row r="2692" spans="1:3" x14ac:dyDescent="0.25">
      <c r="A2692" s="2">
        <v>42447</v>
      </c>
      <c r="B2692" t="s">
        <v>14</v>
      </c>
      <c r="C2692">
        <v>40.090000000000003</v>
      </c>
    </row>
    <row r="2693" spans="1:3" x14ac:dyDescent="0.25">
      <c r="A2693" s="2">
        <v>42446</v>
      </c>
      <c r="B2693" t="s">
        <v>14</v>
      </c>
      <c r="C2693">
        <v>40.18</v>
      </c>
    </row>
    <row r="2694" spans="1:3" x14ac:dyDescent="0.25">
      <c r="A2694" s="2">
        <v>42445</v>
      </c>
      <c r="B2694" t="s">
        <v>14</v>
      </c>
      <c r="C2694">
        <v>39.409999999999997</v>
      </c>
    </row>
    <row r="2695" spans="1:3" x14ac:dyDescent="0.25">
      <c r="A2695" s="2">
        <v>42444</v>
      </c>
      <c r="B2695" t="s">
        <v>14</v>
      </c>
      <c r="C2695">
        <v>38.5</v>
      </c>
    </row>
    <row r="2696" spans="1:3" x14ac:dyDescent="0.25">
      <c r="A2696" s="2">
        <v>42443</v>
      </c>
      <c r="B2696" t="s">
        <v>14</v>
      </c>
      <c r="C2696">
        <v>39.07</v>
      </c>
    </row>
    <row r="2697" spans="1:3" x14ac:dyDescent="0.25">
      <c r="A2697" s="2">
        <v>42440</v>
      </c>
      <c r="B2697" t="s">
        <v>14</v>
      </c>
      <c r="C2697">
        <v>40.450000000000003</v>
      </c>
    </row>
    <row r="2698" spans="1:3" x14ac:dyDescent="0.25">
      <c r="A2698" s="2">
        <v>42439</v>
      </c>
      <c r="B2698" t="s">
        <v>14</v>
      </c>
      <c r="C2698">
        <v>39.72</v>
      </c>
    </row>
    <row r="2699" spans="1:3" x14ac:dyDescent="0.25">
      <c r="A2699" s="2">
        <v>42438</v>
      </c>
      <c r="B2699" t="s">
        <v>14</v>
      </c>
      <c r="C2699">
        <v>41.28</v>
      </c>
    </row>
    <row r="2700" spans="1:3" x14ac:dyDescent="0.25">
      <c r="A2700" s="2">
        <v>42437</v>
      </c>
      <c r="B2700" t="s">
        <v>14</v>
      </c>
      <c r="C2700">
        <v>40.24</v>
      </c>
    </row>
    <row r="2701" spans="1:3" x14ac:dyDescent="0.25">
      <c r="A2701" s="2">
        <v>42436</v>
      </c>
      <c r="B2701" t="s">
        <v>14</v>
      </c>
      <c r="C2701">
        <v>40.19</v>
      </c>
    </row>
    <row r="2702" spans="1:3" x14ac:dyDescent="0.25">
      <c r="A2702" s="2">
        <v>42433</v>
      </c>
      <c r="B2702" t="s">
        <v>14</v>
      </c>
      <c r="C2702">
        <v>38.869999999999997</v>
      </c>
    </row>
    <row r="2703" spans="1:3" x14ac:dyDescent="0.25">
      <c r="A2703" s="2">
        <v>42432</v>
      </c>
      <c r="B2703" t="s">
        <v>14</v>
      </c>
      <c r="C2703">
        <v>37.11</v>
      </c>
    </row>
    <row r="2704" spans="1:3" x14ac:dyDescent="0.25">
      <c r="A2704" s="2">
        <v>42431</v>
      </c>
      <c r="B2704" t="s">
        <v>14</v>
      </c>
      <c r="C2704">
        <v>37.69</v>
      </c>
    </row>
    <row r="2705" spans="1:3" x14ac:dyDescent="0.25">
      <c r="A2705" s="2">
        <v>42430</v>
      </c>
      <c r="B2705" t="s">
        <v>14</v>
      </c>
      <c r="C2705">
        <v>36.96</v>
      </c>
    </row>
    <row r="2706" spans="1:3" x14ac:dyDescent="0.25">
      <c r="A2706" s="2">
        <v>42429</v>
      </c>
      <c r="B2706" t="s">
        <v>14</v>
      </c>
      <c r="C2706">
        <v>37.14</v>
      </c>
    </row>
    <row r="2707" spans="1:3" x14ac:dyDescent="0.25">
      <c r="A2707" s="2">
        <v>42426</v>
      </c>
      <c r="B2707" t="s">
        <v>14</v>
      </c>
      <c r="C2707">
        <v>37.01</v>
      </c>
    </row>
    <row r="2708" spans="1:3" x14ac:dyDescent="0.25">
      <c r="A2708" s="2">
        <v>42425</v>
      </c>
      <c r="B2708" t="s">
        <v>14</v>
      </c>
      <c r="C2708">
        <v>34.22</v>
      </c>
    </row>
    <row r="2709" spans="1:3" x14ac:dyDescent="0.25">
      <c r="A2709" s="2">
        <v>42424</v>
      </c>
      <c r="B2709" t="s">
        <v>14</v>
      </c>
      <c r="C2709">
        <v>32.96</v>
      </c>
    </row>
    <row r="2710" spans="1:3" x14ac:dyDescent="0.25">
      <c r="A2710" s="2">
        <v>42423</v>
      </c>
      <c r="B2710" t="s">
        <v>14</v>
      </c>
      <c r="C2710">
        <v>33.31</v>
      </c>
    </row>
    <row r="2711" spans="1:3" x14ac:dyDescent="0.25">
      <c r="A2711" s="2">
        <v>42422</v>
      </c>
      <c r="B2711" t="s">
        <v>14</v>
      </c>
      <c r="C2711">
        <v>34.909999999999997</v>
      </c>
    </row>
    <row r="2712" spans="1:3" x14ac:dyDescent="0.25">
      <c r="A2712" s="2">
        <v>42419</v>
      </c>
      <c r="B2712" t="s">
        <v>14</v>
      </c>
      <c r="C2712">
        <v>33.08</v>
      </c>
    </row>
    <row r="2713" spans="1:3" x14ac:dyDescent="0.25">
      <c r="A2713" s="2">
        <v>42418</v>
      </c>
      <c r="B2713" t="s">
        <v>14</v>
      </c>
      <c r="C2713">
        <v>34.54</v>
      </c>
    </row>
    <row r="2714" spans="1:3" x14ac:dyDescent="0.25">
      <c r="A2714" s="2">
        <v>42417</v>
      </c>
      <c r="B2714" t="s">
        <v>14</v>
      </c>
      <c r="C2714">
        <v>34.69</v>
      </c>
    </row>
    <row r="2715" spans="1:3" x14ac:dyDescent="0.25">
      <c r="A2715" s="2">
        <v>42416</v>
      </c>
      <c r="B2715" t="s">
        <v>14</v>
      </c>
      <c r="C2715">
        <v>32.67</v>
      </c>
    </row>
    <row r="2716" spans="1:3" x14ac:dyDescent="0.25">
      <c r="A2716" s="2">
        <v>42415</v>
      </c>
      <c r="B2716" t="s">
        <v>14</v>
      </c>
      <c r="C2716">
        <v>34</v>
      </c>
    </row>
    <row r="2717" spans="1:3" x14ac:dyDescent="0.25">
      <c r="A2717" s="2">
        <v>42412</v>
      </c>
      <c r="B2717" t="s">
        <v>14</v>
      </c>
      <c r="C2717">
        <v>33.26</v>
      </c>
    </row>
    <row r="2718" spans="1:3" x14ac:dyDescent="0.25">
      <c r="A2718" s="2">
        <v>42411</v>
      </c>
      <c r="B2718" t="s">
        <v>14</v>
      </c>
      <c r="C2718">
        <v>30.35</v>
      </c>
    </row>
    <row r="2719" spans="1:3" x14ac:dyDescent="0.25">
      <c r="A2719" s="2">
        <v>42410</v>
      </c>
      <c r="B2719" t="s">
        <v>14</v>
      </c>
      <c r="C2719">
        <v>31.13</v>
      </c>
    </row>
    <row r="2720" spans="1:3" x14ac:dyDescent="0.25">
      <c r="A2720" s="2">
        <v>42409</v>
      </c>
      <c r="B2720" t="s">
        <v>14</v>
      </c>
      <c r="C2720">
        <v>31.46</v>
      </c>
    </row>
    <row r="2721" spans="1:3" x14ac:dyDescent="0.25">
      <c r="A2721" s="2">
        <v>42408</v>
      </c>
      <c r="B2721" t="s">
        <v>14</v>
      </c>
      <c r="C2721">
        <v>32.96</v>
      </c>
    </row>
    <row r="2722" spans="1:3" x14ac:dyDescent="0.25">
      <c r="A2722" s="2">
        <v>42405</v>
      </c>
      <c r="B2722" t="s">
        <v>14</v>
      </c>
      <c r="C2722">
        <v>33.81</v>
      </c>
    </row>
    <row r="2723" spans="1:3" x14ac:dyDescent="0.25">
      <c r="A2723" s="2">
        <v>42404</v>
      </c>
      <c r="B2723" t="s">
        <v>14</v>
      </c>
      <c r="C2723">
        <v>34.020000000000003</v>
      </c>
    </row>
    <row r="2724" spans="1:3" x14ac:dyDescent="0.25">
      <c r="A2724" s="2">
        <v>42403</v>
      </c>
      <c r="B2724" t="s">
        <v>14</v>
      </c>
      <c r="C2724">
        <v>33.659999999999997</v>
      </c>
    </row>
    <row r="2725" spans="1:3" x14ac:dyDescent="0.25">
      <c r="A2725" s="2">
        <v>42402</v>
      </c>
      <c r="B2725" t="s">
        <v>14</v>
      </c>
      <c r="C2725">
        <v>32.33</v>
      </c>
    </row>
    <row r="2726" spans="1:3" x14ac:dyDescent="0.25">
      <c r="A2726" s="2">
        <v>42401</v>
      </c>
      <c r="B2726" t="s">
        <v>14</v>
      </c>
      <c r="C2726">
        <v>33.71</v>
      </c>
    </row>
    <row r="2727" spans="1:3" x14ac:dyDescent="0.25">
      <c r="A2727" s="2">
        <v>42398</v>
      </c>
      <c r="B2727" t="s">
        <v>14</v>
      </c>
      <c r="C2727">
        <v>34.42</v>
      </c>
    </row>
    <row r="2728" spans="1:3" x14ac:dyDescent="0.25">
      <c r="A2728" s="2">
        <v>42397</v>
      </c>
      <c r="B2728" t="s">
        <v>14</v>
      </c>
      <c r="C2728">
        <v>34.299999999999997</v>
      </c>
    </row>
    <row r="2729" spans="1:3" x14ac:dyDescent="0.25">
      <c r="A2729" s="2">
        <v>42396</v>
      </c>
      <c r="B2729" t="s">
        <v>14</v>
      </c>
      <c r="C2729">
        <v>33.229999999999997</v>
      </c>
    </row>
    <row r="2730" spans="1:3" x14ac:dyDescent="0.25">
      <c r="A2730" s="2">
        <v>42395</v>
      </c>
      <c r="B2730" t="s">
        <v>14</v>
      </c>
      <c r="C2730">
        <v>32.369999999999997</v>
      </c>
    </row>
    <row r="2731" spans="1:3" x14ac:dyDescent="0.25">
      <c r="A2731" s="2">
        <v>42394</v>
      </c>
      <c r="B2731" t="s">
        <v>14</v>
      </c>
      <c r="C2731">
        <v>31.31</v>
      </c>
    </row>
    <row r="2732" spans="1:3" x14ac:dyDescent="0.25">
      <c r="A2732" s="2">
        <v>42391</v>
      </c>
      <c r="B2732" t="s">
        <v>14</v>
      </c>
      <c r="C2732">
        <v>31.97</v>
      </c>
    </row>
    <row r="2733" spans="1:3" x14ac:dyDescent="0.25">
      <c r="A2733" s="2">
        <v>42390</v>
      </c>
      <c r="B2733" t="s">
        <v>14</v>
      </c>
      <c r="C2733">
        <v>29.15</v>
      </c>
    </row>
    <row r="2734" spans="1:3" x14ac:dyDescent="0.25">
      <c r="A2734" s="2">
        <v>42389</v>
      </c>
      <c r="B2734" t="s">
        <v>14</v>
      </c>
      <c r="C2734">
        <v>27.63</v>
      </c>
    </row>
    <row r="2735" spans="1:3" x14ac:dyDescent="0.25">
      <c r="A2735" s="2">
        <v>42388</v>
      </c>
      <c r="B2735" t="s">
        <v>14</v>
      </c>
      <c r="C2735">
        <v>28.87</v>
      </c>
    </row>
    <row r="2736" spans="1:3" x14ac:dyDescent="0.25">
      <c r="A2736" s="2">
        <v>42387</v>
      </c>
      <c r="B2736" t="s">
        <v>14</v>
      </c>
      <c r="C2736">
        <v>28.91</v>
      </c>
    </row>
    <row r="2737" spans="1:3" x14ac:dyDescent="0.25">
      <c r="A2737" s="2">
        <v>42384</v>
      </c>
      <c r="B2737" t="s">
        <v>14</v>
      </c>
      <c r="C2737">
        <v>30.25</v>
      </c>
    </row>
    <row r="2738" spans="1:3" x14ac:dyDescent="0.25">
      <c r="A2738" s="2">
        <v>42383</v>
      </c>
      <c r="B2738" t="s">
        <v>14</v>
      </c>
      <c r="C2738">
        <v>30.29</v>
      </c>
    </row>
    <row r="2739" spans="1:3" x14ac:dyDescent="0.25">
      <c r="A2739" s="2">
        <v>42382</v>
      </c>
      <c r="B2739" t="s">
        <v>14</v>
      </c>
      <c r="C2739">
        <v>29.96</v>
      </c>
    </row>
    <row r="2740" spans="1:3" x14ac:dyDescent="0.25">
      <c r="A2740" s="2">
        <v>42381</v>
      </c>
      <c r="B2740" t="s">
        <v>14</v>
      </c>
      <c r="C2740">
        <v>30.54</v>
      </c>
    </row>
    <row r="2741" spans="1:3" x14ac:dyDescent="0.25">
      <c r="A2741" s="2">
        <v>42380</v>
      </c>
      <c r="B2741" t="s">
        <v>14</v>
      </c>
      <c r="C2741">
        <v>31.49</v>
      </c>
    </row>
    <row r="2742" spans="1:3" x14ac:dyDescent="0.25">
      <c r="A2742" s="2">
        <v>42377</v>
      </c>
      <c r="B2742" t="s">
        <v>14</v>
      </c>
      <c r="C2742">
        <v>33.22</v>
      </c>
    </row>
    <row r="2743" spans="1:3" x14ac:dyDescent="0.25">
      <c r="A2743" s="2">
        <v>42376</v>
      </c>
      <c r="B2743" t="s">
        <v>14</v>
      </c>
      <c r="C2743">
        <v>35.14</v>
      </c>
    </row>
    <row r="2744" spans="1:3" x14ac:dyDescent="0.25">
      <c r="A2744" s="2">
        <v>42375</v>
      </c>
      <c r="B2744" t="s">
        <v>14</v>
      </c>
      <c r="C2744">
        <v>35.29</v>
      </c>
    </row>
    <row r="2745" spans="1:3" x14ac:dyDescent="0.25">
      <c r="A2745" s="2">
        <v>42374</v>
      </c>
      <c r="B2745" t="s">
        <v>14</v>
      </c>
      <c r="C2745">
        <v>37.14</v>
      </c>
    </row>
    <row r="2746" spans="1:3" x14ac:dyDescent="0.25">
      <c r="A2746" s="2">
        <v>42373</v>
      </c>
      <c r="B2746" t="s">
        <v>14</v>
      </c>
      <c r="C2746">
        <v>37.94</v>
      </c>
    </row>
    <row r="2747" spans="1:3" x14ac:dyDescent="0.25">
      <c r="A2747" s="2">
        <v>42369</v>
      </c>
      <c r="B2747" t="s">
        <v>14</v>
      </c>
      <c r="C2747">
        <v>38.07</v>
      </c>
    </row>
    <row r="2748" spans="1:3" x14ac:dyDescent="0.25">
      <c r="A2748" s="2">
        <v>42368</v>
      </c>
      <c r="B2748" t="s">
        <v>14</v>
      </c>
      <c r="C2748">
        <v>37.31</v>
      </c>
    </row>
    <row r="2749" spans="1:3" x14ac:dyDescent="0.25">
      <c r="A2749" s="2">
        <v>42367</v>
      </c>
      <c r="B2749" t="s">
        <v>14</v>
      </c>
      <c r="C2749">
        <v>38.36</v>
      </c>
    </row>
    <row r="2750" spans="1:3" x14ac:dyDescent="0.25">
      <c r="A2750" s="2">
        <v>42362</v>
      </c>
      <c r="B2750" t="s">
        <v>14</v>
      </c>
      <c r="C2750">
        <v>38.51</v>
      </c>
    </row>
    <row r="2751" spans="1:3" x14ac:dyDescent="0.25">
      <c r="A2751" s="2">
        <v>42361</v>
      </c>
      <c r="B2751" t="s">
        <v>14</v>
      </c>
      <c r="C2751">
        <v>37.119999999999997</v>
      </c>
    </row>
    <row r="2752" spans="1:3" x14ac:dyDescent="0.25">
      <c r="A2752" s="2">
        <v>42360</v>
      </c>
      <c r="B2752" t="s">
        <v>14</v>
      </c>
      <c r="C2752">
        <v>36.6</v>
      </c>
    </row>
    <row r="2753" spans="1:3" x14ac:dyDescent="0.25">
      <c r="A2753" s="2">
        <v>42359</v>
      </c>
      <c r="B2753" t="s">
        <v>14</v>
      </c>
      <c r="C2753">
        <v>36.61</v>
      </c>
    </row>
    <row r="2754" spans="1:3" x14ac:dyDescent="0.25">
      <c r="A2754" s="2">
        <v>42356</v>
      </c>
      <c r="B2754" t="s">
        <v>14</v>
      </c>
      <c r="C2754">
        <v>37.75</v>
      </c>
    </row>
    <row r="2755" spans="1:3" x14ac:dyDescent="0.25">
      <c r="A2755" s="2">
        <v>42355</v>
      </c>
      <c r="B2755" t="s">
        <v>14</v>
      </c>
      <c r="C2755">
        <v>37.53</v>
      </c>
    </row>
    <row r="2756" spans="1:3" x14ac:dyDescent="0.25">
      <c r="A2756" s="2">
        <v>42354</v>
      </c>
      <c r="B2756" t="s">
        <v>14</v>
      </c>
      <c r="C2756">
        <v>38.11</v>
      </c>
    </row>
    <row r="2757" spans="1:3" x14ac:dyDescent="0.25">
      <c r="A2757" s="2">
        <v>42353</v>
      </c>
      <c r="B2757" t="s">
        <v>14</v>
      </c>
      <c r="C2757">
        <v>38.69</v>
      </c>
    </row>
    <row r="2758" spans="1:3" x14ac:dyDescent="0.25">
      <c r="A2758" s="2">
        <v>42352</v>
      </c>
      <c r="B2758" t="s">
        <v>14</v>
      </c>
      <c r="C2758">
        <v>37.57</v>
      </c>
    </row>
    <row r="2759" spans="1:3" x14ac:dyDescent="0.25">
      <c r="A2759" s="2">
        <v>42349</v>
      </c>
      <c r="B2759" t="s">
        <v>14</v>
      </c>
      <c r="C2759">
        <v>37.86</v>
      </c>
    </row>
    <row r="2760" spans="1:3" x14ac:dyDescent="0.25">
      <c r="A2760" s="2">
        <v>42348</v>
      </c>
      <c r="B2760" t="s">
        <v>14</v>
      </c>
      <c r="C2760">
        <v>39.43</v>
      </c>
    </row>
    <row r="2761" spans="1:3" x14ac:dyDescent="0.25">
      <c r="A2761" s="2">
        <v>42347</v>
      </c>
      <c r="B2761" t="s">
        <v>14</v>
      </c>
      <c r="C2761">
        <v>39.74</v>
      </c>
    </row>
    <row r="2762" spans="1:3" x14ac:dyDescent="0.25">
      <c r="A2762" s="2">
        <v>42346</v>
      </c>
      <c r="B2762" t="s">
        <v>14</v>
      </c>
      <c r="C2762">
        <v>40.14</v>
      </c>
    </row>
    <row r="2763" spans="1:3" x14ac:dyDescent="0.25">
      <c r="A2763" s="2">
        <v>42345</v>
      </c>
      <c r="B2763" t="s">
        <v>14</v>
      </c>
      <c r="C2763">
        <v>40.340000000000003</v>
      </c>
    </row>
    <row r="2764" spans="1:3" x14ac:dyDescent="0.25">
      <c r="A2764" s="2">
        <v>42342</v>
      </c>
      <c r="B2764" t="s">
        <v>14</v>
      </c>
      <c r="C2764">
        <v>41.96</v>
      </c>
    </row>
    <row r="2765" spans="1:3" x14ac:dyDescent="0.25">
      <c r="A2765" s="2">
        <v>42341</v>
      </c>
      <c r="B2765" t="s">
        <v>14</v>
      </c>
      <c r="C2765">
        <v>42.51</v>
      </c>
    </row>
    <row r="2766" spans="1:3" x14ac:dyDescent="0.25">
      <c r="A2766" s="2">
        <v>42340</v>
      </c>
      <c r="B2766" t="s">
        <v>14</v>
      </c>
      <c r="C2766">
        <v>42.44</v>
      </c>
    </row>
    <row r="2767" spans="1:3" x14ac:dyDescent="0.25">
      <c r="A2767" s="2">
        <v>42339</v>
      </c>
      <c r="B2767" t="s">
        <v>14</v>
      </c>
      <c r="C2767">
        <v>43.49</v>
      </c>
    </row>
    <row r="2768" spans="1:3" x14ac:dyDescent="0.25">
      <c r="A2768" s="2">
        <v>42338</v>
      </c>
      <c r="B2768" t="s">
        <v>14</v>
      </c>
      <c r="C2768">
        <v>44.21</v>
      </c>
    </row>
    <row r="2769" spans="1:3" x14ac:dyDescent="0.25">
      <c r="A2769" s="2">
        <v>42335</v>
      </c>
      <c r="B2769" t="s">
        <v>14</v>
      </c>
      <c r="C2769">
        <v>43.53</v>
      </c>
    </row>
    <row r="2770" spans="1:3" x14ac:dyDescent="0.25">
      <c r="A2770" s="2">
        <v>42334</v>
      </c>
      <c r="B2770" t="s">
        <v>14</v>
      </c>
      <c r="C2770">
        <v>44.06</v>
      </c>
    </row>
    <row r="2771" spans="1:3" x14ac:dyDescent="0.25">
      <c r="A2771" s="2">
        <v>42333</v>
      </c>
      <c r="B2771" t="s">
        <v>14</v>
      </c>
      <c r="C2771">
        <v>44.05</v>
      </c>
    </row>
    <row r="2772" spans="1:3" x14ac:dyDescent="0.25">
      <c r="A2772" s="2">
        <v>42332</v>
      </c>
      <c r="B2772" t="s">
        <v>14</v>
      </c>
      <c r="C2772">
        <v>44.85</v>
      </c>
    </row>
    <row r="2773" spans="1:3" x14ac:dyDescent="0.25">
      <c r="A2773" s="2">
        <v>42331</v>
      </c>
      <c r="B2773" t="s">
        <v>14</v>
      </c>
      <c r="C2773">
        <v>44.22</v>
      </c>
    </row>
    <row r="2774" spans="1:3" x14ac:dyDescent="0.25">
      <c r="A2774" s="2">
        <v>42328</v>
      </c>
      <c r="B2774" t="s">
        <v>14</v>
      </c>
      <c r="C2774">
        <v>42.98</v>
      </c>
    </row>
    <row r="2775" spans="1:3" x14ac:dyDescent="0.25">
      <c r="A2775" s="2">
        <v>42327</v>
      </c>
      <c r="B2775" t="s">
        <v>14</v>
      </c>
      <c r="C2775">
        <v>42.72</v>
      </c>
    </row>
    <row r="2776" spans="1:3" x14ac:dyDescent="0.25">
      <c r="A2776" s="2">
        <v>42326</v>
      </c>
      <c r="B2776" t="s">
        <v>14</v>
      </c>
      <c r="C2776">
        <v>41.95</v>
      </c>
    </row>
    <row r="2777" spans="1:3" x14ac:dyDescent="0.25">
      <c r="A2777" s="2">
        <v>42325</v>
      </c>
      <c r="B2777" t="s">
        <v>14</v>
      </c>
      <c r="C2777">
        <v>41.72</v>
      </c>
    </row>
    <row r="2778" spans="1:3" x14ac:dyDescent="0.25">
      <c r="A2778" s="2">
        <v>42324</v>
      </c>
      <c r="B2778" t="s">
        <v>14</v>
      </c>
      <c r="C2778">
        <v>40.700000000000003</v>
      </c>
    </row>
    <row r="2779" spans="1:3" x14ac:dyDescent="0.25">
      <c r="A2779" s="2">
        <v>42321</v>
      </c>
      <c r="B2779" t="s">
        <v>14</v>
      </c>
      <c r="C2779">
        <v>42.42</v>
      </c>
    </row>
    <row r="2780" spans="1:3" x14ac:dyDescent="0.25">
      <c r="A2780" s="2">
        <v>42320</v>
      </c>
      <c r="B2780" t="s">
        <v>14</v>
      </c>
      <c r="C2780">
        <v>44.38</v>
      </c>
    </row>
    <row r="2781" spans="1:3" x14ac:dyDescent="0.25">
      <c r="A2781" s="2">
        <v>42319</v>
      </c>
      <c r="B2781" t="s">
        <v>14</v>
      </c>
      <c r="C2781">
        <v>45.65</v>
      </c>
    </row>
    <row r="2782" spans="1:3" x14ac:dyDescent="0.25">
      <c r="A2782" s="2">
        <v>42318</v>
      </c>
      <c r="B2782" t="s">
        <v>14</v>
      </c>
      <c r="C2782">
        <v>46.99</v>
      </c>
    </row>
    <row r="2783" spans="1:3" x14ac:dyDescent="0.25">
      <c r="A2783" s="2">
        <v>42317</v>
      </c>
      <c r="B2783" t="s">
        <v>14</v>
      </c>
      <c r="C2783">
        <v>45.83</v>
      </c>
    </row>
    <row r="2784" spans="1:3" x14ac:dyDescent="0.25">
      <c r="A2784" s="2">
        <v>42314</v>
      </c>
      <c r="B2784" t="s">
        <v>14</v>
      </c>
      <c r="C2784">
        <v>46.61</v>
      </c>
    </row>
    <row r="2785" spans="1:3" x14ac:dyDescent="0.25">
      <c r="A2785" s="2">
        <v>42313</v>
      </c>
      <c r="B2785" t="s">
        <v>14</v>
      </c>
      <c r="C2785">
        <v>47.72</v>
      </c>
    </row>
    <row r="2786" spans="1:3" x14ac:dyDescent="0.25">
      <c r="A2786" s="2">
        <v>42312</v>
      </c>
      <c r="B2786" t="s">
        <v>14</v>
      </c>
      <c r="C2786">
        <v>47.4</v>
      </c>
    </row>
    <row r="2787" spans="1:3" x14ac:dyDescent="0.25">
      <c r="A2787" s="2">
        <v>42311</v>
      </c>
      <c r="B2787" t="s">
        <v>14</v>
      </c>
      <c r="C2787">
        <v>48.46</v>
      </c>
    </row>
    <row r="2788" spans="1:3" x14ac:dyDescent="0.25">
      <c r="A2788" s="2">
        <v>42310</v>
      </c>
      <c r="B2788" t="s">
        <v>14</v>
      </c>
      <c r="C2788">
        <v>48.35</v>
      </c>
    </row>
    <row r="2789" spans="1:3" x14ac:dyDescent="0.25">
      <c r="A2789" s="2">
        <v>42307</v>
      </c>
      <c r="B2789" t="s">
        <v>14</v>
      </c>
      <c r="C2789">
        <v>48.68</v>
      </c>
    </row>
    <row r="2790" spans="1:3" x14ac:dyDescent="0.25">
      <c r="A2790" s="2">
        <v>42306</v>
      </c>
      <c r="B2790" t="s">
        <v>14</v>
      </c>
      <c r="C2790">
        <v>48.75</v>
      </c>
    </row>
    <row r="2791" spans="1:3" x14ac:dyDescent="0.25">
      <c r="A2791" s="2">
        <v>42305</v>
      </c>
      <c r="B2791" t="s">
        <v>14</v>
      </c>
      <c r="C2791">
        <v>48.3</v>
      </c>
    </row>
    <row r="2792" spans="1:3" x14ac:dyDescent="0.25">
      <c r="A2792" s="2">
        <v>42304</v>
      </c>
      <c r="B2792" t="s">
        <v>14</v>
      </c>
      <c r="C2792">
        <v>46.41</v>
      </c>
    </row>
    <row r="2793" spans="1:3" x14ac:dyDescent="0.25">
      <c r="A2793" s="2">
        <v>42303</v>
      </c>
      <c r="B2793" t="s">
        <v>14</v>
      </c>
      <c r="C2793">
        <v>47.39</v>
      </c>
    </row>
    <row r="2794" spans="1:3" x14ac:dyDescent="0.25">
      <c r="A2794" s="2">
        <v>42300</v>
      </c>
      <c r="B2794" t="s">
        <v>14</v>
      </c>
      <c r="C2794">
        <v>47.17</v>
      </c>
    </row>
    <row r="2795" spans="1:3" x14ac:dyDescent="0.25">
      <c r="A2795" s="2">
        <v>42299</v>
      </c>
      <c r="B2795" t="s">
        <v>14</v>
      </c>
      <c r="C2795">
        <v>47.39</v>
      </c>
    </row>
    <row r="2796" spans="1:3" x14ac:dyDescent="0.25">
      <c r="A2796" s="2">
        <v>42298</v>
      </c>
      <c r="B2796" t="s">
        <v>14</v>
      </c>
      <c r="C2796">
        <v>47.51</v>
      </c>
    </row>
    <row r="2797" spans="1:3" x14ac:dyDescent="0.25">
      <c r="A2797" s="2">
        <v>42297</v>
      </c>
      <c r="B2797" t="s">
        <v>14</v>
      </c>
      <c r="C2797">
        <v>47.73</v>
      </c>
    </row>
    <row r="2798" spans="1:3" x14ac:dyDescent="0.25">
      <c r="A2798" s="2">
        <v>42296</v>
      </c>
      <c r="B2798" t="s">
        <v>14</v>
      </c>
      <c r="C2798">
        <v>48.3</v>
      </c>
    </row>
    <row r="2799" spans="1:3" x14ac:dyDescent="0.25">
      <c r="A2799" s="2">
        <v>42293</v>
      </c>
      <c r="B2799" t="s">
        <v>14</v>
      </c>
      <c r="C2799">
        <v>49.71</v>
      </c>
    </row>
    <row r="2800" spans="1:3" x14ac:dyDescent="0.25">
      <c r="A2800" s="2">
        <v>42292</v>
      </c>
      <c r="B2800" t="s">
        <v>14</v>
      </c>
      <c r="C2800">
        <v>48.66</v>
      </c>
    </row>
    <row r="2801" spans="1:3" x14ac:dyDescent="0.25">
      <c r="A2801" s="2">
        <v>42291</v>
      </c>
      <c r="B2801" t="s">
        <v>14</v>
      </c>
      <c r="C2801">
        <v>48.97</v>
      </c>
    </row>
    <row r="2802" spans="1:3" x14ac:dyDescent="0.25">
      <c r="A2802" s="2">
        <v>42290</v>
      </c>
      <c r="B2802" t="s">
        <v>14</v>
      </c>
      <c r="C2802">
        <v>49.64</v>
      </c>
    </row>
    <row r="2803" spans="1:3" x14ac:dyDescent="0.25">
      <c r="A2803" s="2">
        <v>42289</v>
      </c>
      <c r="B2803" t="s">
        <v>14</v>
      </c>
      <c r="C2803">
        <v>51.6</v>
      </c>
    </row>
    <row r="2804" spans="1:3" x14ac:dyDescent="0.25">
      <c r="A2804" s="2">
        <v>42286</v>
      </c>
      <c r="B2804" t="s">
        <v>14</v>
      </c>
      <c r="C2804">
        <v>52.71</v>
      </c>
    </row>
    <row r="2805" spans="1:3" x14ac:dyDescent="0.25">
      <c r="A2805" s="2">
        <v>42285</v>
      </c>
      <c r="B2805" t="s">
        <v>14</v>
      </c>
      <c r="C2805">
        <v>52.76</v>
      </c>
    </row>
    <row r="2806" spans="1:3" x14ac:dyDescent="0.25">
      <c r="A2806" s="2">
        <v>42284</v>
      </c>
      <c r="B2806" t="s">
        <v>14</v>
      </c>
      <c r="C2806">
        <v>52.35</v>
      </c>
    </row>
    <row r="2807" spans="1:3" x14ac:dyDescent="0.25">
      <c r="A2807" s="2">
        <v>42283</v>
      </c>
      <c r="B2807" t="s">
        <v>14</v>
      </c>
      <c r="C2807">
        <v>52.08</v>
      </c>
    </row>
    <row r="2808" spans="1:3" x14ac:dyDescent="0.25">
      <c r="A2808" s="2">
        <v>42282</v>
      </c>
      <c r="B2808" t="s">
        <v>14</v>
      </c>
      <c r="C2808">
        <v>50.27</v>
      </c>
    </row>
    <row r="2809" spans="1:3" x14ac:dyDescent="0.25">
      <c r="A2809" s="2">
        <v>42279</v>
      </c>
      <c r="B2809" t="s">
        <v>14</v>
      </c>
      <c r="C2809">
        <v>47.53</v>
      </c>
    </row>
    <row r="2810" spans="1:3" x14ac:dyDescent="0.25">
      <c r="A2810" s="2">
        <v>42278</v>
      </c>
      <c r="B2810" t="s">
        <v>14</v>
      </c>
      <c r="C2810">
        <v>48.41</v>
      </c>
    </row>
    <row r="2811" spans="1:3" x14ac:dyDescent="0.25">
      <c r="A2811" s="2">
        <v>42277</v>
      </c>
      <c r="B2811" t="s">
        <v>14</v>
      </c>
      <c r="C2811">
        <v>48.23</v>
      </c>
    </row>
    <row r="2812" spans="1:3" x14ac:dyDescent="0.25">
      <c r="A2812" s="2">
        <v>42276</v>
      </c>
      <c r="B2812" t="s">
        <v>14</v>
      </c>
      <c r="C2812">
        <v>48.46</v>
      </c>
    </row>
    <row r="2813" spans="1:3" x14ac:dyDescent="0.25">
      <c r="A2813" s="2">
        <v>42275</v>
      </c>
      <c r="B2813" t="s">
        <v>14</v>
      </c>
      <c r="C2813">
        <v>47</v>
      </c>
    </row>
    <row r="2814" spans="1:3" x14ac:dyDescent="0.25">
      <c r="A2814" s="2">
        <v>42272</v>
      </c>
      <c r="B2814" t="s">
        <v>14</v>
      </c>
      <c r="C2814">
        <v>48.18</v>
      </c>
    </row>
    <row r="2815" spans="1:3" x14ac:dyDescent="0.25">
      <c r="A2815" s="2">
        <v>42271</v>
      </c>
      <c r="B2815" t="s">
        <v>14</v>
      </c>
      <c r="C2815">
        <v>47.88</v>
      </c>
    </row>
    <row r="2816" spans="1:3" x14ac:dyDescent="0.25">
      <c r="A2816" s="2">
        <v>42270</v>
      </c>
      <c r="B2816" t="s">
        <v>14</v>
      </c>
      <c r="C2816">
        <v>48.65</v>
      </c>
    </row>
    <row r="2817" spans="1:3" x14ac:dyDescent="0.25">
      <c r="A2817" s="2">
        <v>42269</v>
      </c>
      <c r="B2817" t="s">
        <v>14</v>
      </c>
      <c r="C2817">
        <v>47.44</v>
      </c>
    </row>
    <row r="2818" spans="1:3" x14ac:dyDescent="0.25">
      <c r="A2818" s="2">
        <v>42268</v>
      </c>
      <c r="B2818" t="s">
        <v>14</v>
      </c>
      <c r="C2818">
        <v>48.52</v>
      </c>
    </row>
    <row r="2819" spans="1:3" x14ac:dyDescent="0.25">
      <c r="A2819" s="2">
        <v>42265</v>
      </c>
      <c r="B2819" t="s">
        <v>14</v>
      </c>
      <c r="C2819">
        <v>48.18</v>
      </c>
    </row>
    <row r="2820" spans="1:3" x14ac:dyDescent="0.25">
      <c r="A2820" s="2">
        <v>42264</v>
      </c>
      <c r="B2820" t="s">
        <v>14</v>
      </c>
      <c r="C2820">
        <v>48.98</v>
      </c>
    </row>
    <row r="2821" spans="1:3" x14ac:dyDescent="0.25">
      <c r="A2821" s="2">
        <v>42263</v>
      </c>
      <c r="B2821" t="s">
        <v>14</v>
      </c>
      <c r="C2821">
        <v>49.97</v>
      </c>
    </row>
    <row r="2822" spans="1:3" x14ac:dyDescent="0.25">
      <c r="A2822" s="2">
        <v>42262</v>
      </c>
      <c r="B2822" t="s">
        <v>14</v>
      </c>
      <c r="C2822">
        <v>46.53</v>
      </c>
    </row>
    <row r="2823" spans="1:3" x14ac:dyDescent="0.25">
      <c r="A2823" s="2">
        <v>42261</v>
      </c>
      <c r="B2823" t="s">
        <v>14</v>
      </c>
      <c r="C2823">
        <v>46.45</v>
      </c>
    </row>
    <row r="2824" spans="1:3" x14ac:dyDescent="0.25">
      <c r="A2824" s="2">
        <v>42258</v>
      </c>
      <c r="B2824" t="s">
        <v>14</v>
      </c>
      <c r="C2824">
        <v>47.49</v>
      </c>
    </row>
    <row r="2825" spans="1:3" x14ac:dyDescent="0.25">
      <c r="A2825" s="2">
        <v>42257</v>
      </c>
      <c r="B2825" t="s">
        <v>14</v>
      </c>
      <c r="C2825">
        <v>48.47</v>
      </c>
    </row>
    <row r="2826" spans="1:3" x14ac:dyDescent="0.25">
      <c r="A2826" s="2">
        <v>42256</v>
      </c>
      <c r="B2826" t="s">
        <v>14</v>
      </c>
      <c r="C2826">
        <v>48.62</v>
      </c>
    </row>
    <row r="2827" spans="1:3" x14ac:dyDescent="0.25">
      <c r="A2827" s="2">
        <v>42255</v>
      </c>
      <c r="B2827" t="s">
        <v>14</v>
      </c>
      <c r="C2827">
        <v>49.42</v>
      </c>
    </row>
    <row r="2828" spans="1:3" x14ac:dyDescent="0.25">
      <c r="A2828" s="2">
        <v>42254</v>
      </c>
      <c r="B2828" t="s">
        <v>14</v>
      </c>
      <c r="C2828">
        <v>47.01</v>
      </c>
    </row>
    <row r="2829" spans="1:3" x14ac:dyDescent="0.25">
      <c r="A2829" s="2">
        <v>42251</v>
      </c>
      <c r="B2829" t="s">
        <v>14</v>
      </c>
      <c r="C2829">
        <v>49.07</v>
      </c>
    </row>
    <row r="2830" spans="1:3" x14ac:dyDescent="0.25">
      <c r="A2830" s="2">
        <v>42250</v>
      </c>
      <c r="B2830" t="s">
        <v>14</v>
      </c>
      <c r="C2830">
        <v>50.8</v>
      </c>
    </row>
    <row r="2831" spans="1:3" x14ac:dyDescent="0.25">
      <c r="A2831" s="2">
        <v>42249</v>
      </c>
      <c r="B2831" t="s">
        <v>14</v>
      </c>
      <c r="C2831">
        <v>48.08</v>
      </c>
    </row>
    <row r="2832" spans="1:3" x14ac:dyDescent="0.25">
      <c r="A2832" s="2">
        <v>42248</v>
      </c>
      <c r="B2832" t="s">
        <v>14</v>
      </c>
      <c r="C2832">
        <v>48.86</v>
      </c>
    </row>
    <row r="2833" spans="1:3" x14ac:dyDescent="0.25">
      <c r="A2833" s="2">
        <v>42244</v>
      </c>
      <c r="B2833" t="s">
        <v>14</v>
      </c>
      <c r="C2833">
        <v>48.07</v>
      </c>
    </row>
    <row r="2834" spans="1:3" x14ac:dyDescent="0.25">
      <c r="A2834" s="2">
        <v>42243</v>
      </c>
      <c r="B2834" t="s">
        <v>14</v>
      </c>
      <c r="C2834">
        <v>44.79</v>
      </c>
    </row>
    <row r="2835" spans="1:3" x14ac:dyDescent="0.25">
      <c r="A2835" s="2">
        <v>42242</v>
      </c>
      <c r="B2835" t="s">
        <v>14</v>
      </c>
      <c r="C2835">
        <v>42.17</v>
      </c>
    </row>
    <row r="2836" spans="1:3" x14ac:dyDescent="0.25">
      <c r="A2836" s="2">
        <v>42241</v>
      </c>
      <c r="B2836" t="s">
        <v>14</v>
      </c>
      <c r="C2836">
        <v>42.23</v>
      </c>
    </row>
    <row r="2837" spans="1:3" x14ac:dyDescent="0.25">
      <c r="A2837" s="2">
        <v>42240</v>
      </c>
      <c r="B2837" t="s">
        <v>14</v>
      </c>
      <c r="C2837">
        <v>42.06</v>
      </c>
    </row>
    <row r="2838" spans="1:3" x14ac:dyDescent="0.25">
      <c r="A2838" s="2">
        <v>42237</v>
      </c>
      <c r="B2838" t="s">
        <v>14</v>
      </c>
      <c r="C2838">
        <v>44.2</v>
      </c>
    </row>
    <row r="2839" spans="1:3" x14ac:dyDescent="0.25">
      <c r="A2839" s="2">
        <v>42236</v>
      </c>
      <c r="B2839" t="s">
        <v>14</v>
      </c>
      <c r="C2839">
        <v>45.9</v>
      </c>
    </row>
    <row r="2840" spans="1:3" x14ac:dyDescent="0.25">
      <c r="A2840" s="2">
        <v>42235</v>
      </c>
      <c r="B2840" t="s">
        <v>14</v>
      </c>
      <c r="C2840">
        <v>45.98</v>
      </c>
    </row>
    <row r="2841" spans="1:3" x14ac:dyDescent="0.25">
      <c r="A2841" s="2">
        <v>42234</v>
      </c>
      <c r="B2841" t="s">
        <v>14</v>
      </c>
      <c r="C2841">
        <v>47.16</v>
      </c>
    </row>
    <row r="2842" spans="1:3" x14ac:dyDescent="0.25">
      <c r="A2842" s="2">
        <v>42233</v>
      </c>
      <c r="B2842" t="s">
        <v>14</v>
      </c>
      <c r="C2842">
        <v>48</v>
      </c>
    </row>
    <row r="2843" spans="1:3" x14ac:dyDescent="0.25">
      <c r="A2843" s="2">
        <v>42230</v>
      </c>
      <c r="B2843" t="s">
        <v>14</v>
      </c>
      <c r="C2843">
        <v>48.08</v>
      </c>
    </row>
    <row r="2844" spans="1:3" x14ac:dyDescent="0.25">
      <c r="A2844" s="2">
        <v>42229</v>
      </c>
      <c r="B2844" t="s">
        <v>14</v>
      </c>
      <c r="C2844">
        <v>48.17</v>
      </c>
    </row>
    <row r="2845" spans="1:3" x14ac:dyDescent="0.25">
      <c r="A2845" s="2">
        <v>42228</v>
      </c>
      <c r="B2845" t="s">
        <v>14</v>
      </c>
      <c r="C2845">
        <v>48.44</v>
      </c>
    </row>
    <row r="2846" spans="1:3" x14ac:dyDescent="0.25">
      <c r="A2846" s="2">
        <v>42227</v>
      </c>
      <c r="B2846" t="s">
        <v>14</v>
      </c>
      <c r="C2846">
        <v>47.46</v>
      </c>
    </row>
    <row r="2847" spans="1:3" x14ac:dyDescent="0.25">
      <c r="A2847" s="2">
        <v>42226</v>
      </c>
      <c r="B2847" t="s">
        <v>14</v>
      </c>
      <c r="C2847">
        <v>48.64</v>
      </c>
    </row>
    <row r="2848" spans="1:3" x14ac:dyDescent="0.25">
      <c r="A2848" s="2">
        <v>42223</v>
      </c>
      <c r="B2848" t="s">
        <v>14</v>
      </c>
      <c r="C2848">
        <v>47.92</v>
      </c>
    </row>
    <row r="2849" spans="1:3" x14ac:dyDescent="0.25">
      <c r="A2849" s="2">
        <v>42222</v>
      </c>
      <c r="B2849" t="s">
        <v>14</v>
      </c>
      <c r="C2849">
        <v>48.2</v>
      </c>
    </row>
    <row r="2850" spans="1:3" x14ac:dyDescent="0.25">
      <c r="A2850" s="2">
        <v>42221</v>
      </c>
      <c r="B2850" t="s">
        <v>14</v>
      </c>
      <c r="C2850">
        <v>49.38</v>
      </c>
    </row>
    <row r="2851" spans="1:3" x14ac:dyDescent="0.25">
      <c r="A2851" s="2">
        <v>42220</v>
      </c>
      <c r="B2851" t="s">
        <v>14</v>
      </c>
      <c r="C2851">
        <v>49.45</v>
      </c>
    </row>
    <row r="2852" spans="1:3" x14ac:dyDescent="0.25">
      <c r="A2852" s="2">
        <v>42219</v>
      </c>
      <c r="B2852" t="s">
        <v>14</v>
      </c>
      <c r="C2852">
        <v>49.94</v>
      </c>
    </row>
    <row r="2853" spans="1:3" x14ac:dyDescent="0.25">
      <c r="A2853" s="2">
        <v>42216</v>
      </c>
      <c r="B2853" t="s">
        <v>14</v>
      </c>
      <c r="C2853">
        <v>53.54</v>
      </c>
    </row>
    <row r="2854" spans="1:3" x14ac:dyDescent="0.25">
      <c r="A2854" s="2">
        <v>42215</v>
      </c>
      <c r="B2854" t="s">
        <v>14</v>
      </c>
      <c r="C2854">
        <v>54.72</v>
      </c>
    </row>
    <row r="2855" spans="1:3" x14ac:dyDescent="0.25">
      <c r="A2855" s="2">
        <v>42214</v>
      </c>
      <c r="B2855" t="s">
        <v>14</v>
      </c>
      <c r="C2855">
        <v>55.16</v>
      </c>
    </row>
    <row r="2856" spans="1:3" x14ac:dyDescent="0.25">
      <c r="A2856" s="2">
        <v>42213</v>
      </c>
      <c r="B2856" t="s">
        <v>14</v>
      </c>
      <c r="C2856">
        <v>54.87</v>
      </c>
    </row>
    <row r="2857" spans="1:3" x14ac:dyDescent="0.25">
      <c r="A2857" s="2">
        <v>42212</v>
      </c>
      <c r="B2857" t="s">
        <v>14</v>
      </c>
      <c r="C2857">
        <v>54.45</v>
      </c>
    </row>
    <row r="2858" spans="1:3" x14ac:dyDescent="0.25">
      <c r="A2858" s="2">
        <v>42209</v>
      </c>
      <c r="B2858" t="s">
        <v>14</v>
      </c>
      <c r="C2858">
        <v>54.66</v>
      </c>
    </row>
    <row r="2859" spans="1:3" x14ac:dyDescent="0.25">
      <c r="A2859" s="2">
        <v>42208</v>
      </c>
      <c r="B2859" t="s">
        <v>14</v>
      </c>
      <c r="C2859">
        <v>55.99</v>
      </c>
    </row>
    <row r="2860" spans="1:3" x14ac:dyDescent="0.25">
      <c r="A2860" s="2">
        <v>42207</v>
      </c>
      <c r="B2860" t="s">
        <v>14</v>
      </c>
      <c r="C2860">
        <v>56.52</v>
      </c>
    </row>
    <row r="2861" spans="1:3" x14ac:dyDescent="0.25">
      <c r="A2861" s="2">
        <v>42206</v>
      </c>
      <c r="B2861" t="s">
        <v>14</v>
      </c>
      <c r="C2861">
        <v>56.09</v>
      </c>
    </row>
    <row r="2862" spans="1:3" x14ac:dyDescent="0.25">
      <c r="A2862" s="2">
        <v>42205</v>
      </c>
      <c r="B2862" t="s">
        <v>14</v>
      </c>
      <c r="C2862">
        <v>56.63</v>
      </c>
    </row>
    <row r="2863" spans="1:3" x14ac:dyDescent="0.25">
      <c r="A2863" s="2">
        <v>42202</v>
      </c>
      <c r="B2863" t="s">
        <v>14</v>
      </c>
      <c r="C2863">
        <v>56.59</v>
      </c>
    </row>
    <row r="2864" spans="1:3" x14ac:dyDescent="0.25">
      <c r="A2864" s="2">
        <v>42201</v>
      </c>
      <c r="B2864" t="s">
        <v>14</v>
      </c>
      <c r="C2864">
        <v>57.51</v>
      </c>
    </row>
    <row r="2865" spans="1:3" x14ac:dyDescent="0.25">
      <c r="A2865" s="2">
        <v>42200</v>
      </c>
      <c r="B2865" t="s">
        <v>14</v>
      </c>
      <c r="C2865">
        <v>57.49</v>
      </c>
    </row>
    <row r="2866" spans="1:3" x14ac:dyDescent="0.25">
      <c r="A2866" s="2">
        <v>42199</v>
      </c>
      <c r="B2866" t="s">
        <v>14</v>
      </c>
      <c r="C2866">
        <v>57.31</v>
      </c>
    </row>
    <row r="2867" spans="1:3" x14ac:dyDescent="0.25">
      <c r="A2867" s="2">
        <v>42198</v>
      </c>
      <c r="B2867" t="s">
        <v>14</v>
      </c>
      <c r="C2867">
        <v>57.68</v>
      </c>
    </row>
    <row r="2868" spans="1:3" x14ac:dyDescent="0.25">
      <c r="A2868" s="2">
        <v>42195</v>
      </c>
      <c r="B2868" t="s">
        <v>14</v>
      </c>
      <c r="C2868">
        <v>57.76</v>
      </c>
    </row>
    <row r="2869" spans="1:3" x14ac:dyDescent="0.25">
      <c r="A2869" s="2">
        <v>42194</v>
      </c>
      <c r="B2869" t="s">
        <v>14</v>
      </c>
      <c r="C2869">
        <v>57.78</v>
      </c>
    </row>
    <row r="2870" spans="1:3" x14ac:dyDescent="0.25">
      <c r="A2870" s="2">
        <v>42193</v>
      </c>
      <c r="B2870" t="s">
        <v>14</v>
      </c>
      <c r="C2870">
        <v>55.72</v>
      </c>
    </row>
    <row r="2871" spans="1:3" x14ac:dyDescent="0.25">
      <c r="A2871" s="2">
        <v>42192</v>
      </c>
      <c r="B2871" t="s">
        <v>14</v>
      </c>
      <c r="C2871">
        <v>54.79</v>
      </c>
    </row>
    <row r="2872" spans="1:3" x14ac:dyDescent="0.25">
      <c r="A2872" s="2">
        <v>42191</v>
      </c>
      <c r="B2872" t="s">
        <v>14</v>
      </c>
      <c r="C2872">
        <v>56.924999999999997</v>
      </c>
    </row>
    <row r="2873" spans="1:3" x14ac:dyDescent="0.25">
      <c r="A2873" s="2">
        <v>42188</v>
      </c>
      <c r="B2873" t="s">
        <v>14</v>
      </c>
      <c r="C2873">
        <v>58.645000000000003</v>
      </c>
    </row>
    <row r="2874" spans="1:3" x14ac:dyDescent="0.25">
      <c r="A2874" s="2">
        <v>42187</v>
      </c>
      <c r="B2874" t="s">
        <v>14</v>
      </c>
      <c r="C2874">
        <v>61.1</v>
      </c>
    </row>
    <row r="2875" spans="1:3" x14ac:dyDescent="0.25">
      <c r="A2875" s="2">
        <v>42186</v>
      </c>
      <c r="B2875" t="s">
        <v>14</v>
      </c>
      <c r="C2875">
        <v>61.024999999999999</v>
      </c>
    </row>
    <row r="2876" spans="1:3" x14ac:dyDescent="0.25">
      <c r="A2876" s="2">
        <v>42185</v>
      </c>
      <c r="B2876" t="s">
        <v>14</v>
      </c>
      <c r="C2876">
        <v>59.75</v>
      </c>
    </row>
    <row r="2877" spans="1:3" x14ac:dyDescent="0.25">
      <c r="A2877" s="2">
        <v>42184</v>
      </c>
      <c r="B2877" t="s">
        <v>14</v>
      </c>
      <c r="C2877">
        <v>58.53</v>
      </c>
    </row>
    <row r="2878" spans="1:3" x14ac:dyDescent="0.25">
      <c r="A2878" s="2">
        <v>42181</v>
      </c>
      <c r="B2878" t="s">
        <v>14</v>
      </c>
      <c r="C2878">
        <v>59.57</v>
      </c>
    </row>
    <row r="2879" spans="1:3" x14ac:dyDescent="0.25">
      <c r="A2879" s="2">
        <v>42180</v>
      </c>
      <c r="B2879" t="s">
        <v>14</v>
      </c>
      <c r="C2879">
        <v>59.66</v>
      </c>
    </row>
    <row r="2880" spans="1:3" x14ac:dyDescent="0.25">
      <c r="A2880" s="2">
        <v>42179</v>
      </c>
      <c r="B2880" t="s">
        <v>14</v>
      </c>
      <c r="C2880">
        <v>61.01</v>
      </c>
    </row>
    <row r="2881" spans="1:3" x14ac:dyDescent="0.25">
      <c r="A2881" s="2">
        <v>42178</v>
      </c>
      <c r="B2881" t="s">
        <v>14</v>
      </c>
      <c r="C2881">
        <v>61.045000000000002</v>
      </c>
    </row>
    <row r="2882" spans="1:3" x14ac:dyDescent="0.25">
      <c r="A2882" s="2">
        <v>42177</v>
      </c>
      <c r="B2882" t="s">
        <v>14</v>
      </c>
      <c r="C2882">
        <v>60.005000000000003</v>
      </c>
    </row>
    <row r="2883" spans="1:3" x14ac:dyDescent="0.25">
      <c r="A2883" s="2">
        <v>42174</v>
      </c>
      <c r="B2883" t="s">
        <v>14</v>
      </c>
      <c r="C2883">
        <v>58.92</v>
      </c>
    </row>
    <row r="2884" spans="1:3" x14ac:dyDescent="0.25">
      <c r="A2884" s="2">
        <v>42173</v>
      </c>
      <c r="B2884" t="s">
        <v>14</v>
      </c>
      <c r="C2884">
        <v>60.85</v>
      </c>
    </row>
    <row r="2885" spans="1:3" x14ac:dyDescent="0.25">
      <c r="A2885" s="2">
        <v>42172</v>
      </c>
      <c r="B2885" t="s">
        <v>14</v>
      </c>
      <c r="C2885">
        <v>60.27</v>
      </c>
    </row>
    <row r="2886" spans="1:3" x14ac:dyDescent="0.25">
      <c r="A2886" s="2">
        <v>42171</v>
      </c>
      <c r="B2886" t="s">
        <v>14</v>
      </c>
      <c r="C2886">
        <v>60.36</v>
      </c>
    </row>
    <row r="2887" spans="1:3" x14ac:dyDescent="0.25">
      <c r="A2887" s="2">
        <v>42170</v>
      </c>
      <c r="B2887" t="s">
        <v>14</v>
      </c>
      <c r="C2887">
        <v>60.65</v>
      </c>
    </row>
    <row r="2888" spans="1:3" x14ac:dyDescent="0.25">
      <c r="A2888" s="2">
        <v>42167</v>
      </c>
      <c r="B2888" t="s">
        <v>14</v>
      </c>
      <c r="C2888">
        <v>62.85</v>
      </c>
    </row>
    <row r="2889" spans="1:3" x14ac:dyDescent="0.25">
      <c r="A2889" s="2">
        <v>42166</v>
      </c>
      <c r="B2889" t="s">
        <v>14</v>
      </c>
      <c r="C2889">
        <v>63.2</v>
      </c>
    </row>
    <row r="2890" spans="1:3" x14ac:dyDescent="0.25">
      <c r="A2890" s="2">
        <v>42165</v>
      </c>
      <c r="B2890" t="s">
        <v>14</v>
      </c>
      <c r="C2890">
        <v>64.069999999999993</v>
      </c>
    </row>
    <row r="2891" spans="1:3" x14ac:dyDescent="0.25">
      <c r="A2891" s="2">
        <v>42164</v>
      </c>
      <c r="B2891" t="s">
        <v>14</v>
      </c>
      <c r="C2891">
        <v>62.74</v>
      </c>
    </row>
    <row r="2892" spans="1:3" x14ac:dyDescent="0.25">
      <c r="A2892" s="2">
        <v>42163</v>
      </c>
      <c r="B2892" t="s">
        <v>14</v>
      </c>
      <c r="C2892">
        <v>60.9</v>
      </c>
    </row>
    <row r="2893" spans="1:3" x14ac:dyDescent="0.25">
      <c r="A2893" s="2">
        <v>42160</v>
      </c>
      <c r="B2893" t="s">
        <v>14</v>
      </c>
      <c r="C2893">
        <v>60.01</v>
      </c>
    </row>
    <row r="2894" spans="1:3" x14ac:dyDescent="0.25">
      <c r="A2894" s="2">
        <v>42159</v>
      </c>
      <c r="B2894" t="s">
        <v>14</v>
      </c>
      <c r="C2894">
        <v>59.85</v>
      </c>
    </row>
    <row r="2895" spans="1:3" x14ac:dyDescent="0.25">
      <c r="A2895" s="2">
        <v>42158</v>
      </c>
      <c r="B2895" t="s">
        <v>14</v>
      </c>
      <c r="C2895">
        <v>62.22</v>
      </c>
    </row>
    <row r="2896" spans="1:3" x14ac:dyDescent="0.25">
      <c r="A2896" s="2">
        <v>42157</v>
      </c>
      <c r="B2896" t="s">
        <v>14</v>
      </c>
      <c r="C2896">
        <v>62.64</v>
      </c>
    </row>
    <row r="2897" spans="1:3" x14ac:dyDescent="0.25">
      <c r="A2897" s="2">
        <v>42156</v>
      </c>
      <c r="B2897" t="s">
        <v>14</v>
      </c>
      <c r="C2897">
        <v>62.38</v>
      </c>
    </row>
    <row r="2898" spans="1:3" x14ac:dyDescent="0.25">
      <c r="A2898" s="2">
        <v>42153</v>
      </c>
      <c r="B2898" t="s">
        <v>14</v>
      </c>
      <c r="C2898">
        <v>62.66</v>
      </c>
    </row>
    <row r="2899" spans="1:3" x14ac:dyDescent="0.25">
      <c r="A2899" s="2">
        <v>42152</v>
      </c>
      <c r="B2899" t="s">
        <v>14</v>
      </c>
      <c r="C2899">
        <v>59.7</v>
      </c>
    </row>
    <row r="2900" spans="1:3" x14ac:dyDescent="0.25">
      <c r="A2900" s="2">
        <v>42151</v>
      </c>
      <c r="B2900" t="s">
        <v>14</v>
      </c>
      <c r="C2900">
        <v>60.93</v>
      </c>
    </row>
    <row r="2901" spans="1:3" x14ac:dyDescent="0.25">
      <c r="A2901" s="2">
        <v>42150</v>
      </c>
      <c r="B2901" t="s">
        <v>14</v>
      </c>
      <c r="C2901">
        <v>61.15</v>
      </c>
    </row>
    <row r="2902" spans="1:3" x14ac:dyDescent="0.25">
      <c r="A2902" s="2">
        <v>42146</v>
      </c>
      <c r="B2902" t="s">
        <v>14</v>
      </c>
      <c r="C2902">
        <v>62.91</v>
      </c>
    </row>
    <row r="2903" spans="1:3" x14ac:dyDescent="0.25">
      <c r="A2903" s="2">
        <v>42145</v>
      </c>
      <c r="B2903" t="s">
        <v>14</v>
      </c>
      <c r="C2903">
        <v>63.99</v>
      </c>
    </row>
    <row r="2904" spans="1:3" x14ac:dyDescent="0.25">
      <c r="A2904" s="2">
        <v>42144</v>
      </c>
      <c r="B2904" t="s">
        <v>14</v>
      </c>
      <c r="C2904">
        <v>63.23</v>
      </c>
    </row>
    <row r="2905" spans="1:3" x14ac:dyDescent="0.25">
      <c r="A2905" s="2">
        <v>42143</v>
      </c>
      <c r="B2905" t="s">
        <v>14</v>
      </c>
      <c r="C2905">
        <v>63.17</v>
      </c>
    </row>
    <row r="2906" spans="1:3" x14ac:dyDescent="0.25">
      <c r="A2906" s="2">
        <v>42142</v>
      </c>
      <c r="B2906" t="s">
        <v>14</v>
      </c>
      <c r="C2906">
        <v>64.680000000000007</v>
      </c>
    </row>
    <row r="2907" spans="1:3" x14ac:dyDescent="0.25">
      <c r="A2907" s="2">
        <v>42139</v>
      </c>
      <c r="B2907" t="s">
        <v>14</v>
      </c>
      <c r="C2907">
        <v>64.03</v>
      </c>
    </row>
    <row r="2908" spans="1:3" x14ac:dyDescent="0.25">
      <c r="A2908" s="2">
        <v>42138</v>
      </c>
      <c r="B2908" t="s">
        <v>14</v>
      </c>
      <c r="C2908">
        <v>64.91</v>
      </c>
    </row>
    <row r="2909" spans="1:3" x14ac:dyDescent="0.25">
      <c r="A2909" s="2">
        <v>42137</v>
      </c>
      <c r="B2909" t="s">
        <v>14</v>
      </c>
      <c r="C2909">
        <v>65.834999999999994</v>
      </c>
    </row>
    <row r="2910" spans="1:3" x14ac:dyDescent="0.25">
      <c r="A2910" s="2">
        <v>42136</v>
      </c>
      <c r="B2910" t="s">
        <v>14</v>
      </c>
      <c r="C2910">
        <v>64.44</v>
      </c>
    </row>
    <row r="2911" spans="1:3" x14ac:dyDescent="0.25">
      <c r="A2911" s="2">
        <v>42135</v>
      </c>
      <c r="B2911" t="s">
        <v>14</v>
      </c>
      <c r="C2911">
        <v>62.26</v>
      </c>
    </row>
    <row r="2912" spans="1:3" x14ac:dyDescent="0.25">
      <c r="A2912" s="2">
        <v>42132</v>
      </c>
      <c r="B2912" t="s">
        <v>14</v>
      </c>
      <c r="C2912">
        <v>63.37</v>
      </c>
    </row>
    <row r="2913" spans="1:3" x14ac:dyDescent="0.25">
      <c r="A2913" s="2">
        <v>42131</v>
      </c>
      <c r="B2913" t="s">
        <v>14</v>
      </c>
      <c r="C2913">
        <v>64.42</v>
      </c>
    </row>
    <row r="2914" spans="1:3" x14ac:dyDescent="0.25">
      <c r="A2914" s="2">
        <v>42130</v>
      </c>
      <c r="B2914" t="s">
        <v>14</v>
      </c>
      <c r="C2914">
        <v>65.64</v>
      </c>
    </row>
    <row r="2915" spans="1:3" x14ac:dyDescent="0.25">
      <c r="A2915" s="2">
        <v>42129</v>
      </c>
      <c r="B2915" t="s">
        <v>14</v>
      </c>
      <c r="C2915">
        <v>64.900000000000006</v>
      </c>
    </row>
    <row r="2916" spans="1:3" x14ac:dyDescent="0.25">
      <c r="A2916" s="2">
        <v>42125</v>
      </c>
      <c r="B2916" t="s">
        <v>14</v>
      </c>
      <c r="C2916">
        <v>63.66</v>
      </c>
    </row>
    <row r="2917" spans="1:3" x14ac:dyDescent="0.25">
      <c r="A2917" s="2">
        <v>42124</v>
      </c>
      <c r="B2917" t="s">
        <v>14</v>
      </c>
      <c r="C2917">
        <v>63.48</v>
      </c>
    </row>
    <row r="2918" spans="1:3" x14ac:dyDescent="0.25">
      <c r="A2918" s="2">
        <v>42123</v>
      </c>
      <c r="B2918" t="s">
        <v>14</v>
      </c>
      <c r="C2918">
        <v>63.54</v>
      </c>
    </row>
    <row r="2919" spans="1:3" x14ac:dyDescent="0.25">
      <c r="A2919" s="2">
        <v>42122</v>
      </c>
      <c r="B2919" t="s">
        <v>14</v>
      </c>
      <c r="C2919">
        <v>62.25</v>
      </c>
    </row>
    <row r="2920" spans="1:3" x14ac:dyDescent="0.25">
      <c r="A2920" s="2">
        <v>42121</v>
      </c>
      <c r="B2920" t="s">
        <v>14</v>
      </c>
      <c r="C2920">
        <v>62.33</v>
      </c>
    </row>
    <row r="2921" spans="1:3" x14ac:dyDescent="0.25">
      <c r="A2921" s="2">
        <v>42118</v>
      </c>
      <c r="B2921" t="s">
        <v>14</v>
      </c>
      <c r="C2921">
        <v>62.42</v>
      </c>
    </row>
    <row r="2922" spans="1:3" x14ac:dyDescent="0.25">
      <c r="A2922" s="2">
        <v>42117</v>
      </c>
      <c r="B2922" t="s">
        <v>14</v>
      </c>
      <c r="C2922">
        <v>62.14</v>
      </c>
    </row>
    <row r="2923" spans="1:3" x14ac:dyDescent="0.25">
      <c r="A2923" s="2">
        <v>42116</v>
      </c>
      <c r="B2923" t="s">
        <v>14</v>
      </c>
      <c r="C2923">
        <v>59.74</v>
      </c>
    </row>
    <row r="2924" spans="1:3" x14ac:dyDescent="0.25">
      <c r="A2924" s="2">
        <v>42115</v>
      </c>
      <c r="B2924" t="s">
        <v>14</v>
      </c>
      <c r="C2924">
        <v>59.69</v>
      </c>
    </row>
    <row r="2925" spans="1:3" x14ac:dyDescent="0.25">
      <c r="A2925" s="2">
        <v>42114</v>
      </c>
      <c r="B2925" t="s">
        <v>14</v>
      </c>
      <c r="C2925">
        <v>60.75</v>
      </c>
    </row>
    <row r="2926" spans="1:3" x14ac:dyDescent="0.25">
      <c r="A2926" s="2">
        <v>42111</v>
      </c>
      <c r="B2926" t="s">
        <v>14</v>
      </c>
      <c r="C2926">
        <v>60.8</v>
      </c>
    </row>
    <row r="2927" spans="1:3" x14ac:dyDescent="0.25">
      <c r="A2927" s="2">
        <v>42110</v>
      </c>
      <c r="B2927" t="s">
        <v>14</v>
      </c>
      <c r="C2927">
        <v>59.77</v>
      </c>
    </row>
    <row r="2928" spans="1:3" x14ac:dyDescent="0.25">
      <c r="A2928" s="2">
        <v>42109</v>
      </c>
      <c r="B2928" t="s">
        <v>14</v>
      </c>
      <c r="C2928">
        <v>59</v>
      </c>
    </row>
    <row r="2929" spans="1:3" x14ac:dyDescent="0.25">
      <c r="A2929" s="2">
        <v>42108</v>
      </c>
      <c r="B2929" t="s">
        <v>14</v>
      </c>
      <c r="C2929">
        <v>57.58</v>
      </c>
    </row>
    <row r="2930" spans="1:3" x14ac:dyDescent="0.25">
      <c r="A2930" s="2">
        <v>42107</v>
      </c>
      <c r="B2930" t="s">
        <v>14</v>
      </c>
      <c r="C2930">
        <v>57.12</v>
      </c>
    </row>
    <row r="2931" spans="1:3" x14ac:dyDescent="0.25">
      <c r="A2931" s="2">
        <v>42104</v>
      </c>
      <c r="B2931" t="s">
        <v>14</v>
      </c>
      <c r="C2931">
        <v>56.98</v>
      </c>
    </row>
    <row r="2932" spans="1:3" x14ac:dyDescent="0.25">
      <c r="A2932" s="2">
        <v>42103</v>
      </c>
      <c r="B2932" t="s">
        <v>14</v>
      </c>
      <c r="C2932">
        <v>56.24</v>
      </c>
    </row>
    <row r="2933" spans="1:3" x14ac:dyDescent="0.25">
      <c r="A2933" s="2">
        <v>42102</v>
      </c>
      <c r="B2933" t="s">
        <v>14</v>
      </c>
      <c r="C2933">
        <v>56.6</v>
      </c>
    </row>
    <row r="2934" spans="1:3" x14ac:dyDescent="0.25">
      <c r="A2934" s="2">
        <v>42101</v>
      </c>
      <c r="B2934" t="s">
        <v>14</v>
      </c>
      <c r="C2934">
        <v>57.67</v>
      </c>
    </row>
    <row r="2935" spans="1:3" x14ac:dyDescent="0.25">
      <c r="A2935" s="2">
        <v>42097</v>
      </c>
      <c r="B2935" t="s">
        <v>14</v>
      </c>
      <c r="C2935">
        <v>55.954999999999998</v>
      </c>
    </row>
    <row r="2936" spans="1:3" x14ac:dyDescent="0.25">
      <c r="A2936" s="2">
        <v>42096</v>
      </c>
      <c r="B2936" t="s">
        <v>14</v>
      </c>
      <c r="C2936">
        <v>54.24</v>
      </c>
    </row>
    <row r="2937" spans="1:3" x14ac:dyDescent="0.25">
      <c r="A2937" s="2">
        <v>42095</v>
      </c>
      <c r="B2937" t="s">
        <v>14</v>
      </c>
      <c r="C2937">
        <v>55.92</v>
      </c>
    </row>
    <row r="2938" spans="1:3" x14ac:dyDescent="0.25">
      <c r="A2938" s="2">
        <v>42094</v>
      </c>
      <c r="B2938" t="s">
        <v>14</v>
      </c>
      <c r="C2938">
        <v>53.97</v>
      </c>
    </row>
    <row r="2939" spans="1:3" x14ac:dyDescent="0.25">
      <c r="A2939" s="2">
        <v>42093</v>
      </c>
      <c r="B2939" t="s">
        <v>14</v>
      </c>
      <c r="C2939">
        <v>54.14</v>
      </c>
    </row>
    <row r="2940" spans="1:3" x14ac:dyDescent="0.25">
      <c r="A2940" s="2">
        <v>42090</v>
      </c>
      <c r="B2940" t="s">
        <v>14</v>
      </c>
      <c r="C2940">
        <v>56.46</v>
      </c>
    </row>
    <row r="2941" spans="1:3" x14ac:dyDescent="0.25">
      <c r="A2941" s="2">
        <v>42089</v>
      </c>
      <c r="B2941" t="s">
        <v>14</v>
      </c>
      <c r="C2941">
        <v>56.94</v>
      </c>
    </row>
    <row r="2942" spans="1:3" x14ac:dyDescent="0.25">
      <c r="A2942" s="2">
        <v>42088</v>
      </c>
      <c r="B2942" t="s">
        <v>14</v>
      </c>
      <c r="C2942">
        <v>54.24</v>
      </c>
    </row>
    <row r="2943" spans="1:3" x14ac:dyDescent="0.25">
      <c r="A2943" s="2">
        <v>42087</v>
      </c>
      <c r="B2943" t="s">
        <v>14</v>
      </c>
      <c r="C2943">
        <v>53.68</v>
      </c>
    </row>
    <row r="2944" spans="1:3" x14ac:dyDescent="0.25">
      <c r="A2944" s="2">
        <v>42086</v>
      </c>
      <c r="B2944" t="s">
        <v>14</v>
      </c>
      <c r="C2944">
        <v>53.9</v>
      </c>
    </row>
    <row r="2945" spans="1:3" x14ac:dyDescent="0.25">
      <c r="A2945" s="2">
        <v>42083</v>
      </c>
      <c r="B2945" t="s">
        <v>14</v>
      </c>
      <c r="C2945">
        <v>54.03</v>
      </c>
    </row>
    <row r="2946" spans="1:3" x14ac:dyDescent="0.25">
      <c r="A2946" s="2">
        <v>42082</v>
      </c>
      <c r="B2946" t="s">
        <v>14</v>
      </c>
      <c r="C2946">
        <v>53.16</v>
      </c>
    </row>
    <row r="2947" spans="1:3" x14ac:dyDescent="0.25">
      <c r="A2947" s="2">
        <v>42081</v>
      </c>
      <c r="B2947" t="s">
        <v>14</v>
      </c>
      <c r="C2947">
        <v>52.8</v>
      </c>
    </row>
    <row r="2948" spans="1:3" x14ac:dyDescent="0.25">
      <c r="A2948" s="2">
        <v>42080</v>
      </c>
      <c r="B2948" t="s">
        <v>14</v>
      </c>
      <c r="C2948">
        <v>52.4</v>
      </c>
    </row>
    <row r="2949" spans="1:3" x14ac:dyDescent="0.25">
      <c r="A2949" s="2">
        <v>42079</v>
      </c>
      <c r="B2949" t="s">
        <v>14</v>
      </c>
      <c r="C2949">
        <v>52.48</v>
      </c>
    </row>
    <row r="2950" spans="1:3" x14ac:dyDescent="0.25">
      <c r="A2950" s="2">
        <v>42076</v>
      </c>
      <c r="B2950" t="s">
        <v>14</v>
      </c>
      <c r="C2950">
        <v>55.17</v>
      </c>
    </row>
    <row r="2951" spans="1:3" x14ac:dyDescent="0.25">
      <c r="A2951" s="2">
        <v>42075</v>
      </c>
      <c r="B2951" t="s">
        <v>14</v>
      </c>
      <c r="C2951">
        <v>57</v>
      </c>
    </row>
    <row r="2952" spans="1:3" x14ac:dyDescent="0.25">
      <c r="A2952" s="2">
        <v>42074</v>
      </c>
      <c r="B2952" t="s">
        <v>14</v>
      </c>
      <c r="C2952">
        <v>56.74</v>
      </c>
    </row>
    <row r="2953" spans="1:3" x14ac:dyDescent="0.25">
      <c r="A2953" s="2">
        <v>42073</v>
      </c>
      <c r="B2953" t="s">
        <v>14</v>
      </c>
      <c r="C2953">
        <v>56.26</v>
      </c>
    </row>
    <row r="2954" spans="1:3" x14ac:dyDescent="0.25">
      <c r="A2954" s="2">
        <v>42072</v>
      </c>
      <c r="B2954" t="s">
        <v>14</v>
      </c>
      <c r="C2954">
        <v>58.79</v>
      </c>
    </row>
    <row r="2955" spans="1:3" x14ac:dyDescent="0.25">
      <c r="A2955" s="2">
        <v>42069</v>
      </c>
      <c r="B2955" t="s">
        <v>14</v>
      </c>
      <c r="C2955">
        <v>59.24</v>
      </c>
    </row>
    <row r="2956" spans="1:3" x14ac:dyDescent="0.25">
      <c r="A2956" s="2">
        <v>42068</v>
      </c>
      <c r="B2956" t="s">
        <v>14</v>
      </c>
      <c r="C2956">
        <v>60.49</v>
      </c>
    </row>
    <row r="2957" spans="1:3" x14ac:dyDescent="0.25">
      <c r="A2957" s="2">
        <v>42067</v>
      </c>
      <c r="B2957" t="s">
        <v>14</v>
      </c>
      <c r="C2957">
        <v>59.44</v>
      </c>
    </row>
    <row r="2958" spans="1:3" x14ac:dyDescent="0.25">
      <c r="A2958" s="2">
        <v>42066</v>
      </c>
      <c r="B2958" t="s">
        <v>14</v>
      </c>
      <c r="C2958">
        <v>61.45</v>
      </c>
    </row>
    <row r="2959" spans="1:3" x14ac:dyDescent="0.25">
      <c r="A2959" s="2">
        <v>42065</v>
      </c>
      <c r="B2959" t="s">
        <v>14</v>
      </c>
      <c r="C2959">
        <v>61.04</v>
      </c>
    </row>
    <row r="2960" spans="1:3" x14ac:dyDescent="0.25">
      <c r="A2960" s="2">
        <v>42062</v>
      </c>
      <c r="B2960" t="s">
        <v>14</v>
      </c>
      <c r="C2960">
        <v>62.16</v>
      </c>
    </row>
    <row r="2961" spans="1:3" x14ac:dyDescent="0.25">
      <c r="A2961" s="2">
        <v>42061</v>
      </c>
      <c r="B2961" t="s">
        <v>14</v>
      </c>
      <c r="C2961">
        <v>61.65</v>
      </c>
    </row>
    <row r="2962" spans="1:3" x14ac:dyDescent="0.25">
      <c r="A2962" s="2">
        <v>42060</v>
      </c>
      <c r="B2962" t="s">
        <v>14</v>
      </c>
      <c r="C2962">
        <v>60.11</v>
      </c>
    </row>
    <row r="2963" spans="1:3" x14ac:dyDescent="0.25">
      <c r="A2963" s="2">
        <v>42059</v>
      </c>
      <c r="B2963" t="s">
        <v>14</v>
      </c>
      <c r="C2963">
        <v>60.73</v>
      </c>
    </row>
    <row r="2964" spans="1:3" x14ac:dyDescent="0.25">
      <c r="A2964" s="2">
        <v>42058</v>
      </c>
      <c r="B2964" t="s">
        <v>14</v>
      </c>
      <c r="C2964">
        <v>60.14</v>
      </c>
    </row>
    <row r="2965" spans="1:3" x14ac:dyDescent="0.25">
      <c r="A2965" s="2">
        <v>42055</v>
      </c>
      <c r="B2965" t="s">
        <v>14</v>
      </c>
      <c r="C2965">
        <v>61.22</v>
      </c>
    </row>
    <row r="2966" spans="1:3" x14ac:dyDescent="0.25">
      <c r="A2966" s="2">
        <v>42054</v>
      </c>
      <c r="B2966" t="s">
        <v>14</v>
      </c>
      <c r="C2966">
        <v>58.96</v>
      </c>
    </row>
    <row r="2967" spans="1:3" x14ac:dyDescent="0.25">
      <c r="A2967" s="2">
        <v>42053</v>
      </c>
      <c r="B2967" t="s">
        <v>14</v>
      </c>
      <c r="C2967">
        <v>60.81</v>
      </c>
    </row>
    <row r="2968" spans="1:3" x14ac:dyDescent="0.25">
      <c r="A2968" s="2">
        <v>42052</v>
      </c>
      <c r="B2968" t="s">
        <v>14</v>
      </c>
      <c r="C2968">
        <v>60.9</v>
      </c>
    </row>
    <row r="2969" spans="1:3" x14ac:dyDescent="0.25">
      <c r="A2969" s="2">
        <v>42051</v>
      </c>
      <c r="B2969" t="s">
        <v>14</v>
      </c>
      <c r="C2969">
        <v>61.67</v>
      </c>
    </row>
    <row r="2970" spans="1:3" x14ac:dyDescent="0.25">
      <c r="A2970" s="2">
        <v>42048</v>
      </c>
      <c r="B2970" t="s">
        <v>14</v>
      </c>
      <c r="C2970">
        <v>60.46</v>
      </c>
    </row>
    <row r="2971" spans="1:3" x14ac:dyDescent="0.25">
      <c r="A2971" s="2">
        <v>42047</v>
      </c>
      <c r="B2971" t="s">
        <v>14</v>
      </c>
      <c r="C2971">
        <v>56.47</v>
      </c>
    </row>
    <row r="2972" spans="1:3" x14ac:dyDescent="0.25">
      <c r="A2972" s="2">
        <v>42046</v>
      </c>
      <c r="B2972" t="s">
        <v>14</v>
      </c>
      <c r="C2972">
        <v>53.74</v>
      </c>
    </row>
    <row r="2973" spans="1:3" x14ac:dyDescent="0.25">
      <c r="A2973" s="2">
        <v>42045</v>
      </c>
      <c r="B2973" t="s">
        <v>14</v>
      </c>
      <c r="C2973">
        <v>56.02</v>
      </c>
    </row>
    <row r="2974" spans="1:3" x14ac:dyDescent="0.25">
      <c r="A2974" s="2">
        <v>42044</v>
      </c>
      <c r="B2974" t="s">
        <v>14</v>
      </c>
      <c r="C2974">
        <v>57.13</v>
      </c>
    </row>
    <row r="2975" spans="1:3" x14ac:dyDescent="0.25">
      <c r="A2975" s="2">
        <v>42041</v>
      </c>
      <c r="B2975" t="s">
        <v>14</v>
      </c>
      <c r="C2975">
        <v>56.19</v>
      </c>
    </row>
    <row r="2976" spans="1:3" x14ac:dyDescent="0.25">
      <c r="A2976" s="2">
        <v>42040</v>
      </c>
      <c r="B2976" t="s">
        <v>14</v>
      </c>
      <c r="C2976">
        <v>56.15</v>
      </c>
    </row>
    <row r="2977" spans="1:3" x14ac:dyDescent="0.25">
      <c r="A2977" s="2">
        <v>42039</v>
      </c>
      <c r="B2977" t="s">
        <v>14</v>
      </c>
      <c r="C2977">
        <v>55.22</v>
      </c>
    </row>
    <row r="2978" spans="1:3" x14ac:dyDescent="0.25">
      <c r="A2978" s="2">
        <v>42038</v>
      </c>
      <c r="B2978" t="s">
        <v>14</v>
      </c>
      <c r="C2978">
        <v>54.6</v>
      </c>
    </row>
    <row r="2979" spans="1:3" x14ac:dyDescent="0.25">
      <c r="A2979" s="2">
        <v>42037</v>
      </c>
      <c r="B2979" t="s">
        <v>14</v>
      </c>
      <c r="C2979">
        <v>52.03</v>
      </c>
    </row>
    <row r="2980" spans="1:3" x14ac:dyDescent="0.25">
      <c r="A2980" s="2">
        <v>42034</v>
      </c>
      <c r="B2980" t="s">
        <v>14</v>
      </c>
      <c r="C2980">
        <v>48.03</v>
      </c>
    </row>
    <row r="2981" spans="1:3" x14ac:dyDescent="0.25">
      <c r="A2981" s="2">
        <v>42033</v>
      </c>
      <c r="B2981" t="s">
        <v>14</v>
      </c>
      <c r="C2981">
        <v>47.16</v>
      </c>
    </row>
    <row r="2982" spans="1:3" x14ac:dyDescent="0.25">
      <c r="A2982" s="2">
        <v>42032</v>
      </c>
      <c r="B2982" t="s">
        <v>14</v>
      </c>
      <c r="C2982">
        <v>47.52</v>
      </c>
    </row>
    <row r="2983" spans="1:3" x14ac:dyDescent="0.25">
      <c r="A2983" s="2">
        <v>42031</v>
      </c>
      <c r="B2983" t="s">
        <v>14</v>
      </c>
      <c r="C2983">
        <v>47.02</v>
      </c>
    </row>
    <row r="2984" spans="1:3" x14ac:dyDescent="0.25">
      <c r="A2984" s="2">
        <v>42030</v>
      </c>
      <c r="B2984" t="s">
        <v>14</v>
      </c>
      <c r="C2984">
        <v>46.57</v>
      </c>
    </row>
    <row r="2985" spans="1:3" x14ac:dyDescent="0.25">
      <c r="A2985" s="2">
        <v>42027</v>
      </c>
      <c r="B2985" t="s">
        <v>14</v>
      </c>
      <c r="C2985">
        <v>47.27</v>
      </c>
    </row>
    <row r="2986" spans="1:3" x14ac:dyDescent="0.25">
      <c r="A2986" s="2">
        <v>42026</v>
      </c>
      <c r="B2986" t="s">
        <v>14</v>
      </c>
      <c r="C2986">
        <v>46.74</v>
      </c>
    </row>
    <row r="2987" spans="1:3" x14ac:dyDescent="0.25">
      <c r="A2987" s="2">
        <v>42025</v>
      </c>
      <c r="B2987" t="s">
        <v>14</v>
      </c>
      <c r="C2987">
        <v>47.13</v>
      </c>
    </row>
    <row r="2988" spans="1:3" x14ac:dyDescent="0.25">
      <c r="A2988" s="2">
        <v>42024</v>
      </c>
      <c r="B2988" t="s">
        <v>14</v>
      </c>
      <c r="C2988">
        <v>47.12</v>
      </c>
    </row>
    <row r="2989" spans="1:3" x14ac:dyDescent="0.25">
      <c r="A2989" s="2">
        <v>42023</v>
      </c>
      <c r="B2989" t="s">
        <v>14</v>
      </c>
      <c r="C2989">
        <v>47.36</v>
      </c>
    </row>
    <row r="2990" spans="1:3" x14ac:dyDescent="0.25">
      <c r="A2990" s="2">
        <v>42020</v>
      </c>
      <c r="B2990" t="s">
        <v>14</v>
      </c>
      <c r="C2990">
        <v>48.05</v>
      </c>
    </row>
    <row r="2991" spans="1:3" x14ac:dyDescent="0.25">
      <c r="A2991" s="2">
        <v>42019</v>
      </c>
      <c r="B2991" t="s">
        <v>14</v>
      </c>
      <c r="C2991">
        <v>48.3</v>
      </c>
    </row>
    <row r="2992" spans="1:3" x14ac:dyDescent="0.25">
      <c r="A2992" s="2">
        <v>42018</v>
      </c>
      <c r="B2992" t="s">
        <v>14</v>
      </c>
      <c r="C2992">
        <v>46.66</v>
      </c>
    </row>
    <row r="2993" spans="1:3" x14ac:dyDescent="0.25">
      <c r="A2993" s="2">
        <v>42017</v>
      </c>
      <c r="B2993" t="s">
        <v>14</v>
      </c>
      <c r="C2993">
        <v>45.88</v>
      </c>
    </row>
    <row r="2994" spans="1:3" x14ac:dyDescent="0.25">
      <c r="A2994" s="2">
        <v>42016</v>
      </c>
      <c r="B2994" t="s">
        <v>14</v>
      </c>
      <c r="C2994">
        <v>47.49</v>
      </c>
    </row>
    <row r="2995" spans="1:3" x14ac:dyDescent="0.25">
      <c r="A2995" s="2">
        <v>42013</v>
      </c>
      <c r="B2995" t="s">
        <v>14</v>
      </c>
      <c r="C2995">
        <v>48.19</v>
      </c>
    </row>
    <row r="2996" spans="1:3" x14ac:dyDescent="0.25">
      <c r="A2996" s="2">
        <v>42012</v>
      </c>
      <c r="B2996" t="s">
        <v>14</v>
      </c>
      <c r="C2996">
        <v>49.89</v>
      </c>
    </row>
    <row r="2997" spans="1:3" x14ac:dyDescent="0.25">
      <c r="A2997" s="2">
        <v>42011</v>
      </c>
      <c r="B2997" t="s">
        <v>14</v>
      </c>
      <c r="C2997">
        <v>49.54</v>
      </c>
    </row>
    <row r="2998" spans="1:3" x14ac:dyDescent="0.25">
      <c r="A2998" s="2">
        <v>42010</v>
      </c>
      <c r="B2998" t="s">
        <v>14</v>
      </c>
      <c r="C2998">
        <v>50.6</v>
      </c>
    </row>
    <row r="2999" spans="1:3" x14ac:dyDescent="0.25">
      <c r="A2999" s="2">
        <v>42009</v>
      </c>
      <c r="B2999" t="s">
        <v>14</v>
      </c>
      <c r="C2999">
        <v>51.49</v>
      </c>
    </row>
    <row r="3000" spans="1:3" x14ac:dyDescent="0.25">
      <c r="A3000" s="2">
        <v>42006</v>
      </c>
      <c r="B3000" t="s">
        <v>14</v>
      </c>
      <c r="C3000">
        <v>55.59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23979B-94BF-472F-B920-E9DB9CFDB631}">
  <dimension ref="A1:C148"/>
  <sheetViews>
    <sheetView workbookViewId="0">
      <selection activeCell="F8" sqref="F8"/>
    </sheetView>
  </sheetViews>
  <sheetFormatPr defaultRowHeight="15" x14ac:dyDescent="0.25"/>
  <cols>
    <col min="1" max="1" width="10.42578125" bestFit="1" customWidth="1"/>
    <col min="2" max="2" width="16" bestFit="1" customWidth="1"/>
  </cols>
  <sheetData>
    <row r="1" spans="1:3" x14ac:dyDescent="0.25">
      <c r="A1" t="s">
        <v>0</v>
      </c>
      <c r="B1" t="s">
        <v>196</v>
      </c>
    </row>
    <row r="2" spans="1:3" x14ac:dyDescent="0.25">
      <c r="A2" t="s">
        <v>2</v>
      </c>
      <c r="B2" s="1">
        <v>42005</v>
      </c>
    </row>
    <row r="3" spans="1:3" x14ac:dyDescent="0.25">
      <c r="A3" t="s">
        <v>3</v>
      </c>
      <c r="B3" s="1">
        <v>46295</v>
      </c>
    </row>
    <row r="4" spans="1:3" x14ac:dyDescent="0.25">
      <c r="A4" t="s">
        <v>4</v>
      </c>
      <c r="B4" t="s">
        <v>5</v>
      </c>
    </row>
    <row r="5" spans="1:3" x14ac:dyDescent="0.25">
      <c r="A5" t="s">
        <v>12</v>
      </c>
      <c r="B5" t="s">
        <v>13</v>
      </c>
    </row>
    <row r="7" spans="1:3" x14ac:dyDescent="0.25">
      <c r="A7" t="s">
        <v>8</v>
      </c>
      <c r="B7" t="s">
        <v>10</v>
      </c>
      <c r="C7" t="s">
        <v>9</v>
      </c>
    </row>
    <row r="8" spans="1:3" x14ac:dyDescent="0.25">
      <c r="A8" s="2">
        <f>_xll.BDH(B1,B7:C7,B2,B3,"Dir=V","Dts=S","Sort=D","Quote=C","QtTyp=P","Days=T",CONCATENATE("Per=c",B4),"DtFmt=D","UseDPDF=Y",CONCATENATE("FX=",B5),"cols=3;rows=141")</f>
        <v>46295</v>
      </c>
      <c r="B8" t="s">
        <v>14</v>
      </c>
      <c r="C8">
        <v>120.17</v>
      </c>
    </row>
    <row r="9" spans="1:3" x14ac:dyDescent="0.25">
      <c r="A9" s="2">
        <v>46265</v>
      </c>
      <c r="B9" t="s">
        <v>14</v>
      </c>
      <c r="C9">
        <v>89.71</v>
      </c>
    </row>
    <row r="10" spans="1:3" x14ac:dyDescent="0.25">
      <c r="A10" s="2">
        <v>46234</v>
      </c>
      <c r="B10" t="s">
        <v>14</v>
      </c>
      <c r="C10">
        <v>96.22</v>
      </c>
    </row>
    <row r="11" spans="1:3" x14ac:dyDescent="0.25">
      <c r="A11" s="2">
        <v>46203</v>
      </c>
      <c r="B11" t="s">
        <v>14</v>
      </c>
      <c r="C11">
        <v>71.52</v>
      </c>
    </row>
    <row r="12" spans="1:3" x14ac:dyDescent="0.25">
      <c r="A12" s="2">
        <v>46173</v>
      </c>
      <c r="B12" t="s">
        <v>14</v>
      </c>
      <c r="C12">
        <v>93.364999999999995</v>
      </c>
    </row>
    <row r="13" spans="1:3" x14ac:dyDescent="0.25">
      <c r="A13" s="2">
        <v>46142</v>
      </c>
      <c r="B13" t="s">
        <v>14</v>
      </c>
      <c r="C13">
        <v>122.58499999999999</v>
      </c>
    </row>
    <row r="14" spans="1:3" x14ac:dyDescent="0.25">
      <c r="A14" s="2">
        <v>46112</v>
      </c>
      <c r="B14" t="s">
        <v>14</v>
      </c>
      <c r="C14">
        <v>126.965</v>
      </c>
    </row>
    <row r="15" spans="1:3" x14ac:dyDescent="0.25">
      <c r="A15" s="2">
        <v>46081</v>
      </c>
      <c r="B15" t="s">
        <v>14</v>
      </c>
      <c r="C15">
        <v>70.83</v>
      </c>
    </row>
    <row r="16" spans="1:3" x14ac:dyDescent="0.25">
      <c r="A16" s="2">
        <v>46053</v>
      </c>
      <c r="B16" t="s">
        <v>14</v>
      </c>
      <c r="C16">
        <v>72.72</v>
      </c>
    </row>
    <row r="17" spans="1:3" x14ac:dyDescent="0.25">
      <c r="A17" s="2">
        <v>46022</v>
      </c>
      <c r="B17" t="s">
        <v>14</v>
      </c>
      <c r="C17">
        <v>62.445</v>
      </c>
    </row>
    <row r="18" spans="1:3" x14ac:dyDescent="0.25">
      <c r="A18" s="2">
        <v>45991</v>
      </c>
      <c r="B18" t="s">
        <v>14</v>
      </c>
      <c r="C18">
        <v>64.349999999999994</v>
      </c>
    </row>
    <row r="19" spans="1:3" x14ac:dyDescent="0.25">
      <c r="A19" s="2">
        <v>45961</v>
      </c>
      <c r="B19" t="s">
        <v>14</v>
      </c>
      <c r="C19">
        <v>65.204999999999998</v>
      </c>
    </row>
    <row r="20" spans="1:3" x14ac:dyDescent="0.25">
      <c r="A20" s="2">
        <v>45930</v>
      </c>
      <c r="B20" t="s">
        <v>14</v>
      </c>
      <c r="C20">
        <v>67.894999999999996</v>
      </c>
    </row>
    <row r="21" spans="1:3" x14ac:dyDescent="0.25">
      <c r="A21" s="2">
        <v>45900</v>
      </c>
      <c r="B21" t="s">
        <v>14</v>
      </c>
      <c r="C21">
        <v>67.58</v>
      </c>
    </row>
    <row r="22" spans="1:3" x14ac:dyDescent="0.25">
      <c r="A22" s="2">
        <v>45869</v>
      </c>
      <c r="B22" t="s">
        <v>14</v>
      </c>
      <c r="C22">
        <v>72.709999999999994</v>
      </c>
    </row>
    <row r="23" spans="1:3" x14ac:dyDescent="0.25">
      <c r="A23" s="2">
        <v>45838</v>
      </c>
      <c r="B23" t="s">
        <v>14</v>
      </c>
      <c r="C23">
        <v>67.959999999999994</v>
      </c>
    </row>
    <row r="24" spans="1:3" x14ac:dyDescent="0.25">
      <c r="A24" s="2">
        <v>45808</v>
      </c>
      <c r="B24" t="s">
        <v>14</v>
      </c>
      <c r="C24">
        <v>63.91</v>
      </c>
    </row>
    <row r="25" spans="1:3" x14ac:dyDescent="0.25">
      <c r="A25" s="2">
        <v>45777</v>
      </c>
      <c r="B25" t="s">
        <v>14</v>
      </c>
      <c r="C25">
        <v>63.2</v>
      </c>
    </row>
    <row r="26" spans="1:3" x14ac:dyDescent="0.25">
      <c r="A26" s="2">
        <v>45747</v>
      </c>
      <c r="B26" t="s">
        <v>14</v>
      </c>
      <c r="C26">
        <v>77.165000000000006</v>
      </c>
    </row>
    <row r="27" spans="1:3" x14ac:dyDescent="0.25">
      <c r="A27" s="2">
        <v>45716</v>
      </c>
      <c r="B27" t="s">
        <v>14</v>
      </c>
      <c r="C27">
        <v>73.424999999999997</v>
      </c>
    </row>
    <row r="28" spans="1:3" x14ac:dyDescent="0.25">
      <c r="A28" s="2">
        <v>45688</v>
      </c>
      <c r="B28" t="s">
        <v>14</v>
      </c>
      <c r="C28">
        <v>76.98</v>
      </c>
    </row>
    <row r="29" spans="1:3" x14ac:dyDescent="0.25">
      <c r="A29" s="2">
        <v>45657</v>
      </c>
      <c r="B29" t="s">
        <v>14</v>
      </c>
      <c r="C29">
        <v>74.105000000000004</v>
      </c>
    </row>
    <row r="30" spans="1:3" x14ac:dyDescent="0.25">
      <c r="A30" s="2">
        <v>45626</v>
      </c>
      <c r="B30" t="s">
        <v>14</v>
      </c>
      <c r="C30">
        <v>74.265000000000001</v>
      </c>
    </row>
    <row r="31" spans="1:3" x14ac:dyDescent="0.25">
      <c r="A31" s="2">
        <v>45596</v>
      </c>
      <c r="B31" t="s">
        <v>14</v>
      </c>
      <c r="C31">
        <v>73.28</v>
      </c>
    </row>
    <row r="32" spans="1:3" x14ac:dyDescent="0.25">
      <c r="A32" s="2">
        <v>45565</v>
      </c>
      <c r="B32" t="s">
        <v>14</v>
      </c>
      <c r="C32">
        <v>72.894999999999996</v>
      </c>
    </row>
    <row r="33" spans="1:3" x14ac:dyDescent="0.25">
      <c r="A33" s="2">
        <v>45535</v>
      </c>
      <c r="B33" t="s">
        <v>14</v>
      </c>
      <c r="C33">
        <v>79.95</v>
      </c>
    </row>
    <row r="34" spans="1:3" x14ac:dyDescent="0.25">
      <c r="A34" s="2">
        <v>45504</v>
      </c>
      <c r="B34" t="s">
        <v>14</v>
      </c>
      <c r="C34">
        <v>81.484999999999999</v>
      </c>
    </row>
    <row r="35" spans="1:3" x14ac:dyDescent="0.25">
      <c r="A35" s="2">
        <v>45473</v>
      </c>
      <c r="B35" t="s">
        <v>14</v>
      </c>
      <c r="C35">
        <v>86.69</v>
      </c>
    </row>
    <row r="36" spans="1:3" x14ac:dyDescent="0.25">
      <c r="A36" s="2">
        <v>45443</v>
      </c>
      <c r="B36" t="s">
        <v>14</v>
      </c>
      <c r="C36">
        <v>80.13</v>
      </c>
    </row>
    <row r="37" spans="1:3" x14ac:dyDescent="0.25">
      <c r="A37" s="2">
        <v>45412</v>
      </c>
      <c r="B37" t="s">
        <v>14</v>
      </c>
      <c r="C37">
        <v>87.86</v>
      </c>
    </row>
    <row r="38" spans="1:3" x14ac:dyDescent="0.25">
      <c r="A38" s="2">
        <v>45382</v>
      </c>
      <c r="B38" t="s">
        <v>14</v>
      </c>
      <c r="C38">
        <v>86.96</v>
      </c>
    </row>
    <row r="39" spans="1:3" x14ac:dyDescent="0.25">
      <c r="A39" s="2">
        <v>45351</v>
      </c>
      <c r="B39" t="s">
        <v>14</v>
      </c>
      <c r="C39">
        <v>84.55</v>
      </c>
    </row>
    <row r="40" spans="1:3" x14ac:dyDescent="0.25">
      <c r="A40" s="2">
        <v>45322</v>
      </c>
      <c r="B40" t="s">
        <v>14</v>
      </c>
      <c r="C40">
        <v>82.74</v>
      </c>
    </row>
    <row r="41" spans="1:3" x14ac:dyDescent="0.25">
      <c r="A41" s="2">
        <v>45291</v>
      </c>
      <c r="B41" t="s">
        <v>14</v>
      </c>
      <c r="C41">
        <v>77.599999999999994</v>
      </c>
    </row>
    <row r="42" spans="1:3" x14ac:dyDescent="0.25">
      <c r="A42" s="2">
        <v>45260</v>
      </c>
      <c r="B42" t="s">
        <v>14</v>
      </c>
      <c r="C42">
        <v>80.599999999999994</v>
      </c>
    </row>
    <row r="43" spans="1:3" x14ac:dyDescent="0.25">
      <c r="A43" s="2">
        <v>45230</v>
      </c>
      <c r="B43" t="s">
        <v>14</v>
      </c>
      <c r="C43">
        <v>88.51</v>
      </c>
    </row>
    <row r="44" spans="1:3" x14ac:dyDescent="0.25">
      <c r="A44" s="2">
        <v>45199</v>
      </c>
      <c r="B44" t="s">
        <v>14</v>
      </c>
      <c r="C44">
        <v>96.3</v>
      </c>
    </row>
    <row r="45" spans="1:3" x14ac:dyDescent="0.25">
      <c r="A45" s="2">
        <v>45169</v>
      </c>
      <c r="B45" t="s">
        <v>14</v>
      </c>
      <c r="C45">
        <v>87.41</v>
      </c>
    </row>
    <row r="46" spans="1:3" x14ac:dyDescent="0.25">
      <c r="A46" s="2">
        <v>45138</v>
      </c>
      <c r="B46" t="s">
        <v>14</v>
      </c>
      <c r="C46">
        <v>85.64</v>
      </c>
    </row>
    <row r="47" spans="1:3" x14ac:dyDescent="0.25">
      <c r="A47" s="2">
        <v>45107</v>
      </c>
      <c r="B47" t="s">
        <v>14</v>
      </c>
      <c r="C47">
        <v>74.97</v>
      </c>
    </row>
    <row r="48" spans="1:3" x14ac:dyDescent="0.25">
      <c r="A48" s="2">
        <v>45077</v>
      </c>
      <c r="B48" t="s">
        <v>14</v>
      </c>
      <c r="C48">
        <v>72.844999999999999</v>
      </c>
    </row>
    <row r="49" spans="1:3" x14ac:dyDescent="0.25">
      <c r="A49" s="2">
        <v>45046</v>
      </c>
      <c r="B49" t="s">
        <v>14</v>
      </c>
      <c r="C49">
        <v>82.144999999999996</v>
      </c>
    </row>
    <row r="50" spans="1:3" x14ac:dyDescent="0.25">
      <c r="A50" s="2">
        <v>45016</v>
      </c>
      <c r="B50" t="s">
        <v>14</v>
      </c>
      <c r="C50">
        <v>79.045000000000002</v>
      </c>
    </row>
    <row r="51" spans="1:3" x14ac:dyDescent="0.25">
      <c r="A51" s="2">
        <v>44985</v>
      </c>
      <c r="B51" t="s">
        <v>14</v>
      </c>
      <c r="C51">
        <v>83.15</v>
      </c>
    </row>
    <row r="52" spans="1:3" x14ac:dyDescent="0.25">
      <c r="A52" s="2">
        <v>44957</v>
      </c>
      <c r="B52" t="s">
        <v>14</v>
      </c>
      <c r="C52">
        <v>84.435000000000002</v>
      </c>
    </row>
    <row r="53" spans="1:3" x14ac:dyDescent="0.25">
      <c r="A53" s="2">
        <v>44926</v>
      </c>
      <c r="B53" t="s">
        <v>14</v>
      </c>
      <c r="C53">
        <v>81.344999999999999</v>
      </c>
    </row>
    <row r="54" spans="1:3" x14ac:dyDescent="0.25">
      <c r="A54" s="2">
        <v>44895</v>
      </c>
      <c r="B54" t="s">
        <v>14</v>
      </c>
      <c r="C54">
        <v>86.594999999999999</v>
      </c>
    </row>
    <row r="55" spans="1:3" x14ac:dyDescent="0.25">
      <c r="A55" s="2">
        <v>44865</v>
      </c>
      <c r="B55" t="s">
        <v>14</v>
      </c>
      <c r="C55">
        <v>92.77</v>
      </c>
    </row>
    <row r="56" spans="1:3" x14ac:dyDescent="0.25">
      <c r="A56" s="2">
        <v>44834</v>
      </c>
      <c r="B56" t="s">
        <v>14</v>
      </c>
      <c r="C56">
        <v>87.625</v>
      </c>
    </row>
    <row r="57" spans="1:3" x14ac:dyDescent="0.25">
      <c r="A57" s="2">
        <v>44804</v>
      </c>
      <c r="B57" t="s">
        <v>14</v>
      </c>
      <c r="C57">
        <v>96.68</v>
      </c>
    </row>
    <row r="58" spans="1:3" x14ac:dyDescent="0.25">
      <c r="A58" s="2">
        <v>44773</v>
      </c>
      <c r="B58" t="s">
        <v>14</v>
      </c>
      <c r="C58">
        <v>114.13</v>
      </c>
    </row>
    <row r="59" spans="1:3" x14ac:dyDescent="0.25">
      <c r="A59" s="2">
        <v>44742</v>
      </c>
      <c r="B59" t="s">
        <v>14</v>
      </c>
      <c r="C59">
        <v>120.47499999999999</v>
      </c>
    </row>
    <row r="60" spans="1:3" x14ac:dyDescent="0.25">
      <c r="A60" s="2">
        <v>44712</v>
      </c>
      <c r="B60" t="s">
        <v>14</v>
      </c>
      <c r="C60">
        <v>124.17</v>
      </c>
    </row>
    <row r="61" spans="1:3" x14ac:dyDescent="0.25">
      <c r="A61" s="2">
        <v>44681</v>
      </c>
      <c r="B61" t="s">
        <v>14</v>
      </c>
      <c r="C61">
        <v>108.15</v>
      </c>
    </row>
    <row r="62" spans="1:3" x14ac:dyDescent="0.25">
      <c r="A62" s="2">
        <v>44651</v>
      </c>
      <c r="B62" t="s">
        <v>14</v>
      </c>
      <c r="C62">
        <v>110.29</v>
      </c>
    </row>
    <row r="63" spans="1:3" x14ac:dyDescent="0.25">
      <c r="A63" s="2">
        <v>44620</v>
      </c>
      <c r="B63" t="s">
        <v>14</v>
      </c>
      <c r="C63">
        <v>103.33499999999999</v>
      </c>
    </row>
    <row r="64" spans="1:3" x14ac:dyDescent="0.25">
      <c r="A64" s="2">
        <v>44592</v>
      </c>
      <c r="B64" t="s">
        <v>14</v>
      </c>
      <c r="C64">
        <v>92.484999999999999</v>
      </c>
    </row>
    <row r="65" spans="1:3" x14ac:dyDescent="0.25">
      <c r="A65" s="2">
        <v>44561</v>
      </c>
      <c r="B65" t="s">
        <v>14</v>
      </c>
      <c r="C65">
        <v>77.069999999999993</v>
      </c>
    </row>
    <row r="66" spans="1:3" x14ac:dyDescent="0.25">
      <c r="A66" s="2">
        <v>44530</v>
      </c>
      <c r="B66" t="s">
        <v>14</v>
      </c>
      <c r="C66">
        <v>70.924999999999997</v>
      </c>
    </row>
    <row r="67" spans="1:3" x14ac:dyDescent="0.25">
      <c r="A67" s="2">
        <v>44500</v>
      </c>
      <c r="B67" t="s">
        <v>14</v>
      </c>
      <c r="C67">
        <v>82.43</v>
      </c>
    </row>
    <row r="68" spans="1:3" x14ac:dyDescent="0.25">
      <c r="A68" s="2">
        <v>44469</v>
      </c>
      <c r="B68" t="s">
        <v>14</v>
      </c>
      <c r="C68">
        <v>76.694999999999993</v>
      </c>
    </row>
    <row r="69" spans="1:3" x14ac:dyDescent="0.25">
      <c r="A69" s="2">
        <v>44439</v>
      </c>
      <c r="B69" t="s">
        <v>14</v>
      </c>
      <c r="C69">
        <v>73.19</v>
      </c>
    </row>
    <row r="70" spans="1:3" x14ac:dyDescent="0.25">
      <c r="A70" s="2">
        <v>44408</v>
      </c>
      <c r="B70" t="s">
        <v>14</v>
      </c>
      <c r="C70">
        <v>76.364999999999995</v>
      </c>
    </row>
    <row r="71" spans="1:3" x14ac:dyDescent="0.25">
      <c r="A71" s="2">
        <v>44377</v>
      </c>
      <c r="B71" t="s">
        <v>14</v>
      </c>
      <c r="C71">
        <v>76.73</v>
      </c>
    </row>
    <row r="72" spans="1:3" x14ac:dyDescent="0.25">
      <c r="A72" s="2">
        <v>44347</v>
      </c>
      <c r="B72" t="s">
        <v>14</v>
      </c>
      <c r="C72">
        <v>68.8</v>
      </c>
    </row>
    <row r="73" spans="1:3" x14ac:dyDescent="0.25">
      <c r="A73" s="2">
        <v>44316</v>
      </c>
      <c r="B73" t="s">
        <v>14</v>
      </c>
      <c r="C73">
        <v>67.135000000000005</v>
      </c>
    </row>
    <row r="74" spans="1:3" x14ac:dyDescent="0.25">
      <c r="A74" s="2">
        <v>44286</v>
      </c>
      <c r="B74" t="s">
        <v>14</v>
      </c>
      <c r="C74">
        <v>62.685000000000002</v>
      </c>
    </row>
    <row r="75" spans="1:3" x14ac:dyDescent="0.25">
      <c r="A75" s="2">
        <v>44255</v>
      </c>
      <c r="B75" t="s">
        <v>14</v>
      </c>
      <c r="C75">
        <v>66.02</v>
      </c>
    </row>
    <row r="76" spans="1:3" x14ac:dyDescent="0.25">
      <c r="A76" s="2">
        <v>44227</v>
      </c>
      <c r="B76" t="s">
        <v>14</v>
      </c>
      <c r="C76">
        <v>55.814999999999998</v>
      </c>
    </row>
    <row r="77" spans="1:3" x14ac:dyDescent="0.25">
      <c r="A77" s="2">
        <v>44196</v>
      </c>
      <c r="B77" t="s">
        <v>14</v>
      </c>
      <c r="C77">
        <v>51.664999999999999</v>
      </c>
    </row>
    <row r="78" spans="1:3" x14ac:dyDescent="0.25">
      <c r="A78" s="2">
        <v>44165</v>
      </c>
      <c r="B78" t="s">
        <v>14</v>
      </c>
      <c r="C78">
        <v>47.075000000000003</v>
      </c>
    </row>
    <row r="79" spans="1:3" x14ac:dyDescent="0.25">
      <c r="A79" s="2">
        <v>44135</v>
      </c>
      <c r="B79" t="s">
        <v>14</v>
      </c>
      <c r="C79">
        <v>37.405000000000001</v>
      </c>
    </row>
    <row r="80" spans="1:3" x14ac:dyDescent="0.25">
      <c r="A80" s="2">
        <v>44104</v>
      </c>
      <c r="B80" t="s">
        <v>14</v>
      </c>
      <c r="C80">
        <v>41.18</v>
      </c>
    </row>
    <row r="81" spans="1:3" x14ac:dyDescent="0.25">
      <c r="A81" s="2">
        <v>44074</v>
      </c>
      <c r="B81" t="s">
        <v>14</v>
      </c>
      <c r="C81">
        <v>46.49</v>
      </c>
    </row>
    <row r="82" spans="1:3" x14ac:dyDescent="0.25">
      <c r="A82" s="2">
        <v>44043</v>
      </c>
      <c r="B82" t="s">
        <v>14</v>
      </c>
      <c r="C82">
        <v>44.805</v>
      </c>
    </row>
    <row r="83" spans="1:3" x14ac:dyDescent="0.25">
      <c r="A83" s="2">
        <v>44012</v>
      </c>
      <c r="B83" t="s">
        <v>14</v>
      </c>
      <c r="C83">
        <v>43.16</v>
      </c>
    </row>
    <row r="84" spans="1:3" x14ac:dyDescent="0.25">
      <c r="A84" s="2">
        <v>43982</v>
      </c>
      <c r="B84" t="s">
        <v>14</v>
      </c>
      <c r="C84">
        <v>35.475000000000001</v>
      </c>
    </row>
    <row r="85" spans="1:3" x14ac:dyDescent="0.25">
      <c r="A85" s="2">
        <v>43951</v>
      </c>
      <c r="B85" t="s">
        <v>14</v>
      </c>
      <c r="C85">
        <v>17.690000000000001</v>
      </c>
    </row>
    <row r="86" spans="1:3" x14ac:dyDescent="0.25">
      <c r="A86" s="2">
        <v>43921</v>
      </c>
      <c r="B86" t="s">
        <v>14</v>
      </c>
      <c r="C86">
        <v>18.7</v>
      </c>
    </row>
    <row r="87" spans="1:3" x14ac:dyDescent="0.25">
      <c r="A87" s="2">
        <v>43890</v>
      </c>
      <c r="B87" t="s">
        <v>14</v>
      </c>
      <c r="C87">
        <v>53.42</v>
      </c>
    </row>
    <row r="88" spans="1:3" x14ac:dyDescent="0.25">
      <c r="A88" s="2">
        <v>43861</v>
      </c>
      <c r="B88" t="s">
        <v>14</v>
      </c>
      <c r="C88">
        <v>59.31</v>
      </c>
    </row>
    <row r="89" spans="1:3" x14ac:dyDescent="0.25">
      <c r="A89" s="2">
        <v>43830</v>
      </c>
      <c r="B89" t="s">
        <v>14</v>
      </c>
      <c r="C89">
        <v>68.900000000000006</v>
      </c>
    </row>
    <row r="90" spans="1:3" x14ac:dyDescent="0.25">
      <c r="A90" s="2">
        <v>43799</v>
      </c>
      <c r="B90" t="s">
        <v>14</v>
      </c>
      <c r="C90">
        <v>65.290000000000006</v>
      </c>
    </row>
    <row r="91" spans="1:3" x14ac:dyDescent="0.25">
      <c r="A91" s="2">
        <v>43769</v>
      </c>
      <c r="B91" t="s">
        <v>14</v>
      </c>
      <c r="C91">
        <v>59.94</v>
      </c>
    </row>
    <row r="92" spans="1:3" x14ac:dyDescent="0.25">
      <c r="A92" s="2">
        <v>43738</v>
      </c>
      <c r="B92" t="s">
        <v>14</v>
      </c>
      <c r="C92">
        <v>61.3</v>
      </c>
    </row>
    <row r="93" spans="1:3" x14ac:dyDescent="0.25">
      <c r="A93" s="2">
        <v>43708</v>
      </c>
      <c r="B93" t="s">
        <v>14</v>
      </c>
      <c r="C93">
        <v>60.79</v>
      </c>
    </row>
    <row r="94" spans="1:3" x14ac:dyDescent="0.25">
      <c r="A94" s="2">
        <v>43677</v>
      </c>
      <c r="B94" t="s">
        <v>14</v>
      </c>
      <c r="C94">
        <v>63.87</v>
      </c>
    </row>
    <row r="95" spans="1:3" x14ac:dyDescent="0.25">
      <c r="A95" s="2">
        <v>43646</v>
      </c>
      <c r="B95" t="s">
        <v>14</v>
      </c>
      <c r="C95">
        <v>67.16</v>
      </c>
    </row>
    <row r="96" spans="1:3" x14ac:dyDescent="0.25">
      <c r="A96" s="2">
        <v>43616</v>
      </c>
      <c r="B96" t="s">
        <v>14</v>
      </c>
      <c r="C96">
        <v>66.33</v>
      </c>
    </row>
    <row r="97" spans="1:3" x14ac:dyDescent="0.25">
      <c r="A97" s="2">
        <v>43585</v>
      </c>
      <c r="B97" t="s">
        <v>14</v>
      </c>
      <c r="C97">
        <v>71.825000000000003</v>
      </c>
    </row>
    <row r="98" spans="1:3" x14ac:dyDescent="0.25">
      <c r="A98" s="2">
        <v>43555</v>
      </c>
      <c r="B98" t="s">
        <v>14</v>
      </c>
      <c r="C98">
        <v>68.135000000000005</v>
      </c>
    </row>
    <row r="99" spans="1:3" x14ac:dyDescent="0.25">
      <c r="A99" s="2">
        <v>43524</v>
      </c>
      <c r="B99" t="s">
        <v>14</v>
      </c>
      <c r="C99">
        <v>65.12</v>
      </c>
    </row>
    <row r="100" spans="1:3" x14ac:dyDescent="0.25">
      <c r="A100" s="2">
        <v>43496</v>
      </c>
      <c r="B100" t="s">
        <v>14</v>
      </c>
      <c r="C100">
        <v>62.52</v>
      </c>
    </row>
    <row r="101" spans="1:3" x14ac:dyDescent="0.25">
      <c r="A101" s="2">
        <v>43465</v>
      </c>
      <c r="B101" t="s">
        <v>14</v>
      </c>
      <c r="C101">
        <v>50.86</v>
      </c>
    </row>
    <row r="102" spans="1:3" x14ac:dyDescent="0.25">
      <c r="A102" s="2">
        <v>43434</v>
      </c>
      <c r="B102" t="s">
        <v>14</v>
      </c>
      <c r="C102">
        <v>57.75</v>
      </c>
    </row>
    <row r="103" spans="1:3" x14ac:dyDescent="0.25">
      <c r="A103" s="2">
        <v>43404</v>
      </c>
      <c r="B103" t="s">
        <v>14</v>
      </c>
      <c r="C103">
        <v>74.17</v>
      </c>
    </row>
    <row r="104" spans="1:3" x14ac:dyDescent="0.25">
      <c r="A104" s="2">
        <v>43373</v>
      </c>
      <c r="B104" t="s">
        <v>14</v>
      </c>
      <c r="C104">
        <v>81.83</v>
      </c>
    </row>
    <row r="105" spans="1:3" x14ac:dyDescent="0.25">
      <c r="A105" s="2">
        <v>43343</v>
      </c>
      <c r="B105" t="s">
        <v>14</v>
      </c>
      <c r="C105">
        <v>76.010000000000005</v>
      </c>
    </row>
    <row r="106" spans="1:3" x14ac:dyDescent="0.25">
      <c r="A106" s="2">
        <v>43312</v>
      </c>
      <c r="B106" t="s">
        <v>14</v>
      </c>
      <c r="C106">
        <v>73.790000000000006</v>
      </c>
    </row>
    <row r="107" spans="1:3" x14ac:dyDescent="0.25">
      <c r="A107" s="2">
        <v>43281</v>
      </c>
      <c r="B107" t="s">
        <v>14</v>
      </c>
      <c r="C107">
        <v>76.33</v>
      </c>
    </row>
    <row r="108" spans="1:3" x14ac:dyDescent="0.25">
      <c r="A108" s="2">
        <v>43251</v>
      </c>
      <c r="B108" t="s">
        <v>14</v>
      </c>
      <c r="C108">
        <v>75.66</v>
      </c>
    </row>
    <row r="109" spans="1:3" x14ac:dyDescent="0.25">
      <c r="A109" s="2">
        <v>43220</v>
      </c>
      <c r="B109" t="s">
        <v>14</v>
      </c>
      <c r="C109">
        <v>75.430000000000007</v>
      </c>
    </row>
    <row r="110" spans="1:3" x14ac:dyDescent="0.25">
      <c r="A110" s="2">
        <v>43190</v>
      </c>
      <c r="B110" t="s">
        <v>14</v>
      </c>
      <c r="C110">
        <v>68.45</v>
      </c>
    </row>
    <row r="111" spans="1:3" x14ac:dyDescent="0.25">
      <c r="A111" s="2">
        <v>43159</v>
      </c>
      <c r="B111" t="s">
        <v>14</v>
      </c>
      <c r="C111">
        <v>66.2</v>
      </c>
    </row>
    <row r="112" spans="1:3" x14ac:dyDescent="0.25">
      <c r="A112" s="2">
        <v>43131</v>
      </c>
      <c r="B112" t="s">
        <v>14</v>
      </c>
      <c r="C112">
        <v>67.959999999999994</v>
      </c>
    </row>
    <row r="113" spans="1:3" x14ac:dyDescent="0.25">
      <c r="A113" s="2">
        <v>43100</v>
      </c>
      <c r="B113" t="s">
        <v>14</v>
      </c>
      <c r="C113">
        <v>66.64</v>
      </c>
    </row>
    <row r="114" spans="1:3" x14ac:dyDescent="0.25">
      <c r="A114" s="2">
        <v>43069</v>
      </c>
      <c r="B114" t="s">
        <v>14</v>
      </c>
      <c r="C114">
        <v>63.89</v>
      </c>
    </row>
    <row r="115" spans="1:3" x14ac:dyDescent="0.25">
      <c r="A115" s="2">
        <v>43039</v>
      </c>
      <c r="B115" t="s">
        <v>14</v>
      </c>
      <c r="C115">
        <v>61.65</v>
      </c>
    </row>
    <row r="116" spans="1:3" x14ac:dyDescent="0.25">
      <c r="A116" s="2">
        <v>43008</v>
      </c>
      <c r="B116" t="s">
        <v>14</v>
      </c>
      <c r="C116">
        <v>57.39</v>
      </c>
    </row>
    <row r="117" spans="1:3" x14ac:dyDescent="0.25">
      <c r="A117" s="2">
        <v>42978</v>
      </c>
      <c r="B117" t="s">
        <v>14</v>
      </c>
      <c r="C117">
        <v>53.52</v>
      </c>
    </row>
    <row r="118" spans="1:3" x14ac:dyDescent="0.25">
      <c r="A118" s="2">
        <v>42947</v>
      </c>
      <c r="B118" t="s">
        <v>14</v>
      </c>
      <c r="C118">
        <v>52.5</v>
      </c>
    </row>
    <row r="119" spans="1:3" x14ac:dyDescent="0.25">
      <c r="A119" s="2">
        <v>42916</v>
      </c>
      <c r="B119" t="s">
        <v>14</v>
      </c>
      <c r="C119">
        <v>47.58</v>
      </c>
    </row>
    <row r="120" spans="1:3" x14ac:dyDescent="0.25">
      <c r="A120" s="2">
        <v>42886</v>
      </c>
      <c r="B120" t="s">
        <v>14</v>
      </c>
      <c r="C120">
        <v>49.67</v>
      </c>
    </row>
    <row r="121" spans="1:3" x14ac:dyDescent="0.25">
      <c r="A121" s="2">
        <v>42855</v>
      </c>
      <c r="B121" t="s">
        <v>14</v>
      </c>
      <c r="C121">
        <v>50.57</v>
      </c>
    </row>
    <row r="122" spans="1:3" x14ac:dyDescent="0.25">
      <c r="A122" s="2">
        <v>42825</v>
      </c>
      <c r="B122" t="s">
        <v>14</v>
      </c>
      <c r="C122">
        <v>52.32</v>
      </c>
    </row>
    <row r="123" spans="1:3" x14ac:dyDescent="0.25">
      <c r="A123" s="2">
        <v>42794</v>
      </c>
      <c r="B123" t="s">
        <v>14</v>
      </c>
      <c r="C123">
        <v>53.38</v>
      </c>
    </row>
    <row r="124" spans="1:3" x14ac:dyDescent="0.25">
      <c r="A124" s="2">
        <v>42766</v>
      </c>
      <c r="B124" t="s">
        <v>14</v>
      </c>
      <c r="C124">
        <v>55.42</v>
      </c>
    </row>
    <row r="125" spans="1:3" x14ac:dyDescent="0.25">
      <c r="A125" s="2">
        <v>42735</v>
      </c>
      <c r="B125" t="s">
        <v>14</v>
      </c>
      <c r="C125">
        <v>55.13</v>
      </c>
    </row>
    <row r="126" spans="1:3" x14ac:dyDescent="0.25">
      <c r="A126" s="2">
        <v>42704</v>
      </c>
      <c r="B126" t="s">
        <v>14</v>
      </c>
      <c r="C126">
        <v>48.33</v>
      </c>
    </row>
    <row r="127" spans="1:3" x14ac:dyDescent="0.25">
      <c r="A127" s="2">
        <v>42674</v>
      </c>
      <c r="B127" t="s">
        <v>14</v>
      </c>
      <c r="C127">
        <v>46.47</v>
      </c>
    </row>
    <row r="128" spans="1:3" x14ac:dyDescent="0.25">
      <c r="A128" s="2">
        <v>42643</v>
      </c>
      <c r="B128" t="s">
        <v>14</v>
      </c>
      <c r="C128">
        <v>48.46</v>
      </c>
    </row>
    <row r="129" spans="1:3" x14ac:dyDescent="0.25">
      <c r="A129" s="2">
        <v>42613</v>
      </c>
      <c r="B129" t="s">
        <v>14</v>
      </c>
      <c r="C129">
        <v>46.86</v>
      </c>
    </row>
    <row r="130" spans="1:3" x14ac:dyDescent="0.25">
      <c r="A130" s="2">
        <v>42582</v>
      </c>
      <c r="B130" t="s">
        <v>14</v>
      </c>
      <c r="C130">
        <v>41.36</v>
      </c>
    </row>
    <row r="131" spans="1:3" x14ac:dyDescent="0.25">
      <c r="A131" s="2">
        <v>42551</v>
      </c>
      <c r="B131" t="s">
        <v>14</v>
      </c>
      <c r="C131">
        <v>48.29</v>
      </c>
    </row>
    <row r="132" spans="1:3" x14ac:dyDescent="0.25">
      <c r="A132" s="2">
        <v>42521</v>
      </c>
      <c r="B132" t="s">
        <v>14</v>
      </c>
      <c r="C132">
        <v>49.76</v>
      </c>
    </row>
    <row r="133" spans="1:3" x14ac:dyDescent="0.25">
      <c r="A133" s="2">
        <v>42490</v>
      </c>
      <c r="B133" t="s">
        <v>14</v>
      </c>
      <c r="C133">
        <v>46.26</v>
      </c>
    </row>
    <row r="134" spans="1:3" x14ac:dyDescent="0.25">
      <c r="A134" s="2">
        <v>42460</v>
      </c>
      <c r="B134" t="s">
        <v>14</v>
      </c>
      <c r="C134">
        <v>38.74</v>
      </c>
    </row>
    <row r="135" spans="1:3" x14ac:dyDescent="0.25">
      <c r="A135" s="2">
        <v>42429</v>
      </c>
      <c r="B135" t="s">
        <v>14</v>
      </c>
      <c r="C135">
        <v>37.14</v>
      </c>
    </row>
    <row r="136" spans="1:3" x14ac:dyDescent="0.25">
      <c r="A136" s="2">
        <v>42400</v>
      </c>
      <c r="B136" t="s">
        <v>14</v>
      </c>
      <c r="C136">
        <v>34.42</v>
      </c>
    </row>
    <row r="137" spans="1:3" x14ac:dyDescent="0.25">
      <c r="A137" s="2">
        <v>42369</v>
      </c>
      <c r="B137" t="s">
        <v>14</v>
      </c>
      <c r="C137">
        <v>38.07</v>
      </c>
    </row>
    <row r="138" spans="1:3" x14ac:dyDescent="0.25">
      <c r="A138" s="2">
        <v>42338</v>
      </c>
      <c r="B138" t="s">
        <v>14</v>
      </c>
      <c r="C138">
        <v>44.21</v>
      </c>
    </row>
    <row r="139" spans="1:3" x14ac:dyDescent="0.25">
      <c r="A139" s="2">
        <v>42308</v>
      </c>
      <c r="B139" t="s">
        <v>14</v>
      </c>
      <c r="C139">
        <v>48.68</v>
      </c>
    </row>
    <row r="140" spans="1:3" x14ac:dyDescent="0.25">
      <c r="A140" s="2">
        <v>42277</v>
      </c>
      <c r="B140" t="s">
        <v>14</v>
      </c>
      <c r="C140">
        <v>48.23</v>
      </c>
    </row>
    <row r="141" spans="1:3" x14ac:dyDescent="0.25">
      <c r="A141" s="2">
        <v>42247</v>
      </c>
      <c r="B141" t="s">
        <v>14</v>
      </c>
      <c r="C141">
        <v>48.07</v>
      </c>
    </row>
    <row r="142" spans="1:3" x14ac:dyDescent="0.25">
      <c r="A142" s="2">
        <v>42216</v>
      </c>
      <c r="B142" t="s">
        <v>14</v>
      </c>
      <c r="C142">
        <v>53.54</v>
      </c>
    </row>
    <row r="143" spans="1:3" x14ac:dyDescent="0.25">
      <c r="A143" s="2">
        <v>42185</v>
      </c>
      <c r="B143" t="s">
        <v>14</v>
      </c>
      <c r="C143">
        <v>59.75</v>
      </c>
    </row>
    <row r="144" spans="1:3" x14ac:dyDescent="0.25">
      <c r="A144" s="2">
        <v>42155</v>
      </c>
      <c r="B144" t="s">
        <v>14</v>
      </c>
      <c r="C144">
        <v>62.66</v>
      </c>
    </row>
    <row r="145" spans="1:3" x14ac:dyDescent="0.25">
      <c r="A145" s="2">
        <v>42124</v>
      </c>
      <c r="B145" t="s">
        <v>14</v>
      </c>
      <c r="C145">
        <v>63.48</v>
      </c>
    </row>
    <row r="146" spans="1:3" x14ac:dyDescent="0.25">
      <c r="A146" s="2">
        <v>42094</v>
      </c>
      <c r="B146" t="s">
        <v>14</v>
      </c>
      <c r="C146">
        <v>53.97</v>
      </c>
    </row>
    <row r="147" spans="1:3" x14ac:dyDescent="0.25">
      <c r="A147" s="2">
        <v>42063</v>
      </c>
      <c r="B147" t="s">
        <v>14</v>
      </c>
      <c r="C147">
        <v>62.16</v>
      </c>
    </row>
    <row r="148" spans="1:3" x14ac:dyDescent="0.25">
      <c r="A148" s="2">
        <v>42035</v>
      </c>
      <c r="B148" t="s">
        <v>14</v>
      </c>
      <c r="C148">
        <v>48.03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IS</vt:lpstr>
      <vt:lpstr>usd inr</vt:lpstr>
      <vt:lpstr>cpi</vt:lpstr>
      <vt:lpstr>wpi</vt:lpstr>
      <vt:lpstr>co new</vt:lpstr>
      <vt:lpstr>co new monthly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Pandey</dc:creator>
  <cp:lastModifiedBy>Priya Pandey</cp:lastModifiedBy>
  <dcterms:created xsi:type="dcterms:W3CDTF">2026-10-20T10:29:15Z</dcterms:created>
  <dcterms:modified xsi:type="dcterms:W3CDTF">2026-10-20T11:13:49Z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