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CP\Assignment\"/>
    </mc:Choice>
  </mc:AlternateContent>
  <xr:revisionPtr revIDLastSave="0" documentId="13_ncr:1_{F636394F-6598-4EA3-BB7C-AFF331C6E2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_Quarterly_Data" sheetId="1" r:id="rId1"/>
    <sheet name="Calculation Audit" sheetId="2" r:id="rId2"/>
    <sheet name="Data Quality Checks" sheetId="3" r:id="rId3"/>
  </sheets>
  <externalReferences>
    <externalReference r:id="rId4"/>
  </externalReferences>
  <calcPr calcId="191029"/>
</workbook>
</file>

<file path=xl/calcChain.xml><?xml version="1.0" encoding="utf-8"?>
<calcChain xmlns="http://schemas.openxmlformats.org/spreadsheetml/2006/main">
  <c r="D3" i="1" l="1"/>
  <c r="C3" i="1"/>
  <c r="D2" i="1"/>
  <c r="C2" i="1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K103" i="2" l="1"/>
  <c r="M103" i="2"/>
  <c r="M93" i="2"/>
  <c r="K93" i="2"/>
  <c r="K36" i="2"/>
  <c r="M36" i="2"/>
  <c r="M197" i="2"/>
  <c r="K197" i="2"/>
  <c r="M196" i="2"/>
  <c r="K196" i="2"/>
  <c r="M195" i="2"/>
  <c r="K195" i="2"/>
  <c r="K194" i="2"/>
  <c r="M194" i="2"/>
  <c r="M193" i="2"/>
  <c r="K193" i="2"/>
  <c r="M192" i="2"/>
  <c r="K192" i="2"/>
  <c r="M191" i="2"/>
  <c r="K191" i="2"/>
  <c r="M190" i="2"/>
  <c r="K190" i="2"/>
  <c r="K189" i="2"/>
  <c r="M189" i="2"/>
  <c r="K188" i="2"/>
  <c r="M188" i="2"/>
  <c r="K187" i="2"/>
  <c r="M187" i="2"/>
  <c r="M186" i="2"/>
  <c r="K186" i="2"/>
  <c r="M185" i="2"/>
  <c r="K185" i="2"/>
  <c r="K184" i="2"/>
  <c r="M184" i="2"/>
  <c r="M183" i="2"/>
  <c r="K183" i="2"/>
  <c r="M182" i="2"/>
  <c r="K182" i="2"/>
  <c r="M181" i="2"/>
  <c r="K181" i="2"/>
  <c r="M180" i="2"/>
  <c r="K180" i="2"/>
  <c r="K179" i="2"/>
  <c r="M179" i="2"/>
  <c r="M178" i="2"/>
  <c r="K178" i="2"/>
  <c r="M177" i="2"/>
  <c r="K177" i="2"/>
  <c r="M176" i="2"/>
  <c r="K176" i="2"/>
  <c r="K175" i="2"/>
  <c r="M175" i="2"/>
  <c r="M174" i="2"/>
  <c r="K174" i="2"/>
  <c r="K173" i="2"/>
  <c r="M173" i="2"/>
  <c r="M172" i="2"/>
  <c r="K172" i="2"/>
  <c r="K171" i="2"/>
  <c r="M171" i="2"/>
  <c r="K170" i="2"/>
  <c r="M170" i="2"/>
  <c r="K169" i="2"/>
  <c r="M169" i="2"/>
  <c r="K168" i="2"/>
  <c r="M168" i="2"/>
  <c r="M167" i="2"/>
  <c r="K167" i="2"/>
  <c r="K166" i="2"/>
  <c r="M166" i="2"/>
  <c r="K165" i="2"/>
  <c r="M165" i="2"/>
  <c r="M164" i="2"/>
  <c r="K164" i="2"/>
  <c r="K163" i="2"/>
  <c r="M163" i="2"/>
  <c r="M162" i="2"/>
  <c r="K162" i="2"/>
  <c r="K161" i="2"/>
  <c r="M161" i="2"/>
  <c r="M160" i="2"/>
  <c r="K160" i="2"/>
  <c r="M159" i="2"/>
  <c r="K159" i="2"/>
  <c r="M158" i="2"/>
  <c r="K158" i="2"/>
  <c r="K157" i="2"/>
  <c r="M157" i="2"/>
  <c r="M156" i="2"/>
  <c r="K156" i="2"/>
  <c r="M155" i="2"/>
  <c r="K155" i="2"/>
  <c r="M154" i="2"/>
  <c r="K154" i="2"/>
  <c r="M153" i="2"/>
  <c r="K153" i="2"/>
  <c r="K152" i="2"/>
  <c r="M152" i="2"/>
  <c r="M151" i="2"/>
  <c r="K151" i="2"/>
  <c r="M150" i="2"/>
  <c r="K150" i="2"/>
  <c r="M149" i="2"/>
  <c r="K149" i="2"/>
  <c r="M148" i="2"/>
  <c r="K148" i="2"/>
  <c r="M147" i="2"/>
  <c r="K147" i="2"/>
  <c r="M146" i="2"/>
  <c r="K146" i="2"/>
  <c r="M145" i="2"/>
  <c r="K145" i="2"/>
  <c r="M144" i="2"/>
  <c r="K144" i="2"/>
  <c r="M143" i="2"/>
  <c r="K143" i="2"/>
  <c r="K142" i="2"/>
  <c r="M142" i="2"/>
  <c r="K141" i="2"/>
  <c r="M141" i="2"/>
  <c r="K140" i="2"/>
  <c r="M140" i="2"/>
  <c r="K139" i="2"/>
  <c r="M139" i="2"/>
  <c r="K138" i="2"/>
  <c r="M138" i="2"/>
  <c r="K137" i="2"/>
  <c r="M137" i="2"/>
  <c r="K136" i="2"/>
  <c r="M136" i="2"/>
  <c r="K135" i="2"/>
  <c r="M135" i="2"/>
  <c r="M134" i="2"/>
  <c r="K134" i="2"/>
  <c r="M133" i="2"/>
  <c r="K133" i="2"/>
  <c r="K132" i="2"/>
  <c r="M132" i="2"/>
  <c r="K131" i="2"/>
  <c r="M131" i="2"/>
  <c r="K130" i="2"/>
  <c r="M130" i="2"/>
  <c r="K129" i="2"/>
  <c r="M129" i="2"/>
  <c r="M128" i="2"/>
  <c r="K128" i="2"/>
  <c r="M127" i="2"/>
  <c r="K127" i="2"/>
  <c r="M126" i="2"/>
  <c r="K126" i="2"/>
  <c r="M125" i="2"/>
  <c r="K125" i="2"/>
  <c r="K124" i="2"/>
  <c r="M124" i="2"/>
  <c r="M123" i="2"/>
  <c r="K123" i="2"/>
  <c r="M122" i="2"/>
  <c r="K122" i="2"/>
  <c r="M121" i="2"/>
  <c r="K121" i="2"/>
  <c r="M120" i="2"/>
  <c r="K120" i="2"/>
  <c r="K119" i="2"/>
  <c r="M119" i="2"/>
  <c r="M118" i="2"/>
  <c r="K118" i="2"/>
  <c r="M117" i="2"/>
  <c r="K117" i="2"/>
  <c r="M116" i="2"/>
  <c r="K116" i="2"/>
  <c r="K115" i="2"/>
  <c r="M115" i="2"/>
  <c r="M114" i="2"/>
  <c r="K114" i="2"/>
  <c r="M113" i="2"/>
  <c r="K113" i="2"/>
  <c r="M112" i="2"/>
  <c r="K112" i="2"/>
  <c r="M111" i="2"/>
  <c r="K111" i="2"/>
  <c r="K110" i="2"/>
  <c r="M110" i="2"/>
  <c r="M109" i="2"/>
  <c r="K109" i="2"/>
  <c r="M108" i="2"/>
  <c r="K108" i="2"/>
  <c r="M107" i="2"/>
  <c r="K107" i="2"/>
  <c r="M106" i="2"/>
  <c r="K106" i="2"/>
  <c r="M105" i="2"/>
  <c r="K105" i="2"/>
  <c r="M104" i="2"/>
  <c r="K104" i="2"/>
  <c r="M102" i="2"/>
  <c r="K102" i="2"/>
  <c r="M101" i="2"/>
  <c r="K101" i="2"/>
  <c r="M100" i="2"/>
  <c r="K100" i="2"/>
  <c r="M99" i="2"/>
  <c r="K99" i="2"/>
  <c r="M98" i="2"/>
  <c r="K98" i="2"/>
  <c r="M97" i="2"/>
  <c r="K97" i="2"/>
  <c r="M96" i="2"/>
  <c r="K96" i="2"/>
  <c r="M95" i="2"/>
  <c r="K95" i="2"/>
  <c r="M94" i="2"/>
  <c r="K94" i="2"/>
  <c r="M92" i="2"/>
  <c r="K92" i="2"/>
  <c r="M91" i="2"/>
  <c r="K91" i="2"/>
  <c r="M90" i="2"/>
  <c r="K90" i="2"/>
  <c r="M89" i="2"/>
  <c r="K89" i="2"/>
  <c r="K88" i="2"/>
  <c r="M88" i="2"/>
  <c r="M87" i="2"/>
  <c r="K87" i="2"/>
  <c r="M86" i="2"/>
  <c r="K86" i="2"/>
  <c r="M85" i="2"/>
  <c r="K85" i="2"/>
  <c r="K84" i="2"/>
  <c r="M84" i="2"/>
  <c r="K83" i="2"/>
  <c r="M83" i="2"/>
  <c r="K82" i="2"/>
  <c r="M82" i="2"/>
  <c r="K81" i="2"/>
  <c r="M81" i="2"/>
  <c r="K80" i="2"/>
  <c r="M80" i="2"/>
  <c r="M79" i="2"/>
  <c r="K79" i="2"/>
  <c r="M78" i="2"/>
  <c r="K78" i="2"/>
  <c r="K77" i="2"/>
  <c r="M77" i="2"/>
  <c r="K76" i="2"/>
  <c r="M76" i="2"/>
  <c r="K75" i="2"/>
  <c r="M75" i="2"/>
  <c r="M74" i="2"/>
  <c r="K74" i="2"/>
  <c r="M73" i="2"/>
  <c r="K73" i="2"/>
  <c r="M72" i="2"/>
  <c r="K72" i="2"/>
  <c r="M71" i="2"/>
  <c r="K71" i="2"/>
  <c r="M70" i="2"/>
  <c r="K70" i="2"/>
  <c r="K69" i="2"/>
  <c r="M69" i="2"/>
  <c r="M68" i="2"/>
  <c r="K68" i="2"/>
  <c r="K67" i="2"/>
  <c r="M67" i="2"/>
  <c r="M66" i="2"/>
  <c r="K66" i="2"/>
  <c r="M65" i="2"/>
  <c r="K65" i="2"/>
  <c r="M64" i="2"/>
  <c r="K64" i="2"/>
  <c r="M63" i="2"/>
  <c r="K63" i="2"/>
  <c r="M62" i="2"/>
  <c r="K62" i="2"/>
  <c r="M61" i="2"/>
  <c r="K61" i="2"/>
  <c r="M60" i="2"/>
  <c r="K60" i="2"/>
  <c r="K59" i="2"/>
  <c r="M59" i="2"/>
  <c r="K58" i="2"/>
  <c r="M58" i="2"/>
  <c r="M57" i="2"/>
  <c r="K57" i="2"/>
  <c r="K56" i="2"/>
  <c r="M56" i="2"/>
  <c r="M55" i="2"/>
  <c r="K55" i="2"/>
  <c r="K54" i="2"/>
  <c r="M54" i="2"/>
  <c r="K53" i="2"/>
  <c r="M53" i="2"/>
  <c r="K52" i="2"/>
  <c r="M52" i="2"/>
  <c r="K51" i="2"/>
  <c r="M51" i="2"/>
  <c r="K50" i="2"/>
  <c r="M50" i="2"/>
  <c r="K49" i="2"/>
  <c r="M49" i="2"/>
  <c r="K48" i="2"/>
  <c r="M48" i="2"/>
  <c r="K47" i="2"/>
  <c r="M47" i="2"/>
  <c r="M46" i="2"/>
  <c r="K46" i="2"/>
  <c r="M45" i="2"/>
  <c r="K45" i="2"/>
  <c r="K44" i="2"/>
  <c r="M44" i="2"/>
  <c r="K43" i="2"/>
  <c r="M43" i="2"/>
  <c r="M42" i="2"/>
  <c r="K42" i="2"/>
  <c r="K41" i="2"/>
  <c r="M41" i="2"/>
  <c r="K40" i="2"/>
  <c r="M40" i="2"/>
  <c r="K39" i="2"/>
  <c r="M39" i="2"/>
  <c r="K38" i="2"/>
  <c r="M38" i="2"/>
  <c r="M37" i="2"/>
  <c r="K37" i="2"/>
  <c r="M35" i="2"/>
  <c r="K35" i="2"/>
  <c r="K34" i="2"/>
  <c r="M34" i="2"/>
  <c r="K33" i="2"/>
  <c r="M33" i="2"/>
  <c r="M32" i="2"/>
  <c r="K32" i="2"/>
  <c r="M31" i="2"/>
  <c r="K31" i="2"/>
  <c r="M30" i="2"/>
  <c r="K30" i="2"/>
  <c r="M29" i="2"/>
  <c r="K29" i="2"/>
  <c r="K28" i="2"/>
  <c r="M28" i="2"/>
  <c r="K27" i="2"/>
  <c r="M27" i="2"/>
  <c r="M26" i="2"/>
  <c r="K26" i="2"/>
  <c r="K25" i="2"/>
  <c r="M25" i="2"/>
  <c r="K24" i="2"/>
  <c r="M24" i="2"/>
  <c r="M23" i="2"/>
  <c r="K23" i="2"/>
  <c r="K22" i="2"/>
  <c r="M22" i="2"/>
  <c r="K21" i="2"/>
  <c r="M21" i="2"/>
  <c r="M20" i="2"/>
  <c r="K20" i="2"/>
  <c r="M19" i="2"/>
  <c r="K19" i="2"/>
  <c r="K18" i="2"/>
  <c r="M18" i="2"/>
  <c r="M17" i="2"/>
  <c r="K17" i="2"/>
  <c r="M16" i="2"/>
  <c r="K16" i="2"/>
  <c r="M15" i="2"/>
  <c r="K15" i="2"/>
  <c r="M14" i="2"/>
  <c r="K14" i="2"/>
  <c r="M13" i="2"/>
  <c r="K13" i="2"/>
  <c r="K12" i="2"/>
  <c r="M12" i="2"/>
  <c r="M11" i="2"/>
  <c r="K11" i="2"/>
  <c r="K10" i="2"/>
  <c r="M10" i="2"/>
  <c r="K9" i="2"/>
  <c r="M9" i="2"/>
  <c r="K8" i="2"/>
  <c r="M8" i="2"/>
  <c r="K7" i="2"/>
  <c r="M7" i="2"/>
  <c r="K6" i="2"/>
  <c r="M6" i="2"/>
  <c r="K5" i="2"/>
  <c r="M5" i="2"/>
  <c r="M4" i="2"/>
  <c r="K4" i="2"/>
  <c r="M3" i="2"/>
  <c r="K3" i="2"/>
  <c r="K2" i="2"/>
  <c r="M2" i="2"/>
</calcChain>
</file>

<file path=xl/sharedStrings.xml><?xml version="1.0" encoding="utf-8"?>
<sst xmlns="http://schemas.openxmlformats.org/spreadsheetml/2006/main" count="1073" uniqueCount="363">
  <si>
    <t>Year</t>
  </si>
  <si>
    <t>Quarter (Calendar)</t>
  </si>
  <si>
    <t>PAT Margin</t>
  </si>
  <si>
    <t>EBITDA Margin</t>
  </si>
  <si>
    <t>USD INR (Quarterly Mean)</t>
  </si>
  <si>
    <t>CPI inflation (Quarterly Mean)</t>
  </si>
  <si>
    <t>WPI inflation (Quarterly Mean)</t>
  </si>
  <si>
    <t>Oil benchmark(MONTHLY) (Quarterly Mean)</t>
  </si>
  <si>
    <t>Oil benchmark(DAILY) (Quarterly Mean)</t>
  </si>
  <si>
    <t>Monthly Data Completeness</t>
  </si>
  <si>
    <t>Daily Oil Observations (count)</t>
  </si>
  <si>
    <t>Financial Data Status</t>
  </si>
  <si>
    <t>Q1</t>
  </si>
  <si>
    <t>Complete</t>
  </si>
  <si>
    <t>Not available in source</t>
  </si>
  <si>
    <t>Q2</t>
  </si>
  <si>
    <t>Q3</t>
  </si>
  <si>
    <t>Reported (original value)</t>
  </si>
  <si>
    <t>Q4</t>
  </si>
  <si>
    <t>Quarter</t>
  </si>
  <si>
    <t>Variable Name</t>
  </si>
  <si>
    <t>Source Month 1</t>
  </si>
  <si>
    <t>Source Month 2</t>
  </si>
  <si>
    <t>Source Month 3</t>
  </si>
  <si>
    <t>Month 1 Value</t>
  </si>
  <si>
    <t>Month 2 Value</t>
  </si>
  <si>
    <t>Month 3 Value</t>
  </si>
  <si>
    <t>Number of Valid Observations</t>
  </si>
  <si>
    <t>Quarterly Mean</t>
  </si>
  <si>
    <t>Formula or Calculation Method</t>
  </si>
  <si>
    <t>Data Quality Status</t>
  </si>
  <si>
    <t>USD INR</t>
  </si>
  <si>
    <t>=AVERAGE(G2:I2)</t>
  </si>
  <si>
    <t>=AVERAGE(G3:I3)</t>
  </si>
  <si>
    <t>=AVERAGE(G4:I4)</t>
  </si>
  <si>
    <t>=AVERAGE(G5:I5)</t>
  </si>
  <si>
    <t>=AVERAGE(G6:I6)</t>
  </si>
  <si>
    <t>=AVERAGE(G7:I7)</t>
  </si>
  <si>
    <t>=AVERAGE(G8:I8)</t>
  </si>
  <si>
    <t>=AVERAGE(G9:I9)</t>
  </si>
  <si>
    <t>=AVERAGE(G10:I10)</t>
  </si>
  <si>
    <t>=AVERAGE(G11:I11)</t>
  </si>
  <si>
    <t>=AVERAGE(G12:I12)</t>
  </si>
  <si>
    <t>=AVERAGE(G13:I13)</t>
  </si>
  <si>
    <t>=AVERAGE(G14:I14)</t>
  </si>
  <si>
    <t>=AVERAGE(G15:I15)</t>
  </si>
  <si>
    <t>=AVERAGE(G16:I16)</t>
  </si>
  <si>
    <t>=AVERAGE(G17:I17)</t>
  </si>
  <si>
    <t>=AVERAGE(G18:I18)</t>
  </si>
  <si>
    <t>=AVERAGE(G19:I19)</t>
  </si>
  <si>
    <t>=AVERAGE(G20:I20)</t>
  </si>
  <si>
    <t>=AVERAGE(G21:I21)</t>
  </si>
  <si>
    <t>=AVERAGE(G22:I22)</t>
  </si>
  <si>
    <t>=AVERAGE(G23:I23)</t>
  </si>
  <si>
    <t>=AVERAGE(G24:I24)</t>
  </si>
  <si>
    <t>=AVERAGE(G25:I25)</t>
  </si>
  <si>
    <t>=AVERAGE(G26:I26)</t>
  </si>
  <si>
    <t>=AVERAGE(G27:I27)</t>
  </si>
  <si>
    <t>=AVERAGE(G28:I28)</t>
  </si>
  <si>
    <t>=AVERAGE(G29:I29)</t>
  </si>
  <si>
    <t>=AVERAGE(G30:I30)</t>
  </si>
  <si>
    <t>=AVERAGE(G31:I31)</t>
  </si>
  <si>
    <t>=AVERAGE(G32:I32)</t>
  </si>
  <si>
    <t>=AVERAGE(G33:I33)</t>
  </si>
  <si>
    <t>=AVERAGE(G34:I34)</t>
  </si>
  <si>
    <t>=AVERAGE(G35:I35)</t>
  </si>
  <si>
    <t>=AVERAGE(G36:I36)</t>
  </si>
  <si>
    <t>=AVERAGE(G37:I37)</t>
  </si>
  <si>
    <t>=AVERAGE(G38:I38)</t>
  </si>
  <si>
    <t>=AVERAGE(G39:I39)</t>
  </si>
  <si>
    <t>=AVERAGE(G40:I40)</t>
  </si>
  <si>
    <t>CPI Inflation</t>
  </si>
  <si>
    <t>=AVERAGE(G41:I41)</t>
  </si>
  <si>
    <t>=AVERAGE(G42:I42)</t>
  </si>
  <si>
    <t>=AVERAGE(G43:I43)</t>
  </si>
  <si>
    <t>=AVERAGE(G44:I44)</t>
  </si>
  <si>
    <t>=AVERAGE(G45:I45)</t>
  </si>
  <si>
    <t>=AVERAGE(G46:I46)</t>
  </si>
  <si>
    <t>=AVERAGE(G47:I47)</t>
  </si>
  <si>
    <t>=AVERAGE(G48:I48)</t>
  </si>
  <si>
    <t>=AVERAGE(G49:I49)</t>
  </si>
  <si>
    <t>=AVERAGE(G50:I50)</t>
  </si>
  <si>
    <t>=AVERAGE(G51:I51)</t>
  </si>
  <si>
    <t>=AVERAGE(G52:I52)</t>
  </si>
  <si>
    <t>=AVERAGE(G53:I53)</t>
  </si>
  <si>
    <t>=AVERAGE(G54:I54)</t>
  </si>
  <si>
    <t>=AVERAGE(G55:I55)</t>
  </si>
  <si>
    <t>=AVERAGE(G56:I56)</t>
  </si>
  <si>
    <t>=AVERAGE(G57:I57)</t>
  </si>
  <si>
    <t>=AVERAGE(G58:I58)</t>
  </si>
  <si>
    <t>=AVERAGE(G59:I59)</t>
  </si>
  <si>
    <t>=AVERAGE(G60:I60)</t>
  </si>
  <si>
    <t>=AVERAGE(G61:I61)</t>
  </si>
  <si>
    <t>=AVERAGE(G62:I62)</t>
  </si>
  <si>
    <t>=AVERAGE(G63:I63)</t>
  </si>
  <si>
    <t>=AVERAGE(G64:I64)</t>
  </si>
  <si>
    <t>=AVERAGE(G65:I65)</t>
  </si>
  <si>
    <t>=AVERAGE(G66:I66)</t>
  </si>
  <si>
    <t>=AVERAGE(G67:I67)</t>
  </si>
  <si>
    <t>=AVERAGE(G68:I68)</t>
  </si>
  <si>
    <t>=AVERAGE(G69:I69)</t>
  </si>
  <si>
    <t>=AVERAGE(G70:I70)</t>
  </si>
  <si>
    <t>=AVERAGE(G71:I71)</t>
  </si>
  <si>
    <t>=AVERAGE(G72:I72)</t>
  </si>
  <si>
    <t>=AVERAGE(G73:I73)</t>
  </si>
  <si>
    <t>=AVERAGE(G74:I74)</t>
  </si>
  <si>
    <t>=AVERAGE(G75:I75)</t>
  </si>
  <si>
    <t>=AVERAGE(G76:I76)</t>
  </si>
  <si>
    <t>=AVERAGE(G77:I77)</t>
  </si>
  <si>
    <t>=AVERAGE(G78:I78)</t>
  </si>
  <si>
    <t>=AVERAGE(G79:I79)</t>
  </si>
  <si>
    <t>WPI Inflation</t>
  </si>
  <si>
    <t>=AVERAGE(G80:I80)</t>
  </si>
  <si>
    <t>=AVERAGE(G81:I81)</t>
  </si>
  <si>
    <t>=AVERAGE(G82:I82)</t>
  </si>
  <si>
    <t>=AVERAGE(G83:I83)</t>
  </si>
  <si>
    <t>=AVERAGE(G84:I84)</t>
  </si>
  <si>
    <t>=AVERAGE(G85:I85)</t>
  </si>
  <si>
    <t>=AVERAGE(G86:I86)</t>
  </si>
  <si>
    <t>=AVERAGE(G87:I87)</t>
  </si>
  <si>
    <t>=AVERAGE(G88:I88)</t>
  </si>
  <si>
    <t>=AVERAGE(G89:I89)</t>
  </si>
  <si>
    <t>=AVERAGE(G90:I90)</t>
  </si>
  <si>
    <t>=AVERAGE(G91:I91)</t>
  </si>
  <si>
    <t>=AVERAGE(G92:I92)</t>
  </si>
  <si>
    <t>=AVERAGE(G93:I93)</t>
  </si>
  <si>
    <t>=AVERAGE(G94:I94)</t>
  </si>
  <si>
    <t>=AVERAGE(G95:I95)</t>
  </si>
  <si>
    <t>=AVERAGE(G96:I96)</t>
  </si>
  <si>
    <t>=AVERAGE(G97:I97)</t>
  </si>
  <si>
    <t>=AVERAGE(G98:I98)</t>
  </si>
  <si>
    <t>=AVERAGE(G99:I99)</t>
  </si>
  <si>
    <t>=AVERAGE(G100:I100)</t>
  </si>
  <si>
    <t>=AVERAGE(G101:I101)</t>
  </si>
  <si>
    <t>=AVERAGE(G102:I102)</t>
  </si>
  <si>
    <t>=AVERAGE(G103:I103)</t>
  </si>
  <si>
    <t>=AVERAGE(G104:I104)</t>
  </si>
  <si>
    <t>=AVERAGE(G105:I105)</t>
  </si>
  <si>
    <t>=AVERAGE(G106:I106)</t>
  </si>
  <si>
    <t>=AVERAGE(G107:I107)</t>
  </si>
  <si>
    <t>=AVERAGE(G108:I108)</t>
  </si>
  <si>
    <t>=AVERAGE(G109:I109)</t>
  </si>
  <si>
    <t>=AVERAGE(G110:I110)</t>
  </si>
  <si>
    <t>=AVERAGE(G111:I111)</t>
  </si>
  <si>
    <t>=AVERAGE(G112:I112)</t>
  </si>
  <si>
    <t>=AVERAGE(G113:I113)</t>
  </si>
  <si>
    <t>=AVERAGE(G114:I114)</t>
  </si>
  <si>
    <t>=AVERAGE(G115:I115)</t>
  </si>
  <si>
    <t>=AVERAGE(G116:I116)</t>
  </si>
  <si>
    <t>=AVERAGE(G117:I117)</t>
  </si>
  <si>
    <t>=AVERAGE(G118:I118)</t>
  </si>
  <si>
    <t>Oil Benchmark (Monthly)</t>
  </si>
  <si>
    <t>=AVERAGE(G119:I119)</t>
  </si>
  <si>
    <t>=AVERAGE(G120:I120)</t>
  </si>
  <si>
    <t>=AVERAGE(G121:I121)</t>
  </si>
  <si>
    <t>=AVERAGE(G122:I122)</t>
  </si>
  <si>
    <t>=AVERAGE(G123:I123)</t>
  </si>
  <si>
    <t>=AVERAGE(G124:I124)</t>
  </si>
  <si>
    <t>=AVERAGE(G125:I125)</t>
  </si>
  <si>
    <t>=AVERAGE(G126:I126)</t>
  </si>
  <si>
    <t>=AVERAGE(G127:I127)</t>
  </si>
  <si>
    <t>=AVERAGE(G128:I128)</t>
  </si>
  <si>
    <t>=AVERAGE(G129:I129)</t>
  </si>
  <si>
    <t>=AVERAGE(G130:I130)</t>
  </si>
  <si>
    <t>=AVERAGE(G131:I131)</t>
  </si>
  <si>
    <t>=AVERAGE(G132:I132)</t>
  </si>
  <si>
    <t>=AVERAGE(G133:I133)</t>
  </si>
  <si>
    <t>=AVERAGE(G134:I134)</t>
  </si>
  <si>
    <t>=AVERAGE(G135:I135)</t>
  </si>
  <si>
    <t>=AVERAGE(G136:I136)</t>
  </si>
  <si>
    <t>=AVERAGE(G137:I137)</t>
  </si>
  <si>
    <t>=AVERAGE(G138:I138)</t>
  </si>
  <si>
    <t>=AVERAGE(G139:I139)</t>
  </si>
  <si>
    <t>=AVERAGE(G140:I140)</t>
  </si>
  <si>
    <t>=AVERAGE(G141:I141)</t>
  </si>
  <si>
    <t>=AVERAGE(G142:I142)</t>
  </si>
  <si>
    <t>=AVERAGE(G143:I143)</t>
  </si>
  <si>
    <t>=AVERAGE(G144:I144)</t>
  </si>
  <si>
    <t>=AVERAGE(G145:I145)</t>
  </si>
  <si>
    <t>=AVERAGE(G146:I146)</t>
  </si>
  <si>
    <t>=AVERAGE(G147:I147)</t>
  </si>
  <si>
    <t>=AVERAGE(G148:I148)</t>
  </si>
  <si>
    <t>=AVERAGE(G149:I149)</t>
  </si>
  <si>
    <t>=AVERAGE(G150:I150)</t>
  </si>
  <si>
    <t>=AVERAGE(G151:I151)</t>
  </si>
  <si>
    <t>=AVERAGE(G152:I152)</t>
  </si>
  <si>
    <t>=AVERAGE(G153:I153)</t>
  </si>
  <si>
    <t>=AVERAGE(G154:I154)</t>
  </si>
  <si>
    <t>=AVERAGE(G155:I155)</t>
  </si>
  <si>
    <t>=AVERAGE(G156:I156)</t>
  </si>
  <si>
    <t>=AVERAGE(G157:I157)</t>
  </si>
  <si>
    <t>Oil Benchmark (Daily)</t>
  </si>
  <si>
    <t>Daily: 2017-01-03</t>
  </si>
  <si>
    <t>to</t>
  </si>
  <si>
    <t>2017-03-31</t>
  </si>
  <si>
    <t>n/a (daily series)</t>
  </si>
  <si>
    <t>=AVERAGEIFS(Source_Oil_Daily!B:B, Year=A158, Quarter=B158)</t>
  </si>
  <si>
    <t>Daily: 2017-04-03</t>
  </si>
  <si>
    <t>2017-06-30</t>
  </si>
  <si>
    <t>=AVERAGEIFS(Source_Oil_Daily!B:B, Year=A159, Quarter=B159)</t>
  </si>
  <si>
    <t>Daily: 2017-07-03</t>
  </si>
  <si>
    <t>2017-09-29</t>
  </si>
  <si>
    <t>=AVERAGEIFS(Source_Oil_Daily!B:B, Year=A160, Quarter=B160)</t>
  </si>
  <si>
    <t>Daily: 2017-10-02</t>
  </si>
  <si>
    <t>2017-12-29</t>
  </si>
  <si>
    <t>=AVERAGEIFS(Source_Oil_Daily!B:B, Year=A161, Quarter=B161)</t>
  </si>
  <si>
    <t>Daily: 2018-01-02</t>
  </si>
  <si>
    <t>2018-03-29</t>
  </si>
  <si>
    <t>=AVERAGEIFS(Source_Oil_Daily!B:B, Year=A162, Quarter=B162)</t>
  </si>
  <si>
    <t>Daily: 2018-04-03</t>
  </si>
  <si>
    <t>2018-06-29</t>
  </si>
  <si>
    <t>=AVERAGEIFS(Source_Oil_Daily!B:B, Year=A163, Quarter=B163)</t>
  </si>
  <si>
    <t>Daily: 2018-07-02</t>
  </si>
  <si>
    <t>2018-09-28</t>
  </si>
  <si>
    <t>=AVERAGEIFS(Source_Oil_Daily!B:B, Year=A164, Quarter=B164)</t>
  </si>
  <si>
    <t>Daily: 2018-10-01</t>
  </si>
  <si>
    <t>2018-12-31</t>
  </si>
  <si>
    <t>=AVERAGEIFS(Source_Oil_Daily!B:B, Year=A165, Quarter=B165)</t>
  </si>
  <si>
    <t>Daily: 2019-01-01</t>
  </si>
  <si>
    <t>2019-03-29</t>
  </si>
  <si>
    <t>=AVERAGEIFS(Source_Oil_Daily!B:B, Year=A166, Quarter=B166)</t>
  </si>
  <si>
    <t>Daily: 2019-04-01</t>
  </si>
  <si>
    <t>2019-06-28</t>
  </si>
  <si>
    <t>=AVERAGEIFS(Source_Oil_Daily!B:B, Year=A167, Quarter=B167)</t>
  </si>
  <si>
    <t>Daily: 2019-07-01</t>
  </si>
  <si>
    <t>2019-09-30</t>
  </si>
  <si>
    <t>=AVERAGEIFS(Source_Oil_Daily!B:B, Year=A168, Quarter=B168)</t>
  </si>
  <si>
    <t>Daily: 2019-10-01</t>
  </si>
  <si>
    <t>2019-12-31</t>
  </si>
  <si>
    <t>=AVERAGEIFS(Source_Oil_Daily!B:B, Year=A169, Quarter=B169)</t>
  </si>
  <si>
    <t>Daily: 2020-01-01</t>
  </si>
  <si>
    <t>2020-03-31</t>
  </si>
  <si>
    <t>=AVERAGEIFS(Source_Oil_Daily!B:B, Year=A170, Quarter=B170)</t>
  </si>
  <si>
    <t>Daily: 2020-04-01</t>
  </si>
  <si>
    <t>2020-06-30</t>
  </si>
  <si>
    <t>=AVERAGEIFS(Source_Oil_Daily!B:B, Year=A171, Quarter=B171)</t>
  </si>
  <si>
    <t>Daily: 2020-07-01</t>
  </si>
  <si>
    <t>2020-09-30</t>
  </si>
  <si>
    <t>=AVERAGEIFS(Source_Oil_Daily!B:B, Year=A172, Quarter=B172)</t>
  </si>
  <si>
    <t>Daily: 2020-10-01</t>
  </si>
  <si>
    <t>2020-12-31</t>
  </si>
  <si>
    <t>=AVERAGEIFS(Source_Oil_Daily!B:B, Year=A173, Quarter=B173)</t>
  </si>
  <si>
    <t>Daily: 2021-01-04</t>
  </si>
  <si>
    <t>2021-03-31</t>
  </si>
  <si>
    <t>=AVERAGEIFS(Source_Oil_Daily!B:B, Year=A174, Quarter=B174)</t>
  </si>
  <si>
    <t>Daily: 2021-04-01</t>
  </si>
  <si>
    <t>2021-06-30</t>
  </si>
  <si>
    <t>=AVERAGEIFS(Source_Oil_Daily!B:B, Year=A175, Quarter=B175)</t>
  </si>
  <si>
    <t>Daily: 2021-07-01</t>
  </si>
  <si>
    <t>2021-09-30</t>
  </si>
  <si>
    <t>=AVERAGEIFS(Source_Oil_Daily!B:B, Year=A176, Quarter=B176)</t>
  </si>
  <si>
    <t>Daily: 2021-10-01</t>
  </si>
  <si>
    <t>2021-12-31</t>
  </si>
  <si>
    <t>=AVERAGEIFS(Source_Oil_Daily!B:B, Year=A177, Quarter=B177)</t>
  </si>
  <si>
    <t>Daily: 2022-01-04</t>
  </si>
  <si>
    <t>2022-03-31</t>
  </si>
  <si>
    <t>=AVERAGEIFS(Source_Oil_Daily!B:B, Year=A178, Quarter=B178)</t>
  </si>
  <si>
    <t>Daily: 2022-04-01</t>
  </si>
  <si>
    <t>2022-06-30</t>
  </si>
  <si>
    <t>=AVERAGEIFS(Source_Oil_Daily!B:B, Year=A179, Quarter=B179)</t>
  </si>
  <si>
    <t>Daily: 2022-07-01</t>
  </si>
  <si>
    <t>2022-09-30</t>
  </si>
  <si>
    <t>=AVERAGEIFS(Source_Oil_Daily!B:B, Year=A180, Quarter=B180)</t>
  </si>
  <si>
    <t>Daily: 2022-10-03</t>
  </si>
  <si>
    <t>2022-12-30</t>
  </si>
  <si>
    <t>=AVERAGEIFS(Source_Oil_Daily!B:B, Year=A181, Quarter=B181)</t>
  </si>
  <si>
    <t>Daily: 2023-01-03</t>
  </si>
  <si>
    <t>2023-03-31</t>
  </si>
  <si>
    <t>=AVERAGEIFS(Source_Oil_Daily!B:B, Year=A182, Quarter=B182)</t>
  </si>
  <si>
    <t>Daily: 2023-04-03</t>
  </si>
  <si>
    <t>2023-06-30</t>
  </si>
  <si>
    <t>=AVERAGEIFS(Source_Oil_Daily!B:B, Year=A183, Quarter=B183)</t>
  </si>
  <si>
    <t>Daily: 2023-07-03</t>
  </si>
  <si>
    <t>2023-09-29</t>
  </si>
  <si>
    <t>=AVERAGEIFS(Source_Oil_Daily!B:B, Year=A184, Quarter=B184)</t>
  </si>
  <si>
    <t>Daily: 2023-10-02</t>
  </si>
  <si>
    <t>2023-12-29</t>
  </si>
  <si>
    <t>=AVERAGEIFS(Source_Oil_Daily!B:B, Year=A185, Quarter=B185)</t>
  </si>
  <si>
    <t>Daily: 2024-01-02</t>
  </si>
  <si>
    <t>2024-03-28</t>
  </si>
  <si>
    <t>=AVERAGEIFS(Source_Oil_Daily!B:B, Year=A186, Quarter=B186)</t>
  </si>
  <si>
    <t>Daily: 2024-04-02</t>
  </si>
  <si>
    <t>2024-06-28</t>
  </si>
  <si>
    <t>=AVERAGEIFS(Source_Oil_Daily!B:B, Year=A187, Quarter=B187)</t>
  </si>
  <si>
    <t>Daily: 2024-07-01</t>
  </si>
  <si>
    <t>2024-09-30</t>
  </si>
  <si>
    <t>=AVERAGEIFS(Source_Oil_Daily!B:B, Year=A188, Quarter=B188)</t>
  </si>
  <si>
    <t>Daily: 2024-10-01</t>
  </si>
  <si>
    <t>2024-12-31</t>
  </si>
  <si>
    <t>=AVERAGEIFS(Source_Oil_Daily!B:B, Year=A189, Quarter=B189)</t>
  </si>
  <si>
    <t>Daily: 2025-01-02</t>
  </si>
  <si>
    <t>2025-03-31</t>
  </si>
  <si>
    <t>=AVERAGEIFS(Source_Oil_Daily!B:B, Year=A190, Quarter=B190)</t>
  </si>
  <si>
    <t>Daily: 2025-04-01</t>
  </si>
  <si>
    <t>2025-06-30</t>
  </si>
  <si>
    <t>=AVERAGEIFS(Source_Oil_Daily!B:B, Year=A191, Quarter=B191)</t>
  </si>
  <si>
    <t>Daily: 2025-07-01</t>
  </si>
  <si>
    <t>2025-09-30</t>
  </si>
  <si>
    <t>=AVERAGEIFS(Source_Oil_Daily!B:B, Year=A192, Quarter=B192)</t>
  </si>
  <si>
    <t>Daily: 2025-10-01</t>
  </si>
  <si>
    <t>2025-12-31</t>
  </si>
  <si>
    <t>=AVERAGEIFS(Source_Oil_Daily!B:B, Year=A193, Quarter=B193)</t>
  </si>
  <si>
    <t>Daily: 2026-01-02</t>
  </si>
  <si>
    <t>2026-03-31</t>
  </si>
  <si>
    <t>=AVERAGEIFS(Source_Oil_Daily!B:B, Year=A194, Quarter=B194)</t>
  </si>
  <si>
    <t>Daily: 2026-04-01</t>
  </si>
  <si>
    <t>2026-06-30</t>
  </si>
  <si>
    <t>=AVERAGEIFS(Source_Oil_Daily!B:B, Year=A195, Quarter=B195)</t>
  </si>
  <si>
    <t>Daily: 2026-07-01</t>
  </si>
  <si>
    <t>2026-09-30</t>
  </si>
  <si>
    <t>=AVERAGEIFS(Source_Oil_Daily!B:B, Year=A196, Quarter=B196)</t>
  </si>
  <si>
    <t>Daily: 2026-10-01</t>
  </si>
  <si>
    <t>2026-10-17</t>
  </si>
  <si>
    <t>=AVERAGEIFS(Source_Oil_Daily!B:B, Year=A197, Quarter=B197)</t>
  </si>
  <si>
    <t>#</t>
  </si>
  <si>
    <t>Category</t>
  </si>
  <si>
    <t>Variable / Sheet</t>
  </si>
  <si>
    <t>Finding</t>
  </si>
  <si>
    <t>Records Affected</t>
  </si>
  <si>
    <t>Action Taken / Recommendation</t>
  </si>
  <si>
    <t>Missing values</t>
  </si>
  <si>
    <t>No blank or non-numeric values found in Date or value columns.</t>
  </si>
  <si>
    <t>0</t>
  </si>
  <si>
    <t>None required.</t>
  </si>
  <si>
    <t>CPI inflation</t>
  </si>
  <si>
    <t>WPI inflation</t>
  </si>
  <si>
    <t>Oil benchmark(DAILY)</t>
  </si>
  <si>
    <t>Oil benchmark(MONTHLY)</t>
  </si>
  <si>
    <t>Financial source</t>
  </si>
  <si>
    <t>Duplicate records</t>
  </si>
  <si>
    <t>No duplicate dates found.</t>
  </si>
  <si>
    <t>Incomplete quarters</t>
  </si>
  <si>
    <t>USD INR, CPI, WPI, Oil (Monthly)</t>
  </si>
  <si>
    <t>Every calendar quarter 2017 Q1 – 2026 Q3 has exactly 3 valid monthly observations (39 quarters per variable).</t>
  </si>
  <si>
    <t>All monthly means based on 3 of 3 months.</t>
  </si>
  <si>
    <t>Missing quarters in master</t>
  </si>
  <si>
    <t>Master dataset</t>
  </si>
  <si>
    <t>No financial (PAT/EBITDA) data for 2017 Q1, 2017 Q2, 2026 Q3, 2026 Q4; no monthly-series data for 2026 Q4 (monthly sheets end Sep-2026).</t>
  </si>
  <si>
    <t>4 quarters (financial); 1 quarter (monthly)</t>
  </si>
  <si>
    <t>Left blank – not estimated.</t>
  </si>
  <si>
    <t>Date irregularity</t>
  </si>
  <si>
    <t>33 monthly dates fall on the last business day rather than calendar month-end (e.g. 2017-04-28). Month assignment unaffected.</t>
  </si>
  <si>
    <t>33 rows</t>
  </si>
  <si>
    <t>Allocated by month of date; no change.</t>
  </si>
  <si>
    <t>Aug-2026 observation is dated 2026-08-30 rather than 31-Aug. Month assignment unaffected.</t>
  </si>
  <si>
    <t>1 row</t>
  </si>
  <si>
    <t>Allocated to Aug-2026 / Q3; no change.</t>
  </si>
  <si>
    <t>Oil benchmark (DAILY)</t>
  </si>
  <si>
    <t>Observation dated 2026-10-17 is a Saturday.</t>
  </si>
  <si>
    <t>Retained and included in the Q4 2026 partial mean; please verify.</t>
  </si>
  <si>
    <t>Extreme values (review)</t>
  </si>
  <si>
    <t>PAT Margin of -371.6 (31-Dec-2020), -105.7 (31-Dec-2021), -43.6 (31-Mar-2021); EBITDA Margin of -201.4 (31-Dec-2020). Likely genuine but extreme.</t>
  </si>
  <si>
    <t>4 values</t>
  </si>
  <si>
    <t>Preserved exactly as provided; not modified.</t>
  </si>
  <si>
    <t>Unit / scale</t>
  </si>
  <si>
    <t>Financial source &amp; inflation sheets</t>
  </si>
  <si>
    <t>Units are not stated in the source (assumed % for margins/inflation; values used as given).</t>
  </si>
  <si>
    <t>n/a</t>
  </si>
  <si>
    <t>No transformation applied.</t>
  </si>
  <si>
    <t>Excluded records</t>
  </si>
  <si>
    <t>All sheets</t>
  </si>
  <si>
    <t>No records were excluded. All 117 monthly rows ×4 sheets, 2,484 daily rows and 36 financial rows were used.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</si>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</sst>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;\(#,##0.0000\);\-"/>
    <numFmt numFmtId="165" formatCode="#,##0.0000"/>
    <numFmt numFmtId="166" formatCode="yyyy\-mm\-dd"/>
    <numFmt numFmtId="167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167" fontId="3" fillId="0" borderId="1" xfId="0" applyNumberFormat="1" applyFont="1" applyBorder="1"/>
    <xf numFmtId="167" fontId="2" fillId="0" borderId="1" xfId="0" applyNumberFormat="1" applyFont="1" applyBorder="1"/>
    <xf numFmtId="0" fontId="2" fillId="0" borderId="1" xfId="0" applyFont="1" applyBorder="1" applyAlignment="1">
      <alignment vertical="top"/>
    </xf>
    <xf numFmtId="165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P\Assignment\CP_Master_Quarterly_Data.xlsx" TargetMode="External"/><Relationship Id="rId1" Type="http://schemas.openxmlformats.org/officeDocument/2006/relationships/externalLinkPath" Target="CP_Master_Quarterl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Quarterly Data"/>
      <sheetName val="Calculation Audit (2)"/>
      <sheetName val="Calculation Audit"/>
      <sheetName val="Data Quality Checks"/>
      <sheetName val="Source_Oil_Dail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>
            <v>42738</v>
          </cell>
          <cell r="B2">
            <v>55.27</v>
          </cell>
          <cell r="C2">
            <v>2017</v>
          </cell>
          <cell r="D2" t="str">
            <v>Q1</v>
          </cell>
        </row>
        <row r="3">
          <cell r="A3">
            <v>42739</v>
          </cell>
          <cell r="B3">
            <v>54.72</v>
          </cell>
          <cell r="C3">
            <v>2017</v>
          </cell>
          <cell r="D3" t="str">
            <v>Q1</v>
          </cell>
        </row>
        <row r="4">
          <cell r="A4">
            <v>42740</v>
          </cell>
          <cell r="B4">
            <v>55.16</v>
          </cell>
          <cell r="C4">
            <v>2017</v>
          </cell>
          <cell r="D4" t="str">
            <v>Q1</v>
          </cell>
        </row>
        <row r="5">
          <cell r="A5">
            <v>42741</v>
          </cell>
          <cell r="B5">
            <v>56.02</v>
          </cell>
          <cell r="C5">
            <v>2017</v>
          </cell>
          <cell r="D5" t="str">
            <v>Q1</v>
          </cell>
        </row>
        <row r="6">
          <cell r="A6">
            <v>42744</v>
          </cell>
          <cell r="B6">
            <v>54.53</v>
          </cell>
          <cell r="C6">
            <v>2017</v>
          </cell>
          <cell r="D6" t="str">
            <v>Q1</v>
          </cell>
        </row>
        <row r="7">
          <cell r="A7">
            <v>42745</v>
          </cell>
          <cell r="B7">
            <v>53.41</v>
          </cell>
          <cell r="C7">
            <v>2017</v>
          </cell>
          <cell r="D7" t="str">
            <v>Q1</v>
          </cell>
        </row>
        <row r="8">
          <cell r="A8">
            <v>42746</v>
          </cell>
          <cell r="B8">
            <v>53.72</v>
          </cell>
          <cell r="C8">
            <v>2017</v>
          </cell>
          <cell r="D8" t="str">
            <v>Q1</v>
          </cell>
        </row>
        <row r="9">
          <cell r="A9">
            <v>42747</v>
          </cell>
          <cell r="B9">
            <v>54.61</v>
          </cell>
          <cell r="C9">
            <v>2017</v>
          </cell>
          <cell r="D9" t="str">
            <v>Q1</v>
          </cell>
        </row>
        <row r="10">
          <cell r="A10">
            <v>42748</v>
          </cell>
          <cell r="B10">
            <v>54.4</v>
          </cell>
          <cell r="C10">
            <v>2017</v>
          </cell>
          <cell r="D10" t="str">
            <v>Q1</v>
          </cell>
        </row>
        <row r="11">
          <cell r="A11">
            <v>42751</v>
          </cell>
          <cell r="B11">
            <v>54.34</v>
          </cell>
          <cell r="C11">
            <v>2017</v>
          </cell>
          <cell r="D11" t="str">
            <v>Q1</v>
          </cell>
        </row>
        <row r="12">
          <cell r="A12">
            <v>42752</v>
          </cell>
          <cell r="B12">
            <v>54.72</v>
          </cell>
          <cell r="C12">
            <v>2017</v>
          </cell>
          <cell r="D12" t="str">
            <v>Q1</v>
          </cell>
        </row>
        <row r="13">
          <cell r="A13">
            <v>42753</v>
          </cell>
          <cell r="B13">
            <v>53.94</v>
          </cell>
          <cell r="C13">
            <v>2017</v>
          </cell>
          <cell r="D13" t="str">
            <v>Q1</v>
          </cell>
        </row>
        <row r="14">
          <cell r="A14">
            <v>42754</v>
          </cell>
          <cell r="B14">
            <v>53.4</v>
          </cell>
          <cell r="C14">
            <v>2017</v>
          </cell>
          <cell r="D14" t="str">
            <v>Q1</v>
          </cell>
        </row>
        <row r="15">
          <cell r="A15">
            <v>42755</v>
          </cell>
          <cell r="B15">
            <v>55.16</v>
          </cell>
          <cell r="C15">
            <v>2017</v>
          </cell>
          <cell r="D15" t="str">
            <v>Q1</v>
          </cell>
        </row>
        <row r="16">
          <cell r="A16">
            <v>42758</v>
          </cell>
          <cell r="B16">
            <v>54.97</v>
          </cell>
          <cell r="C16">
            <v>2017</v>
          </cell>
          <cell r="D16" t="str">
            <v>Q1</v>
          </cell>
        </row>
        <row r="17">
          <cell r="A17">
            <v>42759</v>
          </cell>
          <cell r="B17">
            <v>54.83</v>
          </cell>
          <cell r="C17">
            <v>2017</v>
          </cell>
          <cell r="D17" t="str">
            <v>Q1</v>
          </cell>
        </row>
        <row r="18">
          <cell r="A18">
            <v>42760</v>
          </cell>
          <cell r="B18">
            <v>54.45</v>
          </cell>
          <cell r="C18">
            <v>2017</v>
          </cell>
          <cell r="D18" t="str">
            <v>Q1</v>
          </cell>
        </row>
        <row r="19">
          <cell r="A19">
            <v>42761</v>
          </cell>
          <cell r="B19">
            <v>55.99</v>
          </cell>
          <cell r="C19">
            <v>2017</v>
          </cell>
          <cell r="D19" t="str">
            <v>Q1</v>
          </cell>
        </row>
        <row r="20">
          <cell r="A20">
            <v>42762</v>
          </cell>
          <cell r="B20">
            <v>54.99</v>
          </cell>
          <cell r="C20">
            <v>2017</v>
          </cell>
          <cell r="D20" t="str">
            <v>Q1</v>
          </cell>
        </row>
        <row r="21">
          <cell r="A21">
            <v>42765</v>
          </cell>
          <cell r="B21">
            <v>54.98</v>
          </cell>
          <cell r="C21">
            <v>2017</v>
          </cell>
          <cell r="D21" t="str">
            <v>Q1</v>
          </cell>
        </row>
        <row r="22">
          <cell r="A22">
            <v>42766</v>
          </cell>
          <cell r="B22">
            <v>55.42</v>
          </cell>
          <cell r="C22">
            <v>2017</v>
          </cell>
          <cell r="D22" t="str">
            <v>Q1</v>
          </cell>
        </row>
        <row r="23">
          <cell r="A23">
            <v>42767</v>
          </cell>
          <cell r="B23">
            <v>55.9</v>
          </cell>
          <cell r="C23">
            <v>2017</v>
          </cell>
          <cell r="D23" t="str">
            <v>Q1</v>
          </cell>
        </row>
        <row r="24">
          <cell r="A24">
            <v>42768</v>
          </cell>
          <cell r="B24">
            <v>55.99</v>
          </cell>
          <cell r="C24">
            <v>2017</v>
          </cell>
          <cell r="D24" t="str">
            <v>Q1</v>
          </cell>
        </row>
        <row r="25">
          <cell r="A25">
            <v>42769</v>
          </cell>
          <cell r="B25">
            <v>55.84</v>
          </cell>
          <cell r="C25">
            <v>2017</v>
          </cell>
          <cell r="D25" t="str">
            <v>Q1</v>
          </cell>
        </row>
        <row r="26">
          <cell r="A26">
            <v>42772</v>
          </cell>
          <cell r="B26">
            <v>55.02</v>
          </cell>
          <cell r="C26">
            <v>2017</v>
          </cell>
          <cell r="D26" t="str">
            <v>Q1</v>
          </cell>
        </row>
        <row r="27">
          <cell r="A27">
            <v>42773</v>
          </cell>
          <cell r="B27">
            <v>53.82</v>
          </cell>
          <cell r="C27">
            <v>2017</v>
          </cell>
          <cell r="D27" t="str">
            <v>Q1</v>
          </cell>
        </row>
        <row r="28">
          <cell r="A28">
            <v>42774</v>
          </cell>
          <cell r="B28">
            <v>54.45</v>
          </cell>
          <cell r="C28">
            <v>2017</v>
          </cell>
          <cell r="D28" t="str">
            <v>Q1</v>
          </cell>
        </row>
        <row r="29">
          <cell r="A29">
            <v>42775</v>
          </cell>
          <cell r="B29">
            <v>54.03</v>
          </cell>
          <cell r="C29">
            <v>2017</v>
          </cell>
          <cell r="D29" t="str">
            <v>Q1</v>
          </cell>
        </row>
        <row r="30">
          <cell r="A30">
            <v>42776</v>
          </cell>
          <cell r="B30">
            <v>55.15</v>
          </cell>
          <cell r="C30">
            <v>2017</v>
          </cell>
          <cell r="D30" t="str">
            <v>Q1</v>
          </cell>
        </row>
        <row r="31">
          <cell r="A31">
            <v>42779</v>
          </cell>
          <cell r="B31">
            <v>54.16</v>
          </cell>
          <cell r="C31">
            <v>2017</v>
          </cell>
          <cell r="D31" t="str">
            <v>Q1</v>
          </cell>
        </row>
        <row r="32">
          <cell r="A32">
            <v>42780</v>
          </cell>
          <cell r="B32">
            <v>54.96</v>
          </cell>
          <cell r="C32">
            <v>2017</v>
          </cell>
          <cell r="D32" t="str">
            <v>Q1</v>
          </cell>
        </row>
        <row r="33">
          <cell r="A33">
            <v>42781</v>
          </cell>
          <cell r="B33">
            <v>54.57</v>
          </cell>
          <cell r="C33">
            <v>2017</v>
          </cell>
          <cell r="D33" t="str">
            <v>Q1</v>
          </cell>
        </row>
        <row r="34">
          <cell r="A34">
            <v>42782</v>
          </cell>
          <cell r="B34">
            <v>54.11</v>
          </cell>
          <cell r="C34">
            <v>2017</v>
          </cell>
          <cell r="D34" t="str">
            <v>Q1</v>
          </cell>
        </row>
        <row r="35">
          <cell r="A35">
            <v>42783</v>
          </cell>
          <cell r="B35">
            <v>54.45</v>
          </cell>
          <cell r="C35">
            <v>2017</v>
          </cell>
          <cell r="D35" t="str">
            <v>Q1</v>
          </cell>
        </row>
        <row r="36">
          <cell r="A36">
            <v>42786</v>
          </cell>
          <cell r="B36">
            <v>55.21</v>
          </cell>
          <cell r="C36">
            <v>2017</v>
          </cell>
          <cell r="D36" t="str">
            <v>Q1</v>
          </cell>
        </row>
        <row r="37">
          <cell r="A37">
            <v>42787</v>
          </cell>
          <cell r="B37">
            <v>56.38</v>
          </cell>
          <cell r="C37">
            <v>2017</v>
          </cell>
          <cell r="D37" t="str">
            <v>Q1</v>
          </cell>
        </row>
        <row r="38">
          <cell r="A38">
            <v>42788</v>
          </cell>
          <cell r="B38">
            <v>55.03</v>
          </cell>
          <cell r="C38">
            <v>2017</v>
          </cell>
          <cell r="D38" t="str">
            <v>Q1</v>
          </cell>
        </row>
        <row r="39">
          <cell r="A39">
            <v>42789</v>
          </cell>
          <cell r="B39">
            <v>55.9</v>
          </cell>
          <cell r="C39">
            <v>2017</v>
          </cell>
          <cell r="D39" t="str">
            <v>Q1</v>
          </cell>
        </row>
        <row r="40">
          <cell r="A40">
            <v>42790</v>
          </cell>
          <cell r="B40">
            <v>54.78</v>
          </cell>
          <cell r="C40">
            <v>2017</v>
          </cell>
          <cell r="D40" t="str">
            <v>Q1</v>
          </cell>
        </row>
        <row r="41">
          <cell r="A41">
            <v>42793</v>
          </cell>
          <cell r="B41">
            <v>54.67</v>
          </cell>
          <cell r="C41">
            <v>2017</v>
          </cell>
          <cell r="D41" t="str">
            <v>Q1</v>
          </cell>
        </row>
        <row r="42">
          <cell r="A42">
            <v>42794</v>
          </cell>
          <cell r="B42">
            <v>53.38</v>
          </cell>
          <cell r="C42">
            <v>2017</v>
          </cell>
          <cell r="D42" t="str">
            <v>Q1</v>
          </cell>
        </row>
        <row r="43">
          <cell r="A43">
            <v>42795</v>
          </cell>
          <cell r="B43">
            <v>55.72</v>
          </cell>
          <cell r="C43">
            <v>2017</v>
          </cell>
          <cell r="D43" t="str">
            <v>Q1</v>
          </cell>
        </row>
        <row r="44">
          <cell r="A44">
            <v>42796</v>
          </cell>
          <cell r="B44">
            <v>54.23</v>
          </cell>
          <cell r="C44">
            <v>2017</v>
          </cell>
          <cell r="D44" t="str">
            <v>Q1</v>
          </cell>
        </row>
        <row r="45">
          <cell r="A45">
            <v>42797</v>
          </cell>
          <cell r="B45">
            <v>54.06</v>
          </cell>
          <cell r="C45">
            <v>2017</v>
          </cell>
          <cell r="D45" t="str">
            <v>Q1</v>
          </cell>
        </row>
        <row r="46">
          <cell r="A46">
            <v>42800</v>
          </cell>
          <cell r="B46">
            <v>54.65</v>
          </cell>
          <cell r="C46">
            <v>2017</v>
          </cell>
          <cell r="D46" t="str">
            <v>Q1</v>
          </cell>
        </row>
        <row r="47">
          <cell r="A47">
            <v>42801</v>
          </cell>
          <cell r="B47">
            <v>54.52</v>
          </cell>
          <cell r="C47">
            <v>2017</v>
          </cell>
          <cell r="D47" t="str">
            <v>Q1</v>
          </cell>
        </row>
        <row r="48">
          <cell r="A48">
            <v>42802</v>
          </cell>
          <cell r="B48">
            <v>53.21</v>
          </cell>
          <cell r="C48">
            <v>2017</v>
          </cell>
          <cell r="D48" t="str">
            <v>Q1</v>
          </cell>
        </row>
        <row r="49">
          <cell r="A49">
            <v>42803</v>
          </cell>
          <cell r="B49">
            <v>50.85</v>
          </cell>
          <cell r="C49">
            <v>2017</v>
          </cell>
          <cell r="D49" t="str">
            <v>Q1</v>
          </cell>
        </row>
        <row r="50">
          <cell r="A50">
            <v>42804</v>
          </cell>
          <cell r="B50">
            <v>50.88</v>
          </cell>
          <cell r="C50">
            <v>2017</v>
          </cell>
          <cell r="D50" t="str">
            <v>Q1</v>
          </cell>
        </row>
        <row r="51">
          <cell r="A51">
            <v>42807</v>
          </cell>
          <cell r="B51">
            <v>50.38</v>
          </cell>
          <cell r="C51">
            <v>2017</v>
          </cell>
          <cell r="D51" t="str">
            <v>Q1</v>
          </cell>
        </row>
        <row r="52">
          <cell r="A52">
            <v>42808</v>
          </cell>
          <cell r="B52">
            <v>49.83</v>
          </cell>
          <cell r="C52">
            <v>2017</v>
          </cell>
          <cell r="D52" t="str">
            <v>Q1</v>
          </cell>
        </row>
        <row r="53">
          <cell r="A53">
            <v>42809</v>
          </cell>
          <cell r="B53">
            <v>50.67</v>
          </cell>
          <cell r="C53">
            <v>2017</v>
          </cell>
          <cell r="D53" t="str">
            <v>Q1</v>
          </cell>
        </row>
        <row r="54">
          <cell r="A54">
            <v>42810</v>
          </cell>
          <cell r="B54">
            <v>50.6</v>
          </cell>
          <cell r="C54">
            <v>2017</v>
          </cell>
          <cell r="D54" t="str">
            <v>Q1</v>
          </cell>
        </row>
        <row r="55">
          <cell r="A55">
            <v>42811</v>
          </cell>
          <cell r="B55">
            <v>50.62</v>
          </cell>
          <cell r="C55">
            <v>2017</v>
          </cell>
          <cell r="D55" t="str">
            <v>Q1</v>
          </cell>
        </row>
        <row r="56">
          <cell r="A56">
            <v>42814</v>
          </cell>
          <cell r="B56">
            <v>50.82</v>
          </cell>
          <cell r="C56">
            <v>2017</v>
          </cell>
          <cell r="D56" t="str">
            <v>Q1</v>
          </cell>
        </row>
        <row r="57">
          <cell r="A57">
            <v>42815</v>
          </cell>
          <cell r="B57">
            <v>50.37</v>
          </cell>
          <cell r="C57">
            <v>2017</v>
          </cell>
          <cell r="D57" t="str">
            <v>Q1</v>
          </cell>
        </row>
        <row r="58">
          <cell r="A58">
            <v>42816</v>
          </cell>
          <cell r="B58">
            <v>49.83</v>
          </cell>
          <cell r="C58">
            <v>2017</v>
          </cell>
          <cell r="D58" t="str">
            <v>Q1</v>
          </cell>
        </row>
        <row r="59">
          <cell r="A59">
            <v>42817</v>
          </cell>
          <cell r="B59">
            <v>50.43</v>
          </cell>
          <cell r="C59">
            <v>2017</v>
          </cell>
          <cell r="D59" t="str">
            <v>Q1</v>
          </cell>
        </row>
        <row r="60">
          <cell r="A60">
            <v>42818</v>
          </cell>
          <cell r="B60">
            <v>50.24</v>
          </cell>
          <cell r="C60">
            <v>2017</v>
          </cell>
          <cell r="D60" t="str">
            <v>Q1</v>
          </cell>
        </row>
        <row r="61">
          <cell r="A61">
            <v>42821</v>
          </cell>
          <cell r="B61">
            <v>50.38</v>
          </cell>
          <cell r="C61">
            <v>2017</v>
          </cell>
          <cell r="D61" t="str">
            <v>Q1</v>
          </cell>
        </row>
        <row r="62">
          <cell r="A62">
            <v>42822</v>
          </cell>
          <cell r="B62">
            <v>50.85</v>
          </cell>
          <cell r="C62">
            <v>2017</v>
          </cell>
          <cell r="D62" t="str">
            <v>Q1</v>
          </cell>
        </row>
        <row r="63">
          <cell r="A63">
            <v>42823</v>
          </cell>
          <cell r="B63">
            <v>51.5</v>
          </cell>
          <cell r="C63">
            <v>2017</v>
          </cell>
          <cell r="D63" t="str">
            <v>Q1</v>
          </cell>
        </row>
        <row r="64">
          <cell r="A64">
            <v>42824</v>
          </cell>
          <cell r="B64">
            <v>52.34</v>
          </cell>
          <cell r="C64">
            <v>2017</v>
          </cell>
          <cell r="D64" t="str">
            <v>Q1</v>
          </cell>
        </row>
        <row r="65">
          <cell r="A65">
            <v>42825</v>
          </cell>
          <cell r="B65">
            <v>52.32</v>
          </cell>
          <cell r="C65">
            <v>2017</v>
          </cell>
          <cell r="D65" t="str">
            <v>Q1</v>
          </cell>
        </row>
        <row r="66">
          <cell r="A66">
            <v>42828</v>
          </cell>
          <cell r="B66">
            <v>52.16</v>
          </cell>
          <cell r="C66">
            <v>2017</v>
          </cell>
          <cell r="D66" t="str">
            <v>Q2</v>
          </cell>
        </row>
        <row r="67">
          <cell r="A67">
            <v>42829</v>
          </cell>
          <cell r="B67">
            <v>53.19</v>
          </cell>
          <cell r="C67">
            <v>2017</v>
          </cell>
          <cell r="D67" t="str">
            <v>Q2</v>
          </cell>
        </row>
        <row r="68">
          <cell r="A68">
            <v>42830</v>
          </cell>
          <cell r="B68">
            <v>53.52</v>
          </cell>
          <cell r="C68">
            <v>2017</v>
          </cell>
          <cell r="D68" t="str">
            <v>Q2</v>
          </cell>
        </row>
        <row r="69">
          <cell r="A69">
            <v>42831</v>
          </cell>
          <cell r="B69">
            <v>53.69</v>
          </cell>
          <cell r="C69">
            <v>2017</v>
          </cell>
          <cell r="D69" t="str">
            <v>Q2</v>
          </cell>
        </row>
        <row r="70">
          <cell r="A70">
            <v>42832</v>
          </cell>
          <cell r="B70">
            <v>54.3</v>
          </cell>
          <cell r="C70">
            <v>2017</v>
          </cell>
          <cell r="D70" t="str">
            <v>Q2</v>
          </cell>
        </row>
        <row r="71">
          <cell r="A71">
            <v>42835</v>
          </cell>
          <cell r="B71">
            <v>54.83</v>
          </cell>
          <cell r="C71">
            <v>2017</v>
          </cell>
          <cell r="D71" t="str">
            <v>Q2</v>
          </cell>
        </row>
        <row r="72">
          <cell r="A72">
            <v>42836</v>
          </cell>
          <cell r="B72">
            <v>54.78</v>
          </cell>
          <cell r="C72">
            <v>2017</v>
          </cell>
          <cell r="D72" t="str">
            <v>Q2</v>
          </cell>
        </row>
        <row r="73">
          <cell r="A73">
            <v>42837</v>
          </cell>
          <cell r="B73">
            <v>54.81</v>
          </cell>
          <cell r="C73">
            <v>2017</v>
          </cell>
          <cell r="D73" t="str">
            <v>Q2</v>
          </cell>
        </row>
        <row r="74">
          <cell r="A74">
            <v>42838</v>
          </cell>
          <cell r="B74">
            <v>54.73</v>
          </cell>
          <cell r="C74">
            <v>2017</v>
          </cell>
          <cell r="D74" t="str">
            <v>Q2</v>
          </cell>
        </row>
        <row r="75">
          <cell r="A75">
            <v>42842</v>
          </cell>
          <cell r="B75">
            <v>55.1</v>
          </cell>
          <cell r="C75">
            <v>2017</v>
          </cell>
          <cell r="D75" t="str">
            <v>Q2</v>
          </cell>
        </row>
        <row r="76">
          <cell r="A76">
            <v>42843</v>
          </cell>
          <cell r="B76">
            <v>52.54</v>
          </cell>
          <cell r="C76">
            <v>2017</v>
          </cell>
          <cell r="D76" t="str">
            <v>Q2</v>
          </cell>
        </row>
        <row r="77">
          <cell r="A77">
            <v>42844</v>
          </cell>
          <cell r="B77">
            <v>52.33</v>
          </cell>
          <cell r="C77">
            <v>2017</v>
          </cell>
          <cell r="D77" t="str">
            <v>Q2</v>
          </cell>
        </row>
        <row r="78">
          <cell r="A78">
            <v>42845</v>
          </cell>
          <cell r="B78">
            <v>50.93</v>
          </cell>
          <cell r="C78">
            <v>2017</v>
          </cell>
          <cell r="D78" t="str">
            <v>Q2</v>
          </cell>
        </row>
        <row r="79">
          <cell r="A79">
            <v>42846</v>
          </cell>
          <cell r="B79">
            <v>49.96</v>
          </cell>
          <cell r="C79">
            <v>2017</v>
          </cell>
          <cell r="D79" t="str">
            <v>Q2</v>
          </cell>
        </row>
        <row r="80">
          <cell r="A80">
            <v>42849</v>
          </cell>
          <cell r="B80">
            <v>49.5</v>
          </cell>
          <cell r="C80">
            <v>2017</v>
          </cell>
          <cell r="D80" t="str">
            <v>Q2</v>
          </cell>
        </row>
        <row r="81">
          <cell r="A81">
            <v>42850</v>
          </cell>
          <cell r="B81">
            <v>49.43</v>
          </cell>
          <cell r="C81">
            <v>2017</v>
          </cell>
          <cell r="D81" t="str">
            <v>Q2</v>
          </cell>
        </row>
        <row r="82">
          <cell r="A82">
            <v>42851</v>
          </cell>
          <cell r="B82">
            <v>50.01</v>
          </cell>
          <cell r="C82">
            <v>2017</v>
          </cell>
          <cell r="D82" t="str">
            <v>Q2</v>
          </cell>
        </row>
        <row r="83">
          <cell r="A83">
            <v>42852</v>
          </cell>
          <cell r="B83">
            <v>49.66</v>
          </cell>
          <cell r="C83">
            <v>2017</v>
          </cell>
          <cell r="D83" t="str">
            <v>Q2</v>
          </cell>
        </row>
        <row r="84">
          <cell r="A84">
            <v>42853</v>
          </cell>
          <cell r="B84">
            <v>50.57</v>
          </cell>
          <cell r="C84">
            <v>2017</v>
          </cell>
          <cell r="D84" t="str">
            <v>Q2</v>
          </cell>
        </row>
        <row r="85">
          <cell r="A85">
            <v>42856</v>
          </cell>
          <cell r="B85">
            <v>50.32</v>
          </cell>
          <cell r="C85">
            <v>2017</v>
          </cell>
          <cell r="D85" t="str">
            <v>Q2</v>
          </cell>
        </row>
        <row r="86">
          <cell r="A86">
            <v>42857</v>
          </cell>
          <cell r="B86">
            <v>49.29</v>
          </cell>
          <cell r="C86">
            <v>2017</v>
          </cell>
          <cell r="D86" t="str">
            <v>Q2</v>
          </cell>
        </row>
        <row r="87">
          <cell r="A87">
            <v>42858</v>
          </cell>
          <cell r="B87">
            <v>48.96</v>
          </cell>
          <cell r="C87">
            <v>2017</v>
          </cell>
          <cell r="D87" t="str">
            <v>Q2</v>
          </cell>
        </row>
        <row r="88">
          <cell r="A88">
            <v>42859</v>
          </cell>
          <cell r="B88">
            <v>47.73</v>
          </cell>
          <cell r="C88">
            <v>2017</v>
          </cell>
          <cell r="D88" t="str">
            <v>Q2</v>
          </cell>
        </row>
        <row r="89">
          <cell r="A89">
            <v>42860</v>
          </cell>
          <cell r="B89">
            <v>47.66</v>
          </cell>
          <cell r="C89">
            <v>2017</v>
          </cell>
          <cell r="D89" t="str">
            <v>Q2</v>
          </cell>
        </row>
        <row r="90">
          <cell r="A90">
            <v>42863</v>
          </cell>
          <cell r="B90">
            <v>46.77</v>
          </cell>
          <cell r="C90">
            <v>2017</v>
          </cell>
          <cell r="D90" t="str">
            <v>Q2</v>
          </cell>
        </row>
        <row r="91">
          <cell r="A91">
            <v>42864</v>
          </cell>
          <cell r="B91">
            <v>47.2</v>
          </cell>
          <cell r="C91">
            <v>2017</v>
          </cell>
          <cell r="D91" t="str">
            <v>Q2</v>
          </cell>
        </row>
        <row r="92">
          <cell r="A92">
            <v>42865</v>
          </cell>
          <cell r="B92">
            <v>48.18</v>
          </cell>
          <cell r="C92">
            <v>2017</v>
          </cell>
          <cell r="D92" t="str">
            <v>Q2</v>
          </cell>
        </row>
        <row r="93">
          <cell r="A93">
            <v>42866</v>
          </cell>
          <cell r="B93">
            <v>49.21</v>
          </cell>
          <cell r="C93">
            <v>2017</v>
          </cell>
          <cell r="D93" t="str">
            <v>Q2</v>
          </cell>
        </row>
        <row r="94">
          <cell r="A94">
            <v>42867</v>
          </cell>
          <cell r="B94">
            <v>49.12</v>
          </cell>
          <cell r="C94">
            <v>2017</v>
          </cell>
          <cell r="D94" t="str">
            <v>Q2</v>
          </cell>
        </row>
        <row r="95">
          <cell r="A95">
            <v>42870</v>
          </cell>
          <cell r="B95">
            <v>51.47</v>
          </cell>
          <cell r="C95">
            <v>2017</v>
          </cell>
          <cell r="D95" t="str">
            <v>Q2</v>
          </cell>
        </row>
        <row r="96">
          <cell r="A96">
            <v>42871</v>
          </cell>
          <cell r="B96">
            <v>51.51</v>
          </cell>
          <cell r="C96">
            <v>2017</v>
          </cell>
          <cell r="D96" t="str">
            <v>Q2</v>
          </cell>
        </row>
        <row r="97">
          <cell r="A97">
            <v>42872</v>
          </cell>
          <cell r="B97">
            <v>51.91</v>
          </cell>
          <cell r="C97">
            <v>2017</v>
          </cell>
          <cell r="D97" t="str">
            <v>Q2</v>
          </cell>
        </row>
        <row r="98">
          <cell r="A98">
            <v>42873</v>
          </cell>
          <cell r="B98">
            <v>51.86</v>
          </cell>
          <cell r="C98">
            <v>2017</v>
          </cell>
          <cell r="D98" t="str">
            <v>Q2</v>
          </cell>
        </row>
        <row r="99">
          <cell r="A99">
            <v>42874</v>
          </cell>
          <cell r="B99">
            <v>52.94</v>
          </cell>
          <cell r="C99">
            <v>2017</v>
          </cell>
          <cell r="D99" t="str">
            <v>Q2</v>
          </cell>
        </row>
        <row r="100">
          <cell r="A100">
            <v>42877</v>
          </cell>
          <cell r="B100">
            <v>53.53</v>
          </cell>
          <cell r="C100">
            <v>2017</v>
          </cell>
          <cell r="D100" t="str">
            <v>Q2</v>
          </cell>
        </row>
        <row r="101">
          <cell r="A101">
            <v>42878</v>
          </cell>
          <cell r="B101">
            <v>53.3</v>
          </cell>
          <cell r="C101">
            <v>2017</v>
          </cell>
          <cell r="D101" t="str">
            <v>Q2</v>
          </cell>
        </row>
        <row r="102">
          <cell r="A102">
            <v>42879</v>
          </cell>
          <cell r="B102">
            <v>53.39</v>
          </cell>
          <cell r="C102">
            <v>2017</v>
          </cell>
          <cell r="D102" t="str">
            <v>Q2</v>
          </cell>
        </row>
        <row r="103">
          <cell r="A103">
            <v>42880</v>
          </cell>
          <cell r="B103">
            <v>52.4</v>
          </cell>
          <cell r="C103">
            <v>2017</v>
          </cell>
          <cell r="D103" t="str">
            <v>Q2</v>
          </cell>
        </row>
        <row r="104">
          <cell r="A104">
            <v>42881</v>
          </cell>
          <cell r="B104">
            <v>51.05</v>
          </cell>
          <cell r="C104">
            <v>2017</v>
          </cell>
          <cell r="D104" t="str">
            <v>Q2</v>
          </cell>
        </row>
        <row r="105">
          <cell r="A105">
            <v>42884</v>
          </cell>
          <cell r="B105">
            <v>51.82</v>
          </cell>
          <cell r="C105">
            <v>2017</v>
          </cell>
          <cell r="D105" t="str">
            <v>Q2</v>
          </cell>
        </row>
        <row r="106">
          <cell r="A106">
            <v>42885</v>
          </cell>
          <cell r="B106">
            <v>50.81</v>
          </cell>
          <cell r="C106">
            <v>2017</v>
          </cell>
          <cell r="D106" t="str">
            <v>Q2</v>
          </cell>
        </row>
        <row r="107">
          <cell r="A107">
            <v>42886</v>
          </cell>
          <cell r="B107">
            <v>49.67</v>
          </cell>
          <cell r="C107">
            <v>2017</v>
          </cell>
          <cell r="D107" t="str">
            <v>Q2</v>
          </cell>
        </row>
        <row r="108">
          <cell r="A108">
            <v>42887</v>
          </cell>
          <cell r="B108">
            <v>50.67</v>
          </cell>
          <cell r="C108">
            <v>2017</v>
          </cell>
          <cell r="D108" t="str">
            <v>Q2</v>
          </cell>
        </row>
        <row r="109">
          <cell r="A109">
            <v>42888</v>
          </cell>
          <cell r="B109">
            <v>48.63</v>
          </cell>
          <cell r="C109">
            <v>2017</v>
          </cell>
          <cell r="D109" t="str">
            <v>Q2</v>
          </cell>
        </row>
        <row r="110">
          <cell r="A110">
            <v>42891</v>
          </cell>
          <cell r="B110">
            <v>48.43</v>
          </cell>
          <cell r="C110">
            <v>2017</v>
          </cell>
          <cell r="D110" t="str">
            <v>Q2</v>
          </cell>
        </row>
        <row r="111">
          <cell r="A111">
            <v>42892</v>
          </cell>
          <cell r="B111">
            <v>48.56</v>
          </cell>
          <cell r="C111">
            <v>2017</v>
          </cell>
          <cell r="D111" t="str">
            <v>Q2</v>
          </cell>
        </row>
        <row r="112">
          <cell r="A112">
            <v>42893</v>
          </cell>
          <cell r="B112">
            <v>47.48</v>
          </cell>
          <cell r="C112">
            <v>2017</v>
          </cell>
          <cell r="D112" t="str">
            <v>Q2</v>
          </cell>
        </row>
        <row r="113">
          <cell r="A113">
            <v>42894</v>
          </cell>
          <cell r="B113">
            <v>46.68</v>
          </cell>
          <cell r="C113">
            <v>2017</v>
          </cell>
          <cell r="D113" t="str">
            <v>Q2</v>
          </cell>
        </row>
        <row r="114">
          <cell r="A114">
            <v>42895</v>
          </cell>
          <cell r="B114">
            <v>46.99</v>
          </cell>
          <cell r="C114">
            <v>2017</v>
          </cell>
          <cell r="D114" t="str">
            <v>Q2</v>
          </cell>
        </row>
        <row r="115">
          <cell r="A115">
            <v>42898</v>
          </cell>
          <cell r="B115">
            <v>47.45</v>
          </cell>
          <cell r="C115">
            <v>2017</v>
          </cell>
          <cell r="D115" t="str">
            <v>Q2</v>
          </cell>
        </row>
        <row r="116">
          <cell r="A116">
            <v>42899</v>
          </cell>
          <cell r="B116">
            <v>47.34</v>
          </cell>
          <cell r="C116">
            <v>2017</v>
          </cell>
          <cell r="D116" t="str">
            <v>Q2</v>
          </cell>
        </row>
        <row r="117">
          <cell r="A117">
            <v>42900</v>
          </cell>
          <cell r="B117">
            <v>45.9</v>
          </cell>
          <cell r="C117">
            <v>2017</v>
          </cell>
          <cell r="D117" t="str">
            <v>Q2</v>
          </cell>
        </row>
        <row r="118">
          <cell r="A118">
            <v>42901</v>
          </cell>
          <cell r="B118">
            <v>46.03</v>
          </cell>
          <cell r="C118">
            <v>2017</v>
          </cell>
          <cell r="D118" t="str">
            <v>Q2</v>
          </cell>
        </row>
        <row r="119">
          <cell r="A119">
            <v>42902</v>
          </cell>
          <cell r="B119">
            <v>46.17</v>
          </cell>
          <cell r="C119">
            <v>2017</v>
          </cell>
          <cell r="D119" t="str">
            <v>Q2</v>
          </cell>
        </row>
        <row r="120">
          <cell r="A120">
            <v>42905</v>
          </cell>
          <cell r="B120">
            <v>46.31</v>
          </cell>
          <cell r="C120">
            <v>2017</v>
          </cell>
          <cell r="D120" t="str">
            <v>Q2</v>
          </cell>
        </row>
        <row r="121">
          <cell r="A121">
            <v>42906</v>
          </cell>
          <cell r="B121">
            <v>44.34</v>
          </cell>
          <cell r="C121">
            <v>2017</v>
          </cell>
          <cell r="D121" t="str">
            <v>Q2</v>
          </cell>
        </row>
        <row r="122">
          <cell r="A122">
            <v>42907</v>
          </cell>
          <cell r="B122">
            <v>45.06</v>
          </cell>
          <cell r="C122">
            <v>2017</v>
          </cell>
          <cell r="D122" t="str">
            <v>Q2</v>
          </cell>
        </row>
        <row r="123">
          <cell r="A123">
            <v>42908</v>
          </cell>
          <cell r="B123">
            <v>44.85</v>
          </cell>
          <cell r="C123">
            <v>2017</v>
          </cell>
          <cell r="D123" t="str">
            <v>Q2</v>
          </cell>
        </row>
        <row r="124">
          <cell r="A124">
            <v>42909</v>
          </cell>
          <cell r="B124">
            <v>44.54</v>
          </cell>
          <cell r="C124">
            <v>2017</v>
          </cell>
          <cell r="D124" t="str">
            <v>Q2</v>
          </cell>
        </row>
        <row r="125">
          <cell r="A125">
            <v>42912</v>
          </cell>
          <cell r="B125">
            <v>44.5</v>
          </cell>
          <cell r="C125">
            <v>2017</v>
          </cell>
          <cell r="D125" t="str">
            <v>Q2</v>
          </cell>
        </row>
        <row r="126">
          <cell r="A126">
            <v>42913</v>
          </cell>
          <cell r="B126">
            <v>46.69</v>
          </cell>
          <cell r="C126">
            <v>2017</v>
          </cell>
          <cell r="D126" t="str">
            <v>Q2</v>
          </cell>
        </row>
        <row r="127">
          <cell r="A127">
            <v>42914</v>
          </cell>
          <cell r="B127">
            <v>46.96</v>
          </cell>
          <cell r="C127">
            <v>2017</v>
          </cell>
          <cell r="D127" t="str">
            <v>Q2</v>
          </cell>
        </row>
        <row r="128">
          <cell r="A128">
            <v>42915</v>
          </cell>
          <cell r="B128">
            <v>47.5</v>
          </cell>
          <cell r="C128">
            <v>2017</v>
          </cell>
          <cell r="D128" t="str">
            <v>Q2</v>
          </cell>
        </row>
        <row r="129">
          <cell r="A129">
            <v>42916</v>
          </cell>
          <cell r="B129">
            <v>47.58</v>
          </cell>
          <cell r="C129">
            <v>2017</v>
          </cell>
          <cell r="D129" t="str">
            <v>Q2</v>
          </cell>
        </row>
        <row r="130">
          <cell r="A130">
            <v>42919</v>
          </cell>
          <cell r="B130">
            <v>49.47</v>
          </cell>
          <cell r="C130">
            <v>2017</v>
          </cell>
          <cell r="D130" t="str">
            <v>Q3</v>
          </cell>
        </row>
        <row r="131">
          <cell r="A131">
            <v>42920</v>
          </cell>
          <cell r="B131">
            <v>49.61</v>
          </cell>
          <cell r="C131">
            <v>2017</v>
          </cell>
          <cell r="D131" t="str">
            <v>Q3</v>
          </cell>
        </row>
        <row r="132">
          <cell r="A132">
            <v>42921</v>
          </cell>
          <cell r="B132">
            <v>48.07</v>
          </cell>
          <cell r="C132">
            <v>2017</v>
          </cell>
          <cell r="D132" t="str">
            <v>Q3</v>
          </cell>
        </row>
        <row r="133">
          <cell r="A133">
            <v>42922</v>
          </cell>
          <cell r="B133">
            <v>49.07</v>
          </cell>
          <cell r="C133">
            <v>2017</v>
          </cell>
          <cell r="D133" t="str">
            <v>Q3</v>
          </cell>
        </row>
        <row r="134">
          <cell r="A134">
            <v>42923</v>
          </cell>
          <cell r="B134">
            <v>47.15</v>
          </cell>
          <cell r="C134">
            <v>2017</v>
          </cell>
          <cell r="D134" t="str">
            <v>Q3</v>
          </cell>
        </row>
        <row r="135">
          <cell r="A135">
            <v>42926</v>
          </cell>
          <cell r="B135">
            <v>47.28</v>
          </cell>
          <cell r="C135">
            <v>2017</v>
          </cell>
          <cell r="D135" t="str">
            <v>Q3</v>
          </cell>
        </row>
        <row r="136">
          <cell r="A136">
            <v>42927</v>
          </cell>
          <cell r="B136">
            <v>47.36</v>
          </cell>
          <cell r="C136">
            <v>2017</v>
          </cell>
          <cell r="D136" t="str">
            <v>Q3</v>
          </cell>
        </row>
        <row r="137">
          <cell r="A137">
            <v>42928</v>
          </cell>
          <cell r="B137">
            <v>47.41</v>
          </cell>
          <cell r="C137">
            <v>2017</v>
          </cell>
          <cell r="D137" t="str">
            <v>Q3</v>
          </cell>
        </row>
        <row r="138">
          <cell r="A138">
            <v>42929</v>
          </cell>
          <cell r="B138">
            <v>48.28</v>
          </cell>
          <cell r="C138">
            <v>2017</v>
          </cell>
          <cell r="D138" t="str">
            <v>Q3</v>
          </cell>
        </row>
        <row r="139">
          <cell r="A139">
            <v>42930</v>
          </cell>
          <cell r="B139">
            <v>48.35</v>
          </cell>
          <cell r="C139">
            <v>2017</v>
          </cell>
          <cell r="D139" t="str">
            <v>Q3</v>
          </cell>
        </row>
        <row r="140">
          <cell r="A140">
            <v>42933</v>
          </cell>
          <cell r="B140">
            <v>48.06</v>
          </cell>
          <cell r="C140">
            <v>2017</v>
          </cell>
          <cell r="D140" t="str">
            <v>Q3</v>
          </cell>
        </row>
        <row r="141">
          <cell r="A141">
            <v>42934</v>
          </cell>
          <cell r="B141">
            <v>48.31</v>
          </cell>
          <cell r="C141">
            <v>2017</v>
          </cell>
          <cell r="D141" t="str">
            <v>Q3</v>
          </cell>
        </row>
        <row r="142">
          <cell r="A142">
            <v>42935</v>
          </cell>
          <cell r="B142">
            <v>48.75</v>
          </cell>
          <cell r="C142">
            <v>2017</v>
          </cell>
          <cell r="D142" t="str">
            <v>Q3</v>
          </cell>
        </row>
        <row r="143">
          <cell r="A143">
            <v>42936</v>
          </cell>
          <cell r="B143">
            <v>49.03</v>
          </cell>
          <cell r="C143">
            <v>2017</v>
          </cell>
          <cell r="D143" t="str">
            <v>Q3</v>
          </cell>
        </row>
        <row r="144">
          <cell r="A144">
            <v>42937</v>
          </cell>
          <cell r="B144">
            <v>48.09</v>
          </cell>
          <cell r="C144">
            <v>2017</v>
          </cell>
          <cell r="D144" t="str">
            <v>Q3</v>
          </cell>
        </row>
        <row r="145">
          <cell r="A145">
            <v>42940</v>
          </cell>
          <cell r="B145">
            <v>48.38</v>
          </cell>
          <cell r="C145">
            <v>2017</v>
          </cell>
          <cell r="D145" t="str">
            <v>Q3</v>
          </cell>
        </row>
        <row r="146">
          <cell r="A146">
            <v>42941</v>
          </cell>
          <cell r="B146">
            <v>49.77</v>
          </cell>
          <cell r="C146">
            <v>2017</v>
          </cell>
          <cell r="D146" t="str">
            <v>Q3</v>
          </cell>
        </row>
        <row r="147">
          <cell r="A147">
            <v>42942</v>
          </cell>
          <cell r="B147">
            <v>50.68</v>
          </cell>
          <cell r="C147">
            <v>2017</v>
          </cell>
          <cell r="D147" t="str">
            <v>Q3</v>
          </cell>
        </row>
        <row r="148">
          <cell r="A148">
            <v>42943</v>
          </cell>
          <cell r="B148">
            <v>51.24</v>
          </cell>
          <cell r="C148">
            <v>2017</v>
          </cell>
          <cell r="D148" t="str">
            <v>Q3</v>
          </cell>
        </row>
        <row r="149">
          <cell r="A149">
            <v>42944</v>
          </cell>
          <cell r="B149">
            <v>52.5</v>
          </cell>
          <cell r="C149">
            <v>2017</v>
          </cell>
          <cell r="D149" t="str">
            <v>Q3</v>
          </cell>
        </row>
        <row r="150">
          <cell r="A150">
            <v>42947</v>
          </cell>
          <cell r="B150">
            <v>52.5</v>
          </cell>
          <cell r="C150">
            <v>2017</v>
          </cell>
          <cell r="D150" t="str">
            <v>Q3</v>
          </cell>
        </row>
        <row r="151">
          <cell r="A151">
            <v>42948</v>
          </cell>
          <cell r="B151">
            <v>51.34</v>
          </cell>
          <cell r="C151">
            <v>2017</v>
          </cell>
          <cell r="D151" t="str">
            <v>Q3</v>
          </cell>
        </row>
        <row r="152">
          <cell r="A152">
            <v>42949</v>
          </cell>
          <cell r="B152">
            <v>52.69</v>
          </cell>
          <cell r="C152">
            <v>2017</v>
          </cell>
          <cell r="D152" t="str">
            <v>Q3</v>
          </cell>
        </row>
        <row r="153">
          <cell r="A153">
            <v>42950</v>
          </cell>
          <cell r="B153">
            <v>53.46</v>
          </cell>
          <cell r="C153">
            <v>2017</v>
          </cell>
          <cell r="D153" t="str">
            <v>Q3</v>
          </cell>
        </row>
        <row r="154">
          <cell r="A154">
            <v>42951</v>
          </cell>
          <cell r="B154">
            <v>53.1</v>
          </cell>
          <cell r="C154">
            <v>2017</v>
          </cell>
          <cell r="D154" t="str">
            <v>Q3</v>
          </cell>
        </row>
        <row r="155">
          <cell r="A155">
            <v>42954</v>
          </cell>
          <cell r="B155">
            <v>52.02</v>
          </cell>
          <cell r="C155">
            <v>2017</v>
          </cell>
          <cell r="D155" t="str">
            <v>Q3</v>
          </cell>
        </row>
        <row r="156">
          <cell r="A156">
            <v>42955</v>
          </cell>
          <cell r="B156">
            <v>52.74</v>
          </cell>
          <cell r="C156">
            <v>2017</v>
          </cell>
          <cell r="D156" t="str">
            <v>Q3</v>
          </cell>
        </row>
        <row r="157">
          <cell r="A157">
            <v>42956</v>
          </cell>
          <cell r="B157">
            <v>52.79</v>
          </cell>
          <cell r="C157">
            <v>2017</v>
          </cell>
          <cell r="D157" t="str">
            <v>Q3</v>
          </cell>
        </row>
        <row r="158">
          <cell r="A158">
            <v>42957</v>
          </cell>
          <cell r="B158">
            <v>53.08</v>
          </cell>
          <cell r="C158">
            <v>2017</v>
          </cell>
          <cell r="D158" t="str">
            <v>Q3</v>
          </cell>
        </row>
        <row r="159">
          <cell r="A159">
            <v>42958</v>
          </cell>
          <cell r="B159">
            <v>52</v>
          </cell>
          <cell r="C159">
            <v>2017</v>
          </cell>
          <cell r="D159" t="str">
            <v>Q3</v>
          </cell>
        </row>
        <row r="160">
          <cell r="A160">
            <v>42961</v>
          </cell>
          <cell r="B160">
            <v>51.78</v>
          </cell>
          <cell r="C160">
            <v>2017</v>
          </cell>
          <cell r="D160" t="str">
            <v>Q3</v>
          </cell>
        </row>
        <row r="161">
          <cell r="A161">
            <v>42962</v>
          </cell>
          <cell r="B161">
            <v>50.48</v>
          </cell>
          <cell r="C161">
            <v>2017</v>
          </cell>
          <cell r="D161" t="str">
            <v>Q3</v>
          </cell>
        </row>
        <row r="162">
          <cell r="A162">
            <v>42963</v>
          </cell>
          <cell r="B162">
            <v>50.94</v>
          </cell>
          <cell r="C162">
            <v>2017</v>
          </cell>
          <cell r="D162" t="str">
            <v>Q3</v>
          </cell>
        </row>
        <row r="163">
          <cell r="A163">
            <v>42964</v>
          </cell>
          <cell r="B163">
            <v>50.92</v>
          </cell>
          <cell r="C163">
            <v>2017</v>
          </cell>
          <cell r="D163" t="str">
            <v>Q3</v>
          </cell>
        </row>
        <row r="164">
          <cell r="A164">
            <v>42965</v>
          </cell>
          <cell r="B164">
            <v>51.48</v>
          </cell>
          <cell r="C164">
            <v>2017</v>
          </cell>
          <cell r="D164" t="str">
            <v>Q3</v>
          </cell>
        </row>
        <row r="165">
          <cell r="A165">
            <v>42968</v>
          </cell>
          <cell r="B165">
            <v>52.53</v>
          </cell>
          <cell r="C165">
            <v>2017</v>
          </cell>
          <cell r="D165" t="str">
            <v>Q3</v>
          </cell>
        </row>
        <row r="166">
          <cell r="A166">
            <v>42969</v>
          </cell>
          <cell r="B166">
            <v>52.88</v>
          </cell>
          <cell r="C166">
            <v>2017</v>
          </cell>
          <cell r="D166" t="str">
            <v>Q3</v>
          </cell>
        </row>
        <row r="167">
          <cell r="A167">
            <v>42970</v>
          </cell>
          <cell r="B167">
            <v>52.88</v>
          </cell>
          <cell r="C167">
            <v>2017</v>
          </cell>
          <cell r="D167" t="str">
            <v>Q3</v>
          </cell>
        </row>
        <row r="168">
          <cell r="A168">
            <v>42971</v>
          </cell>
          <cell r="B168">
            <v>52.34</v>
          </cell>
          <cell r="C168">
            <v>2017</v>
          </cell>
          <cell r="D168" t="str">
            <v>Q3</v>
          </cell>
        </row>
        <row r="169">
          <cell r="A169">
            <v>42972</v>
          </cell>
          <cell r="B169">
            <v>52.54</v>
          </cell>
          <cell r="C169">
            <v>2017</v>
          </cell>
          <cell r="D169" t="str">
            <v>Q3</v>
          </cell>
        </row>
        <row r="170">
          <cell r="A170">
            <v>42975</v>
          </cell>
          <cell r="B170">
            <v>52.16</v>
          </cell>
          <cell r="C170">
            <v>2017</v>
          </cell>
          <cell r="D170" t="str">
            <v>Q3</v>
          </cell>
        </row>
        <row r="171">
          <cell r="A171">
            <v>42976</v>
          </cell>
          <cell r="B171">
            <v>52.45</v>
          </cell>
          <cell r="C171">
            <v>2017</v>
          </cell>
          <cell r="D171" t="str">
            <v>Q3</v>
          </cell>
        </row>
        <row r="172">
          <cell r="A172">
            <v>42977</v>
          </cell>
          <cell r="B172">
            <v>52.71</v>
          </cell>
          <cell r="C172">
            <v>2017</v>
          </cell>
          <cell r="D172" t="str">
            <v>Q3</v>
          </cell>
        </row>
        <row r="173">
          <cell r="A173">
            <v>42978</v>
          </cell>
          <cell r="B173">
            <v>53.52</v>
          </cell>
          <cell r="C173">
            <v>2017</v>
          </cell>
          <cell r="D173" t="str">
            <v>Q3</v>
          </cell>
        </row>
        <row r="174">
          <cell r="A174">
            <v>42979</v>
          </cell>
          <cell r="B174">
            <v>53.96</v>
          </cell>
          <cell r="C174">
            <v>2017</v>
          </cell>
          <cell r="D174" t="str">
            <v>Q3</v>
          </cell>
        </row>
        <row r="175">
          <cell r="A175">
            <v>42982</v>
          </cell>
          <cell r="B175">
            <v>53.43</v>
          </cell>
          <cell r="C175">
            <v>2017</v>
          </cell>
          <cell r="D175" t="str">
            <v>Q3</v>
          </cell>
        </row>
        <row r="176">
          <cell r="A176">
            <v>42983</v>
          </cell>
          <cell r="B176">
            <v>54.4</v>
          </cell>
          <cell r="C176">
            <v>2017</v>
          </cell>
          <cell r="D176" t="str">
            <v>Q3</v>
          </cell>
        </row>
        <row r="177">
          <cell r="A177">
            <v>42984</v>
          </cell>
          <cell r="B177">
            <v>55.18</v>
          </cell>
          <cell r="C177">
            <v>2017</v>
          </cell>
          <cell r="D177" t="str">
            <v>Q3</v>
          </cell>
        </row>
        <row r="178">
          <cell r="A178">
            <v>42985</v>
          </cell>
          <cell r="B178">
            <v>54.75</v>
          </cell>
          <cell r="C178">
            <v>2017</v>
          </cell>
          <cell r="D178" t="str">
            <v>Q3</v>
          </cell>
        </row>
        <row r="179">
          <cell r="A179">
            <v>42986</v>
          </cell>
          <cell r="B179">
            <v>55.27</v>
          </cell>
          <cell r="C179">
            <v>2017</v>
          </cell>
          <cell r="D179" t="str">
            <v>Q3</v>
          </cell>
        </row>
        <row r="180">
          <cell r="A180">
            <v>42989</v>
          </cell>
          <cell r="B180">
            <v>54.98</v>
          </cell>
          <cell r="C180">
            <v>2017</v>
          </cell>
          <cell r="D180" t="str">
            <v>Q3</v>
          </cell>
        </row>
        <row r="181">
          <cell r="A181">
            <v>42990</v>
          </cell>
          <cell r="B181">
            <v>55.79</v>
          </cell>
          <cell r="C181">
            <v>2017</v>
          </cell>
          <cell r="D181" t="str">
            <v>Q3</v>
          </cell>
        </row>
        <row r="182">
          <cell r="A182">
            <v>42991</v>
          </cell>
          <cell r="B182">
            <v>56.31</v>
          </cell>
          <cell r="C182">
            <v>2017</v>
          </cell>
          <cell r="D182" t="str">
            <v>Q3</v>
          </cell>
        </row>
        <row r="183">
          <cell r="A183">
            <v>42992</v>
          </cell>
          <cell r="B183">
            <v>57.42</v>
          </cell>
          <cell r="C183">
            <v>2017</v>
          </cell>
          <cell r="D183" t="str">
            <v>Q3</v>
          </cell>
        </row>
        <row r="184">
          <cell r="A184">
            <v>42993</v>
          </cell>
          <cell r="B184">
            <v>56.91</v>
          </cell>
          <cell r="C184">
            <v>2017</v>
          </cell>
          <cell r="D184" t="str">
            <v>Q3</v>
          </cell>
        </row>
        <row r="185">
          <cell r="A185">
            <v>42996</v>
          </cell>
          <cell r="B185">
            <v>56.35</v>
          </cell>
          <cell r="C185">
            <v>2017</v>
          </cell>
          <cell r="D185" t="str">
            <v>Q3</v>
          </cell>
        </row>
        <row r="186">
          <cell r="A186">
            <v>42997</v>
          </cell>
          <cell r="B186">
            <v>57.42</v>
          </cell>
          <cell r="C186">
            <v>2017</v>
          </cell>
          <cell r="D186" t="str">
            <v>Q3</v>
          </cell>
        </row>
        <row r="187">
          <cell r="A187">
            <v>42998</v>
          </cell>
          <cell r="B187">
            <v>58.05</v>
          </cell>
          <cell r="C187">
            <v>2017</v>
          </cell>
          <cell r="D187" t="str">
            <v>Q3</v>
          </cell>
        </row>
        <row r="188">
          <cell r="A188">
            <v>42999</v>
          </cell>
          <cell r="B188">
            <v>58.2</v>
          </cell>
          <cell r="C188">
            <v>2017</v>
          </cell>
          <cell r="D188" t="str">
            <v>Q3</v>
          </cell>
        </row>
        <row r="189">
          <cell r="A189">
            <v>43000</v>
          </cell>
          <cell r="B189">
            <v>58.72</v>
          </cell>
          <cell r="C189">
            <v>2017</v>
          </cell>
          <cell r="D189" t="str">
            <v>Q3</v>
          </cell>
        </row>
        <row r="190">
          <cell r="A190">
            <v>43003</v>
          </cell>
          <cell r="B190">
            <v>59.85</v>
          </cell>
          <cell r="C190">
            <v>2017</v>
          </cell>
          <cell r="D190" t="str">
            <v>Q3</v>
          </cell>
        </row>
        <row r="191">
          <cell r="A191">
            <v>43004</v>
          </cell>
          <cell r="B191">
            <v>60.19</v>
          </cell>
          <cell r="C191">
            <v>2017</v>
          </cell>
          <cell r="D191" t="str">
            <v>Q3</v>
          </cell>
        </row>
        <row r="192">
          <cell r="A192">
            <v>43005</v>
          </cell>
          <cell r="B192">
            <v>59.31</v>
          </cell>
          <cell r="C192">
            <v>2017</v>
          </cell>
          <cell r="D192" t="str">
            <v>Q3</v>
          </cell>
        </row>
        <row r="193">
          <cell r="A193">
            <v>43006</v>
          </cell>
          <cell r="B193">
            <v>59.37</v>
          </cell>
          <cell r="C193">
            <v>2017</v>
          </cell>
          <cell r="D193" t="str">
            <v>Q3</v>
          </cell>
        </row>
        <row r="194">
          <cell r="A194">
            <v>43007</v>
          </cell>
          <cell r="B194">
            <v>57.39</v>
          </cell>
          <cell r="C194">
            <v>2017</v>
          </cell>
          <cell r="D194" t="str">
            <v>Q3</v>
          </cell>
        </row>
        <row r="195">
          <cell r="A195">
            <v>43010</v>
          </cell>
          <cell r="B195">
            <v>56.03</v>
          </cell>
          <cell r="C195">
            <v>2017</v>
          </cell>
          <cell r="D195" t="str">
            <v>Q4</v>
          </cell>
        </row>
        <row r="196">
          <cell r="A196">
            <v>43011</v>
          </cell>
          <cell r="B196">
            <v>56.45</v>
          </cell>
          <cell r="C196">
            <v>2017</v>
          </cell>
          <cell r="D196" t="str">
            <v>Q4</v>
          </cell>
        </row>
        <row r="197">
          <cell r="A197">
            <v>43012</v>
          </cell>
          <cell r="B197">
            <v>56.34</v>
          </cell>
          <cell r="C197">
            <v>2017</v>
          </cell>
          <cell r="D197" t="str">
            <v>Q4</v>
          </cell>
        </row>
        <row r="198">
          <cell r="A198">
            <v>43013</v>
          </cell>
          <cell r="B198">
            <v>57.37</v>
          </cell>
          <cell r="C198">
            <v>2017</v>
          </cell>
          <cell r="D198" t="str">
            <v>Q4</v>
          </cell>
        </row>
        <row r="199">
          <cell r="A199">
            <v>43014</v>
          </cell>
          <cell r="B199">
            <v>55.86</v>
          </cell>
          <cell r="C199">
            <v>2017</v>
          </cell>
          <cell r="D199" t="str">
            <v>Q4</v>
          </cell>
        </row>
        <row r="200">
          <cell r="A200">
            <v>43017</v>
          </cell>
          <cell r="B200">
            <v>55.65</v>
          </cell>
          <cell r="C200">
            <v>2017</v>
          </cell>
          <cell r="D200" t="str">
            <v>Q4</v>
          </cell>
        </row>
        <row r="201">
          <cell r="A201">
            <v>43018</v>
          </cell>
          <cell r="B201">
            <v>56.83</v>
          </cell>
          <cell r="C201">
            <v>2017</v>
          </cell>
          <cell r="D201" t="str">
            <v>Q4</v>
          </cell>
        </row>
        <row r="202">
          <cell r="A202">
            <v>43019</v>
          </cell>
          <cell r="B202">
            <v>56.36</v>
          </cell>
          <cell r="C202">
            <v>2017</v>
          </cell>
          <cell r="D202" t="str">
            <v>Q4</v>
          </cell>
        </row>
        <row r="203">
          <cell r="A203">
            <v>43020</v>
          </cell>
          <cell r="B203">
            <v>56.2</v>
          </cell>
          <cell r="C203">
            <v>2017</v>
          </cell>
          <cell r="D203" t="str">
            <v>Q4</v>
          </cell>
        </row>
        <row r="204">
          <cell r="A204">
            <v>43021</v>
          </cell>
          <cell r="B204">
            <v>57.05</v>
          </cell>
          <cell r="C204">
            <v>2017</v>
          </cell>
          <cell r="D204" t="str">
            <v>Q4</v>
          </cell>
        </row>
        <row r="205">
          <cell r="A205">
            <v>43024</v>
          </cell>
          <cell r="B205">
            <v>57.63</v>
          </cell>
          <cell r="C205">
            <v>2017</v>
          </cell>
          <cell r="D205" t="str">
            <v>Q4</v>
          </cell>
        </row>
        <row r="206">
          <cell r="A206">
            <v>43025</v>
          </cell>
          <cell r="B206">
            <v>57.99</v>
          </cell>
          <cell r="C206">
            <v>2017</v>
          </cell>
          <cell r="D206" t="str">
            <v>Q4</v>
          </cell>
        </row>
        <row r="207">
          <cell r="A207">
            <v>43026</v>
          </cell>
          <cell r="B207">
            <v>58.39</v>
          </cell>
          <cell r="C207">
            <v>2017</v>
          </cell>
          <cell r="D207" t="str">
            <v>Q4</v>
          </cell>
        </row>
        <row r="208">
          <cell r="A208">
            <v>43027</v>
          </cell>
          <cell r="B208">
            <v>58.17</v>
          </cell>
          <cell r="C208">
            <v>2017</v>
          </cell>
          <cell r="D208" t="str">
            <v>Q4</v>
          </cell>
        </row>
        <row r="209">
          <cell r="A209">
            <v>43028</v>
          </cell>
          <cell r="B209">
            <v>58.36</v>
          </cell>
          <cell r="C209">
            <v>2017</v>
          </cell>
          <cell r="D209" t="str">
            <v>Q4</v>
          </cell>
        </row>
        <row r="210">
          <cell r="A210">
            <v>43031</v>
          </cell>
          <cell r="B210">
            <v>58.17</v>
          </cell>
          <cell r="C210">
            <v>2017</v>
          </cell>
          <cell r="D210" t="str">
            <v>Q4</v>
          </cell>
        </row>
        <row r="211">
          <cell r="A211">
            <v>43032</v>
          </cell>
          <cell r="B211">
            <v>58.29</v>
          </cell>
          <cell r="C211">
            <v>2017</v>
          </cell>
          <cell r="D211" t="str">
            <v>Q4</v>
          </cell>
        </row>
        <row r="212">
          <cell r="A212">
            <v>43033</v>
          </cell>
          <cell r="B212">
            <v>58.94</v>
          </cell>
          <cell r="C212">
            <v>2017</v>
          </cell>
          <cell r="D212" t="str">
            <v>Q4</v>
          </cell>
        </row>
        <row r="213">
          <cell r="A213">
            <v>43034</v>
          </cell>
          <cell r="B213">
            <v>59.24</v>
          </cell>
          <cell r="C213">
            <v>2017</v>
          </cell>
          <cell r="D213" t="str">
            <v>Q4</v>
          </cell>
        </row>
        <row r="214">
          <cell r="A214">
            <v>43035</v>
          </cell>
          <cell r="B214">
            <v>60.56</v>
          </cell>
          <cell r="C214">
            <v>2017</v>
          </cell>
          <cell r="D214" t="str">
            <v>Q4</v>
          </cell>
        </row>
        <row r="215">
          <cell r="A215">
            <v>43038</v>
          </cell>
          <cell r="B215">
            <v>60.99</v>
          </cell>
          <cell r="C215">
            <v>2017</v>
          </cell>
          <cell r="D215" t="str">
            <v>Q4</v>
          </cell>
        </row>
        <row r="216">
          <cell r="A216">
            <v>43039</v>
          </cell>
          <cell r="B216">
            <v>61.65</v>
          </cell>
          <cell r="C216">
            <v>2017</v>
          </cell>
          <cell r="D216" t="str">
            <v>Q4</v>
          </cell>
        </row>
        <row r="217">
          <cell r="A217">
            <v>43040</v>
          </cell>
          <cell r="B217">
            <v>61.3</v>
          </cell>
          <cell r="C217">
            <v>2017</v>
          </cell>
          <cell r="D217" t="str">
            <v>Q4</v>
          </cell>
        </row>
        <row r="218">
          <cell r="A218">
            <v>43041</v>
          </cell>
          <cell r="B218">
            <v>61.12</v>
          </cell>
          <cell r="C218">
            <v>2017</v>
          </cell>
          <cell r="D218" t="str">
            <v>Q4</v>
          </cell>
        </row>
        <row r="219">
          <cell r="A219">
            <v>43042</v>
          </cell>
          <cell r="B219">
            <v>61.72</v>
          </cell>
          <cell r="C219">
            <v>2017</v>
          </cell>
          <cell r="D219" t="str">
            <v>Q4</v>
          </cell>
        </row>
        <row r="220">
          <cell r="A220">
            <v>43045</v>
          </cell>
          <cell r="B220">
            <v>64.5</v>
          </cell>
          <cell r="C220">
            <v>2017</v>
          </cell>
          <cell r="D220" t="str">
            <v>Q4</v>
          </cell>
        </row>
        <row r="221">
          <cell r="A221">
            <v>43046</v>
          </cell>
          <cell r="B221">
            <v>64.61</v>
          </cell>
          <cell r="C221">
            <v>2017</v>
          </cell>
          <cell r="D221" t="str">
            <v>Q4</v>
          </cell>
        </row>
        <row r="222">
          <cell r="A222">
            <v>43047</v>
          </cell>
          <cell r="B222">
            <v>64.19</v>
          </cell>
          <cell r="C222">
            <v>2017</v>
          </cell>
          <cell r="D222" t="str">
            <v>Q4</v>
          </cell>
        </row>
        <row r="223">
          <cell r="A223">
            <v>43048</v>
          </cell>
          <cell r="B223">
            <v>64.73</v>
          </cell>
          <cell r="C223">
            <v>2017</v>
          </cell>
          <cell r="D223" t="str">
            <v>Q4</v>
          </cell>
        </row>
        <row r="224">
          <cell r="A224">
            <v>43049</v>
          </cell>
          <cell r="B224">
            <v>64.599999999999994</v>
          </cell>
          <cell r="C224">
            <v>2017</v>
          </cell>
          <cell r="D224" t="str">
            <v>Q4</v>
          </cell>
        </row>
        <row r="225">
          <cell r="A225">
            <v>43052</v>
          </cell>
          <cell r="B225">
            <v>62.98</v>
          </cell>
          <cell r="C225">
            <v>2017</v>
          </cell>
          <cell r="D225" t="str">
            <v>Q4</v>
          </cell>
        </row>
        <row r="226">
          <cell r="A226">
            <v>43053</v>
          </cell>
          <cell r="B226">
            <v>61.06</v>
          </cell>
          <cell r="C226">
            <v>2017</v>
          </cell>
          <cell r="D226" t="str">
            <v>Q4</v>
          </cell>
        </row>
        <row r="227">
          <cell r="A227">
            <v>43054</v>
          </cell>
          <cell r="B227">
            <v>61.34</v>
          </cell>
          <cell r="C227">
            <v>2017</v>
          </cell>
          <cell r="D227" t="str">
            <v>Q4</v>
          </cell>
        </row>
        <row r="228">
          <cell r="A228">
            <v>43055</v>
          </cell>
          <cell r="B228">
            <v>61.27</v>
          </cell>
          <cell r="C228">
            <v>2017</v>
          </cell>
          <cell r="D228" t="str">
            <v>Q4</v>
          </cell>
        </row>
        <row r="229">
          <cell r="A229">
            <v>43056</v>
          </cell>
          <cell r="B229">
            <v>61.79</v>
          </cell>
          <cell r="C229">
            <v>2017</v>
          </cell>
          <cell r="D229" t="str">
            <v>Q4</v>
          </cell>
        </row>
        <row r="230">
          <cell r="A230">
            <v>43059</v>
          </cell>
          <cell r="B230">
            <v>61.4</v>
          </cell>
          <cell r="C230">
            <v>2017</v>
          </cell>
          <cell r="D230" t="str">
            <v>Q4</v>
          </cell>
        </row>
        <row r="231">
          <cell r="A231">
            <v>43060</v>
          </cell>
          <cell r="B231">
            <v>62.42</v>
          </cell>
          <cell r="C231">
            <v>2017</v>
          </cell>
          <cell r="D231" t="str">
            <v>Q4</v>
          </cell>
        </row>
        <row r="232">
          <cell r="A232">
            <v>43061</v>
          </cell>
          <cell r="B232">
            <v>63.03</v>
          </cell>
          <cell r="C232">
            <v>2017</v>
          </cell>
          <cell r="D232" t="str">
            <v>Q4</v>
          </cell>
        </row>
        <row r="233">
          <cell r="A233">
            <v>43062</v>
          </cell>
          <cell r="B233">
            <v>63.46</v>
          </cell>
          <cell r="C233">
            <v>2017</v>
          </cell>
          <cell r="D233" t="str">
            <v>Q4</v>
          </cell>
        </row>
        <row r="234">
          <cell r="A234">
            <v>43063</v>
          </cell>
          <cell r="B234">
            <v>63.8</v>
          </cell>
          <cell r="C234">
            <v>2017</v>
          </cell>
          <cell r="D234" t="str">
            <v>Q4</v>
          </cell>
        </row>
        <row r="235">
          <cell r="A235">
            <v>43066</v>
          </cell>
          <cell r="B235">
            <v>63.56</v>
          </cell>
          <cell r="C235">
            <v>2017</v>
          </cell>
          <cell r="D235" t="str">
            <v>Q4</v>
          </cell>
        </row>
        <row r="236">
          <cell r="A236">
            <v>43067</v>
          </cell>
          <cell r="B236">
            <v>63.86</v>
          </cell>
          <cell r="C236">
            <v>2017</v>
          </cell>
          <cell r="D236" t="str">
            <v>Q4</v>
          </cell>
        </row>
        <row r="237">
          <cell r="A237">
            <v>43068</v>
          </cell>
          <cell r="B237">
            <v>64.09</v>
          </cell>
          <cell r="C237">
            <v>2017</v>
          </cell>
          <cell r="D237" t="str">
            <v>Q4</v>
          </cell>
        </row>
        <row r="238">
          <cell r="A238">
            <v>43069</v>
          </cell>
          <cell r="B238">
            <v>63.89</v>
          </cell>
          <cell r="C238">
            <v>2017</v>
          </cell>
          <cell r="D238" t="str">
            <v>Q4</v>
          </cell>
        </row>
        <row r="239">
          <cell r="A239">
            <v>43070</v>
          </cell>
          <cell r="B239">
            <v>64.87</v>
          </cell>
          <cell r="C239">
            <v>2017</v>
          </cell>
          <cell r="D239" t="str">
            <v>Q4</v>
          </cell>
        </row>
        <row r="240">
          <cell r="A240">
            <v>43073</v>
          </cell>
          <cell r="B240">
            <v>63.81</v>
          </cell>
          <cell r="C240">
            <v>2017</v>
          </cell>
          <cell r="D240" t="str">
            <v>Q4</v>
          </cell>
        </row>
        <row r="241">
          <cell r="A241">
            <v>43074</v>
          </cell>
          <cell r="B241">
            <v>63.81</v>
          </cell>
          <cell r="C241">
            <v>2017</v>
          </cell>
          <cell r="D241" t="str">
            <v>Q4</v>
          </cell>
        </row>
        <row r="242">
          <cell r="A242">
            <v>43075</v>
          </cell>
          <cell r="B242">
            <v>62.58</v>
          </cell>
          <cell r="C242">
            <v>2017</v>
          </cell>
          <cell r="D242" t="str">
            <v>Q4</v>
          </cell>
        </row>
        <row r="243">
          <cell r="A243">
            <v>43076</v>
          </cell>
          <cell r="B243">
            <v>62.66</v>
          </cell>
          <cell r="C243">
            <v>2017</v>
          </cell>
          <cell r="D243" t="str">
            <v>Q4</v>
          </cell>
        </row>
        <row r="244">
          <cell r="A244">
            <v>43077</v>
          </cell>
          <cell r="B244">
            <v>64.11</v>
          </cell>
          <cell r="C244">
            <v>2017</v>
          </cell>
          <cell r="D244" t="str">
            <v>Q4</v>
          </cell>
        </row>
        <row r="245">
          <cell r="A245">
            <v>43080</v>
          </cell>
          <cell r="B245">
            <v>65.849999999999994</v>
          </cell>
          <cell r="C245">
            <v>2017</v>
          </cell>
          <cell r="D245" t="str">
            <v>Q4</v>
          </cell>
        </row>
        <row r="246">
          <cell r="A246">
            <v>43081</v>
          </cell>
          <cell r="B246">
            <v>65.23</v>
          </cell>
          <cell r="C246">
            <v>2017</v>
          </cell>
          <cell r="D246" t="str">
            <v>Q4</v>
          </cell>
        </row>
        <row r="247">
          <cell r="A247">
            <v>43082</v>
          </cell>
          <cell r="B247">
            <v>63.93</v>
          </cell>
          <cell r="C247">
            <v>2017</v>
          </cell>
          <cell r="D247" t="str">
            <v>Q4</v>
          </cell>
        </row>
        <row r="248">
          <cell r="A248">
            <v>43083</v>
          </cell>
          <cell r="B248">
            <v>63.98</v>
          </cell>
          <cell r="C248">
            <v>2017</v>
          </cell>
          <cell r="D248" t="str">
            <v>Q4</v>
          </cell>
        </row>
        <row r="249">
          <cell r="A249">
            <v>43084</v>
          </cell>
          <cell r="B249">
            <v>64.069999999999993</v>
          </cell>
          <cell r="C249">
            <v>2017</v>
          </cell>
          <cell r="D249" t="str">
            <v>Q4</v>
          </cell>
        </row>
        <row r="250">
          <cell r="A250">
            <v>43087</v>
          </cell>
          <cell r="B250">
            <v>64.61</v>
          </cell>
          <cell r="C250">
            <v>2017</v>
          </cell>
          <cell r="D250" t="str">
            <v>Q4</v>
          </cell>
        </row>
        <row r="251">
          <cell r="A251">
            <v>43088</v>
          </cell>
          <cell r="B251">
            <v>63.89</v>
          </cell>
          <cell r="C251">
            <v>2017</v>
          </cell>
          <cell r="D251" t="str">
            <v>Q4</v>
          </cell>
        </row>
        <row r="252">
          <cell r="A252">
            <v>43089</v>
          </cell>
          <cell r="B252">
            <v>64.55</v>
          </cell>
          <cell r="C252">
            <v>2017</v>
          </cell>
          <cell r="D252" t="str">
            <v>Q4</v>
          </cell>
        </row>
        <row r="253">
          <cell r="A253">
            <v>43090</v>
          </cell>
          <cell r="B253">
            <v>64.75</v>
          </cell>
          <cell r="C253">
            <v>2017</v>
          </cell>
          <cell r="D253" t="str">
            <v>Q4</v>
          </cell>
        </row>
        <row r="254">
          <cell r="A254">
            <v>43091</v>
          </cell>
          <cell r="B254">
            <v>64.67</v>
          </cell>
          <cell r="C254">
            <v>2017</v>
          </cell>
          <cell r="D254" t="str">
            <v>Q4</v>
          </cell>
        </row>
        <row r="255">
          <cell r="A255">
            <v>43096</v>
          </cell>
          <cell r="B255">
            <v>65.98</v>
          </cell>
          <cell r="C255">
            <v>2017</v>
          </cell>
          <cell r="D255" t="str">
            <v>Q4</v>
          </cell>
        </row>
        <row r="256">
          <cell r="A256">
            <v>43097</v>
          </cell>
          <cell r="B256">
            <v>66.08</v>
          </cell>
          <cell r="C256">
            <v>2017</v>
          </cell>
          <cell r="D256" t="str">
            <v>Q4</v>
          </cell>
        </row>
        <row r="257">
          <cell r="A257">
            <v>43098</v>
          </cell>
          <cell r="B257">
            <v>66.64</v>
          </cell>
          <cell r="C257">
            <v>2017</v>
          </cell>
          <cell r="D257" t="str">
            <v>Q4</v>
          </cell>
        </row>
        <row r="258">
          <cell r="A258">
            <v>43102</v>
          </cell>
          <cell r="B258">
            <v>66.650000000000006</v>
          </cell>
          <cell r="C258">
            <v>2018</v>
          </cell>
          <cell r="D258" t="str">
            <v>Q1</v>
          </cell>
        </row>
        <row r="259">
          <cell r="A259">
            <v>43103</v>
          </cell>
          <cell r="B259">
            <v>67.87</v>
          </cell>
          <cell r="C259">
            <v>2018</v>
          </cell>
          <cell r="D259" t="str">
            <v>Q1</v>
          </cell>
        </row>
        <row r="260">
          <cell r="A260">
            <v>43104</v>
          </cell>
          <cell r="B260">
            <v>68.72</v>
          </cell>
          <cell r="C260">
            <v>2018</v>
          </cell>
          <cell r="D260" t="str">
            <v>Q1</v>
          </cell>
        </row>
        <row r="261">
          <cell r="A261">
            <v>43105</v>
          </cell>
          <cell r="B261">
            <v>68.19</v>
          </cell>
          <cell r="C261">
            <v>2018</v>
          </cell>
          <cell r="D261" t="str">
            <v>Q1</v>
          </cell>
        </row>
        <row r="262">
          <cell r="A262">
            <v>43108</v>
          </cell>
          <cell r="B262">
            <v>68.709999999999994</v>
          </cell>
          <cell r="C262">
            <v>2018</v>
          </cell>
          <cell r="D262" t="str">
            <v>Q1</v>
          </cell>
        </row>
        <row r="263">
          <cell r="A263">
            <v>43109</v>
          </cell>
          <cell r="B263">
            <v>69.31</v>
          </cell>
          <cell r="C263">
            <v>2018</v>
          </cell>
          <cell r="D263" t="str">
            <v>Q1</v>
          </cell>
        </row>
        <row r="264">
          <cell r="A264">
            <v>43110</v>
          </cell>
          <cell r="B264">
            <v>69.959999999999994</v>
          </cell>
          <cell r="C264">
            <v>2018</v>
          </cell>
          <cell r="D264" t="str">
            <v>Q1</v>
          </cell>
        </row>
        <row r="265">
          <cell r="A265">
            <v>43111</v>
          </cell>
          <cell r="B265">
            <v>70.36</v>
          </cell>
          <cell r="C265">
            <v>2018</v>
          </cell>
          <cell r="D265" t="str">
            <v>Q1</v>
          </cell>
        </row>
        <row r="266">
          <cell r="A266">
            <v>43112</v>
          </cell>
          <cell r="B266">
            <v>69.680000000000007</v>
          </cell>
          <cell r="C266">
            <v>2018</v>
          </cell>
          <cell r="D266" t="str">
            <v>Q1</v>
          </cell>
        </row>
        <row r="267">
          <cell r="A267">
            <v>43115</v>
          </cell>
          <cell r="B267">
            <v>70.28</v>
          </cell>
          <cell r="C267">
            <v>2018</v>
          </cell>
          <cell r="D267" t="str">
            <v>Q1</v>
          </cell>
        </row>
        <row r="268">
          <cell r="A268">
            <v>43116</v>
          </cell>
          <cell r="B268">
            <v>69.38</v>
          </cell>
          <cell r="C268">
            <v>2018</v>
          </cell>
          <cell r="D268" t="str">
            <v>Q1</v>
          </cell>
        </row>
        <row r="269">
          <cell r="A269">
            <v>43117</v>
          </cell>
          <cell r="B269">
            <v>69.180000000000007</v>
          </cell>
          <cell r="C269">
            <v>2018</v>
          </cell>
          <cell r="D269" t="str">
            <v>Q1</v>
          </cell>
        </row>
        <row r="270">
          <cell r="A270">
            <v>43118</v>
          </cell>
          <cell r="B270">
            <v>69.45</v>
          </cell>
          <cell r="C270">
            <v>2018</v>
          </cell>
          <cell r="D270" t="str">
            <v>Q1</v>
          </cell>
        </row>
        <row r="271">
          <cell r="A271">
            <v>43119</v>
          </cell>
          <cell r="B271">
            <v>68.58</v>
          </cell>
          <cell r="C271">
            <v>2018</v>
          </cell>
          <cell r="D271" t="str">
            <v>Q1</v>
          </cell>
        </row>
        <row r="272">
          <cell r="A272">
            <v>43122</v>
          </cell>
          <cell r="B272">
            <v>69.27</v>
          </cell>
          <cell r="C272">
            <v>2018</v>
          </cell>
          <cell r="D272" t="str">
            <v>Q1</v>
          </cell>
        </row>
        <row r="273">
          <cell r="A273">
            <v>43123</v>
          </cell>
          <cell r="B273">
            <v>69.7</v>
          </cell>
          <cell r="C273">
            <v>2018</v>
          </cell>
          <cell r="D273" t="str">
            <v>Q1</v>
          </cell>
        </row>
        <row r="274">
          <cell r="A274">
            <v>43124</v>
          </cell>
          <cell r="B274">
            <v>69.84</v>
          </cell>
          <cell r="C274">
            <v>2018</v>
          </cell>
          <cell r="D274" t="str">
            <v>Q1</v>
          </cell>
        </row>
        <row r="275">
          <cell r="A275">
            <v>43125</v>
          </cell>
          <cell r="B275">
            <v>70.94</v>
          </cell>
          <cell r="C275">
            <v>2018</v>
          </cell>
          <cell r="D275" t="str">
            <v>Q1</v>
          </cell>
        </row>
        <row r="276">
          <cell r="A276">
            <v>43126</v>
          </cell>
          <cell r="B276">
            <v>69.95</v>
          </cell>
          <cell r="C276">
            <v>2018</v>
          </cell>
          <cell r="D276" t="str">
            <v>Q1</v>
          </cell>
        </row>
        <row r="277">
          <cell r="A277">
            <v>43129</v>
          </cell>
          <cell r="B277">
            <v>68.36</v>
          </cell>
          <cell r="C277">
            <v>2018</v>
          </cell>
          <cell r="D277" t="str">
            <v>Q1</v>
          </cell>
        </row>
        <row r="278">
          <cell r="A278">
            <v>43130</v>
          </cell>
          <cell r="B278">
            <v>67.78</v>
          </cell>
          <cell r="C278">
            <v>2018</v>
          </cell>
          <cell r="D278" t="str">
            <v>Q1</v>
          </cell>
        </row>
        <row r="279">
          <cell r="A279">
            <v>43131</v>
          </cell>
          <cell r="B279">
            <v>67.959999999999994</v>
          </cell>
          <cell r="C279">
            <v>2018</v>
          </cell>
          <cell r="D279" t="str">
            <v>Q1</v>
          </cell>
        </row>
        <row r="280">
          <cell r="A280">
            <v>43132</v>
          </cell>
          <cell r="B280">
            <v>68.45</v>
          </cell>
          <cell r="C280">
            <v>2018</v>
          </cell>
          <cell r="D280" t="str">
            <v>Q1</v>
          </cell>
        </row>
        <row r="281">
          <cell r="A281">
            <v>43133</v>
          </cell>
          <cell r="B281">
            <v>67.36</v>
          </cell>
          <cell r="C281">
            <v>2018</v>
          </cell>
          <cell r="D281" t="str">
            <v>Q1</v>
          </cell>
        </row>
        <row r="282">
          <cell r="A282">
            <v>43136</v>
          </cell>
          <cell r="B282">
            <v>67.569999999999993</v>
          </cell>
          <cell r="C282">
            <v>2018</v>
          </cell>
          <cell r="D282" t="str">
            <v>Q1</v>
          </cell>
        </row>
        <row r="283">
          <cell r="A283">
            <v>43137</v>
          </cell>
          <cell r="B283">
            <v>66.790000000000006</v>
          </cell>
          <cell r="C283">
            <v>2018</v>
          </cell>
          <cell r="D283" t="str">
            <v>Q1</v>
          </cell>
        </row>
        <row r="284">
          <cell r="A284">
            <v>43138</v>
          </cell>
          <cell r="B284">
            <v>65.87</v>
          </cell>
          <cell r="C284">
            <v>2018</v>
          </cell>
          <cell r="D284" t="str">
            <v>Q1</v>
          </cell>
        </row>
        <row r="285">
          <cell r="A285">
            <v>43139</v>
          </cell>
          <cell r="B285">
            <v>64.42</v>
          </cell>
          <cell r="C285">
            <v>2018</v>
          </cell>
          <cell r="D285" t="str">
            <v>Q1</v>
          </cell>
        </row>
        <row r="286">
          <cell r="A286">
            <v>43140</v>
          </cell>
          <cell r="B286">
            <v>63.28</v>
          </cell>
          <cell r="C286">
            <v>2018</v>
          </cell>
          <cell r="D286" t="str">
            <v>Q1</v>
          </cell>
        </row>
        <row r="287">
          <cell r="A287">
            <v>43143</v>
          </cell>
          <cell r="B287">
            <v>62.29</v>
          </cell>
          <cell r="C287">
            <v>2018</v>
          </cell>
          <cell r="D287" t="str">
            <v>Q1</v>
          </cell>
        </row>
        <row r="288">
          <cell r="A288">
            <v>43144</v>
          </cell>
          <cell r="B288">
            <v>62.15</v>
          </cell>
          <cell r="C288">
            <v>2018</v>
          </cell>
          <cell r="D288" t="str">
            <v>Q1</v>
          </cell>
        </row>
        <row r="289">
          <cell r="A289">
            <v>43145</v>
          </cell>
          <cell r="B289">
            <v>62.32</v>
          </cell>
          <cell r="C289">
            <v>2018</v>
          </cell>
          <cell r="D289" t="str">
            <v>Q1</v>
          </cell>
        </row>
        <row r="290">
          <cell r="A290">
            <v>43146</v>
          </cell>
          <cell r="B290">
            <v>62.89</v>
          </cell>
          <cell r="C290">
            <v>2018</v>
          </cell>
          <cell r="D290" t="str">
            <v>Q1</v>
          </cell>
        </row>
        <row r="291">
          <cell r="A291">
            <v>43147</v>
          </cell>
          <cell r="B291">
            <v>64.03</v>
          </cell>
          <cell r="C291">
            <v>2018</v>
          </cell>
          <cell r="D291" t="str">
            <v>Q1</v>
          </cell>
        </row>
        <row r="292">
          <cell r="A292">
            <v>43150</v>
          </cell>
          <cell r="B292">
            <v>64.84</v>
          </cell>
          <cell r="C292">
            <v>2018</v>
          </cell>
          <cell r="D292" t="str">
            <v>Q1</v>
          </cell>
        </row>
        <row r="293">
          <cell r="A293">
            <v>43151</v>
          </cell>
          <cell r="B293">
            <v>64.59</v>
          </cell>
          <cell r="C293">
            <v>2018</v>
          </cell>
          <cell r="D293" t="str">
            <v>Q1</v>
          </cell>
        </row>
        <row r="294">
          <cell r="A294">
            <v>43152</v>
          </cell>
          <cell r="B294">
            <v>64.73</v>
          </cell>
          <cell r="C294">
            <v>2018</v>
          </cell>
          <cell r="D294" t="str">
            <v>Q1</v>
          </cell>
        </row>
        <row r="295">
          <cell r="A295">
            <v>43153</v>
          </cell>
          <cell r="B295">
            <v>65.97</v>
          </cell>
          <cell r="C295">
            <v>2018</v>
          </cell>
          <cell r="D295" t="str">
            <v>Q1</v>
          </cell>
        </row>
        <row r="296">
          <cell r="A296">
            <v>43154</v>
          </cell>
          <cell r="B296">
            <v>66.87</v>
          </cell>
          <cell r="C296">
            <v>2018</v>
          </cell>
          <cell r="D296" t="str">
            <v>Q1</v>
          </cell>
        </row>
        <row r="297">
          <cell r="A297">
            <v>43157</v>
          </cell>
          <cell r="B297">
            <v>67.86</v>
          </cell>
          <cell r="C297">
            <v>2018</v>
          </cell>
          <cell r="D297" t="str">
            <v>Q1</v>
          </cell>
        </row>
        <row r="298">
          <cell r="A298">
            <v>43158</v>
          </cell>
          <cell r="B298">
            <v>67.66</v>
          </cell>
          <cell r="C298">
            <v>2018</v>
          </cell>
          <cell r="D298" t="str">
            <v>Q1</v>
          </cell>
        </row>
        <row r="299">
          <cell r="A299">
            <v>43159</v>
          </cell>
          <cell r="B299">
            <v>66.2</v>
          </cell>
          <cell r="C299">
            <v>2018</v>
          </cell>
          <cell r="D299" t="str">
            <v>Q1</v>
          </cell>
        </row>
        <row r="300">
          <cell r="A300">
            <v>43160</v>
          </cell>
          <cell r="B300">
            <v>64.48</v>
          </cell>
          <cell r="C300">
            <v>2018</v>
          </cell>
          <cell r="D300" t="str">
            <v>Q1</v>
          </cell>
        </row>
        <row r="301">
          <cell r="A301">
            <v>43161</v>
          </cell>
          <cell r="B301">
            <v>64.430000000000007</v>
          </cell>
          <cell r="C301">
            <v>2018</v>
          </cell>
          <cell r="D301" t="str">
            <v>Q1</v>
          </cell>
        </row>
        <row r="302">
          <cell r="A302">
            <v>43164</v>
          </cell>
          <cell r="B302">
            <v>65.81</v>
          </cell>
          <cell r="C302">
            <v>2018</v>
          </cell>
          <cell r="D302" t="str">
            <v>Q1</v>
          </cell>
        </row>
        <row r="303">
          <cell r="A303">
            <v>43165</v>
          </cell>
          <cell r="B303">
            <v>65.72</v>
          </cell>
          <cell r="C303">
            <v>2018</v>
          </cell>
          <cell r="D303" t="str">
            <v>Q1</v>
          </cell>
        </row>
        <row r="304">
          <cell r="A304">
            <v>43166</v>
          </cell>
          <cell r="B304">
            <v>65.069999999999993</v>
          </cell>
          <cell r="C304">
            <v>2018</v>
          </cell>
          <cell r="D304" t="str">
            <v>Q1</v>
          </cell>
        </row>
        <row r="305">
          <cell r="A305">
            <v>43167</v>
          </cell>
          <cell r="B305">
            <v>63.91</v>
          </cell>
          <cell r="C305">
            <v>2018</v>
          </cell>
          <cell r="D305" t="str">
            <v>Q1</v>
          </cell>
        </row>
        <row r="306">
          <cell r="A306">
            <v>43168</v>
          </cell>
          <cell r="B306">
            <v>65.16</v>
          </cell>
          <cell r="C306">
            <v>2018</v>
          </cell>
          <cell r="D306" t="str">
            <v>Q1</v>
          </cell>
        </row>
        <row r="307">
          <cell r="A307">
            <v>43171</v>
          </cell>
          <cell r="B307">
            <v>64.540000000000006</v>
          </cell>
          <cell r="C307">
            <v>2018</v>
          </cell>
          <cell r="D307" t="str">
            <v>Q1</v>
          </cell>
        </row>
        <row r="308">
          <cell r="A308">
            <v>43172</v>
          </cell>
          <cell r="B308">
            <v>64.23</v>
          </cell>
          <cell r="C308">
            <v>2018</v>
          </cell>
          <cell r="D308" t="str">
            <v>Q1</v>
          </cell>
        </row>
        <row r="309">
          <cell r="A309">
            <v>43173</v>
          </cell>
          <cell r="B309">
            <v>63.4</v>
          </cell>
          <cell r="C309">
            <v>2018</v>
          </cell>
          <cell r="D309" t="str">
            <v>Q1</v>
          </cell>
        </row>
        <row r="310">
          <cell r="A310">
            <v>43174</v>
          </cell>
          <cell r="B310">
            <v>63.38</v>
          </cell>
          <cell r="C310">
            <v>2018</v>
          </cell>
          <cell r="D310" t="str">
            <v>Q1</v>
          </cell>
        </row>
        <row r="311">
          <cell r="A311">
            <v>43175</v>
          </cell>
          <cell r="B311">
            <v>64.31</v>
          </cell>
          <cell r="C311">
            <v>2018</v>
          </cell>
          <cell r="D311" t="str">
            <v>Q1</v>
          </cell>
        </row>
        <row r="312">
          <cell r="A312">
            <v>43178</v>
          </cell>
          <cell r="B312">
            <v>64.459999999999994</v>
          </cell>
          <cell r="C312">
            <v>2018</v>
          </cell>
          <cell r="D312" t="str">
            <v>Q1</v>
          </cell>
        </row>
        <row r="313">
          <cell r="A313">
            <v>43179</v>
          </cell>
          <cell r="B313">
            <v>65.709999999999994</v>
          </cell>
          <cell r="C313">
            <v>2018</v>
          </cell>
          <cell r="D313" t="str">
            <v>Q1</v>
          </cell>
        </row>
        <row r="314">
          <cell r="A314">
            <v>43180</v>
          </cell>
          <cell r="B314">
            <v>67.709999999999994</v>
          </cell>
          <cell r="C314">
            <v>2018</v>
          </cell>
          <cell r="D314" t="str">
            <v>Q1</v>
          </cell>
        </row>
        <row r="315">
          <cell r="A315">
            <v>43181</v>
          </cell>
          <cell r="B315">
            <v>68.569999999999993</v>
          </cell>
          <cell r="C315">
            <v>2018</v>
          </cell>
          <cell r="D315" t="str">
            <v>Q1</v>
          </cell>
        </row>
        <row r="316">
          <cell r="A316">
            <v>43182</v>
          </cell>
          <cell r="B316">
            <v>68.569999999999993</v>
          </cell>
          <cell r="C316">
            <v>2018</v>
          </cell>
          <cell r="D316" t="str">
            <v>Q1</v>
          </cell>
        </row>
        <row r="317">
          <cell r="A317">
            <v>43185</v>
          </cell>
          <cell r="B317">
            <v>68.34</v>
          </cell>
          <cell r="C317">
            <v>2018</v>
          </cell>
          <cell r="D317" t="str">
            <v>Q1</v>
          </cell>
        </row>
        <row r="318">
          <cell r="A318">
            <v>43186</v>
          </cell>
          <cell r="B318">
            <v>68.09</v>
          </cell>
          <cell r="C318">
            <v>2018</v>
          </cell>
          <cell r="D318" t="str">
            <v>Q1</v>
          </cell>
        </row>
        <row r="319">
          <cell r="A319">
            <v>43187</v>
          </cell>
          <cell r="B319">
            <v>67.61</v>
          </cell>
          <cell r="C319">
            <v>2018</v>
          </cell>
          <cell r="D319" t="str">
            <v>Q1</v>
          </cell>
        </row>
        <row r="320">
          <cell r="A320">
            <v>43188</v>
          </cell>
          <cell r="B320">
            <v>68.45</v>
          </cell>
          <cell r="C320">
            <v>2018</v>
          </cell>
          <cell r="D320" t="str">
            <v>Q1</v>
          </cell>
        </row>
        <row r="321">
          <cell r="A321">
            <v>43193</v>
          </cell>
          <cell r="B321">
            <v>66.62</v>
          </cell>
          <cell r="C321">
            <v>2018</v>
          </cell>
          <cell r="D321" t="str">
            <v>Q2</v>
          </cell>
        </row>
        <row r="322">
          <cell r="A322">
            <v>43194</v>
          </cell>
          <cell r="B322">
            <v>65.59</v>
          </cell>
          <cell r="C322">
            <v>2018</v>
          </cell>
          <cell r="D322" t="str">
            <v>Q2</v>
          </cell>
        </row>
        <row r="323">
          <cell r="A323">
            <v>43195</v>
          </cell>
          <cell r="B323">
            <v>66.12</v>
          </cell>
          <cell r="C323">
            <v>2018</v>
          </cell>
          <cell r="D323" t="str">
            <v>Q2</v>
          </cell>
        </row>
        <row r="324">
          <cell r="A324">
            <v>43196</v>
          </cell>
          <cell r="B324">
            <v>66.22</v>
          </cell>
          <cell r="C324">
            <v>2018</v>
          </cell>
          <cell r="D324" t="str">
            <v>Q2</v>
          </cell>
        </row>
        <row r="325">
          <cell r="A325">
            <v>43199</v>
          </cell>
          <cell r="B325">
            <v>67.959999999999994</v>
          </cell>
          <cell r="C325">
            <v>2018</v>
          </cell>
          <cell r="D325" t="str">
            <v>Q2</v>
          </cell>
        </row>
        <row r="326">
          <cell r="A326">
            <v>43200</v>
          </cell>
          <cell r="B326">
            <v>69.959999999999994</v>
          </cell>
          <cell r="C326">
            <v>2018</v>
          </cell>
          <cell r="D326" t="str">
            <v>Q2</v>
          </cell>
        </row>
        <row r="327">
          <cell r="A327">
            <v>43201</v>
          </cell>
          <cell r="B327">
            <v>72.349999999999994</v>
          </cell>
          <cell r="C327">
            <v>2018</v>
          </cell>
          <cell r="D327" t="str">
            <v>Q2</v>
          </cell>
        </row>
        <row r="328">
          <cell r="A328">
            <v>43202</v>
          </cell>
          <cell r="B328">
            <v>70.91</v>
          </cell>
          <cell r="C328">
            <v>2018</v>
          </cell>
          <cell r="D328" t="str">
            <v>Q2</v>
          </cell>
        </row>
        <row r="329">
          <cell r="A329">
            <v>43203</v>
          </cell>
          <cell r="B329">
            <v>72.599999999999994</v>
          </cell>
          <cell r="C329">
            <v>2018</v>
          </cell>
          <cell r="D329" t="str">
            <v>Q2</v>
          </cell>
        </row>
        <row r="330">
          <cell r="A330">
            <v>43206</v>
          </cell>
          <cell r="B330">
            <v>71.53</v>
          </cell>
          <cell r="C330">
            <v>2018</v>
          </cell>
          <cell r="D330" t="str">
            <v>Q2</v>
          </cell>
        </row>
        <row r="331">
          <cell r="A331">
            <v>43207</v>
          </cell>
          <cell r="B331">
            <v>71.08</v>
          </cell>
          <cell r="C331">
            <v>2018</v>
          </cell>
          <cell r="D331" t="str">
            <v>Q2</v>
          </cell>
        </row>
        <row r="332">
          <cell r="A332">
            <v>43208</v>
          </cell>
          <cell r="B332">
            <v>73</v>
          </cell>
          <cell r="C332">
            <v>2018</v>
          </cell>
          <cell r="D332" t="str">
            <v>Q2</v>
          </cell>
        </row>
        <row r="333">
          <cell r="A333">
            <v>43209</v>
          </cell>
          <cell r="B333">
            <v>74.040000000000006</v>
          </cell>
          <cell r="C333">
            <v>2018</v>
          </cell>
          <cell r="D333" t="str">
            <v>Q2</v>
          </cell>
        </row>
        <row r="334">
          <cell r="A334">
            <v>43210</v>
          </cell>
          <cell r="B334">
            <v>73.83</v>
          </cell>
          <cell r="C334">
            <v>2018</v>
          </cell>
          <cell r="D334" t="str">
            <v>Q2</v>
          </cell>
        </row>
        <row r="335">
          <cell r="A335">
            <v>43213</v>
          </cell>
          <cell r="B335">
            <v>73.89</v>
          </cell>
          <cell r="C335">
            <v>2018</v>
          </cell>
          <cell r="D335" t="str">
            <v>Q2</v>
          </cell>
        </row>
        <row r="336">
          <cell r="A336">
            <v>43214</v>
          </cell>
          <cell r="B336">
            <v>75</v>
          </cell>
          <cell r="C336">
            <v>2018</v>
          </cell>
          <cell r="D336" t="str">
            <v>Q2</v>
          </cell>
        </row>
        <row r="337">
          <cell r="A337">
            <v>43215</v>
          </cell>
          <cell r="B337">
            <v>73.06</v>
          </cell>
          <cell r="C337">
            <v>2018</v>
          </cell>
          <cell r="D337" t="str">
            <v>Q2</v>
          </cell>
        </row>
        <row r="338">
          <cell r="A338">
            <v>43216</v>
          </cell>
          <cell r="B338">
            <v>74.569999999999993</v>
          </cell>
          <cell r="C338">
            <v>2018</v>
          </cell>
          <cell r="D338" t="str">
            <v>Q2</v>
          </cell>
        </row>
        <row r="339">
          <cell r="A339">
            <v>43217</v>
          </cell>
          <cell r="B339">
            <v>74.52</v>
          </cell>
          <cell r="C339">
            <v>2018</v>
          </cell>
          <cell r="D339" t="str">
            <v>Q2</v>
          </cell>
        </row>
        <row r="340">
          <cell r="A340">
            <v>43220</v>
          </cell>
          <cell r="B340">
            <v>75.430000000000007</v>
          </cell>
          <cell r="C340">
            <v>2018</v>
          </cell>
          <cell r="D340" t="str">
            <v>Q2</v>
          </cell>
        </row>
        <row r="341">
          <cell r="A341">
            <v>43221</v>
          </cell>
          <cell r="B341">
            <v>74.48</v>
          </cell>
          <cell r="C341">
            <v>2018</v>
          </cell>
          <cell r="D341" t="str">
            <v>Q2</v>
          </cell>
        </row>
        <row r="342">
          <cell r="A342">
            <v>43222</v>
          </cell>
          <cell r="B342">
            <v>72.78</v>
          </cell>
          <cell r="C342">
            <v>2018</v>
          </cell>
          <cell r="D342" t="str">
            <v>Q2</v>
          </cell>
        </row>
        <row r="343">
          <cell r="A343">
            <v>43223</v>
          </cell>
          <cell r="B343">
            <v>73.010000000000005</v>
          </cell>
          <cell r="C343">
            <v>2018</v>
          </cell>
          <cell r="D343" t="str">
            <v>Q2</v>
          </cell>
        </row>
        <row r="344">
          <cell r="A344">
            <v>43224</v>
          </cell>
          <cell r="B344">
            <v>74.319999999999993</v>
          </cell>
          <cell r="C344">
            <v>2018</v>
          </cell>
          <cell r="D344" t="str">
            <v>Q2</v>
          </cell>
        </row>
        <row r="345">
          <cell r="A345">
            <v>43228</v>
          </cell>
          <cell r="B345">
            <v>73.739999999999995</v>
          </cell>
          <cell r="C345">
            <v>2018</v>
          </cell>
          <cell r="D345" t="str">
            <v>Q2</v>
          </cell>
        </row>
        <row r="346">
          <cell r="A346">
            <v>43229</v>
          </cell>
          <cell r="B346">
            <v>77.03</v>
          </cell>
          <cell r="C346">
            <v>2018</v>
          </cell>
          <cell r="D346" t="str">
            <v>Q2</v>
          </cell>
        </row>
        <row r="347">
          <cell r="A347">
            <v>43230</v>
          </cell>
          <cell r="B347">
            <v>76.989999999999995</v>
          </cell>
          <cell r="C347">
            <v>2018</v>
          </cell>
          <cell r="D347" t="str">
            <v>Q2</v>
          </cell>
        </row>
        <row r="348">
          <cell r="A348">
            <v>43231</v>
          </cell>
          <cell r="B348">
            <v>76.790000000000006</v>
          </cell>
          <cell r="C348">
            <v>2018</v>
          </cell>
          <cell r="D348" t="str">
            <v>Q2</v>
          </cell>
        </row>
        <row r="349">
          <cell r="A349">
            <v>43234</v>
          </cell>
          <cell r="B349">
            <v>77.599999999999994</v>
          </cell>
          <cell r="C349">
            <v>2018</v>
          </cell>
          <cell r="D349" t="str">
            <v>Q2</v>
          </cell>
        </row>
        <row r="350">
          <cell r="A350">
            <v>43235</v>
          </cell>
          <cell r="B350">
            <v>78.33</v>
          </cell>
          <cell r="C350">
            <v>2018</v>
          </cell>
          <cell r="D350" t="str">
            <v>Q2</v>
          </cell>
        </row>
        <row r="351">
          <cell r="A351">
            <v>43236</v>
          </cell>
          <cell r="B351">
            <v>77.62</v>
          </cell>
          <cell r="C351">
            <v>2018</v>
          </cell>
          <cell r="D351" t="str">
            <v>Q2</v>
          </cell>
        </row>
        <row r="352">
          <cell r="A352">
            <v>43237</v>
          </cell>
          <cell r="B352">
            <v>79.42</v>
          </cell>
          <cell r="C352">
            <v>2018</v>
          </cell>
          <cell r="D352" t="str">
            <v>Q2</v>
          </cell>
        </row>
        <row r="353">
          <cell r="A353">
            <v>43238</v>
          </cell>
          <cell r="B353">
            <v>77.564999999999998</v>
          </cell>
          <cell r="C353">
            <v>2018</v>
          </cell>
          <cell r="D353" t="str">
            <v>Q2</v>
          </cell>
        </row>
        <row r="354">
          <cell r="A354">
            <v>43241</v>
          </cell>
          <cell r="B354">
            <v>77.709999999999994</v>
          </cell>
          <cell r="C354">
            <v>2018</v>
          </cell>
          <cell r="D354" t="str">
            <v>Q2</v>
          </cell>
        </row>
        <row r="355">
          <cell r="A355">
            <v>43242</v>
          </cell>
          <cell r="B355">
            <v>79.89</v>
          </cell>
          <cell r="C355">
            <v>2018</v>
          </cell>
          <cell r="D355" t="str">
            <v>Q2</v>
          </cell>
        </row>
        <row r="356">
          <cell r="A356">
            <v>43243</v>
          </cell>
          <cell r="B356">
            <v>78.25</v>
          </cell>
          <cell r="C356">
            <v>2018</v>
          </cell>
          <cell r="D356" t="str">
            <v>Q2</v>
          </cell>
        </row>
        <row r="357">
          <cell r="A357">
            <v>43244</v>
          </cell>
          <cell r="B357">
            <v>78.45</v>
          </cell>
          <cell r="C357">
            <v>2018</v>
          </cell>
          <cell r="D357" t="str">
            <v>Q2</v>
          </cell>
        </row>
        <row r="358">
          <cell r="A358">
            <v>43245</v>
          </cell>
          <cell r="B358">
            <v>76.260000000000005</v>
          </cell>
          <cell r="C358">
            <v>2018</v>
          </cell>
          <cell r="D358" t="str">
            <v>Q2</v>
          </cell>
        </row>
        <row r="359">
          <cell r="A359">
            <v>43248</v>
          </cell>
          <cell r="B359">
            <v>75.959999999999994</v>
          </cell>
          <cell r="C359">
            <v>2018</v>
          </cell>
          <cell r="D359" t="str">
            <v>Q2</v>
          </cell>
        </row>
        <row r="360">
          <cell r="A360">
            <v>43249</v>
          </cell>
          <cell r="B360">
            <v>73.930000000000007</v>
          </cell>
          <cell r="C360">
            <v>2018</v>
          </cell>
          <cell r="D360" t="str">
            <v>Q2</v>
          </cell>
        </row>
        <row r="361">
          <cell r="A361">
            <v>43250</v>
          </cell>
          <cell r="B361">
            <v>75.13</v>
          </cell>
          <cell r="C361">
            <v>2018</v>
          </cell>
          <cell r="D361" t="str">
            <v>Q2</v>
          </cell>
        </row>
        <row r="362">
          <cell r="A362">
            <v>43251</v>
          </cell>
          <cell r="B362">
            <v>75.66</v>
          </cell>
          <cell r="C362">
            <v>2018</v>
          </cell>
          <cell r="D362" t="str">
            <v>Q2</v>
          </cell>
        </row>
        <row r="363">
          <cell r="A363">
            <v>43252</v>
          </cell>
          <cell r="B363">
            <v>73.62</v>
          </cell>
          <cell r="C363">
            <v>2018</v>
          </cell>
          <cell r="D363" t="str">
            <v>Q2</v>
          </cell>
        </row>
        <row r="364">
          <cell r="A364">
            <v>43255</v>
          </cell>
          <cell r="B364">
            <v>72.534999999999997</v>
          </cell>
          <cell r="C364">
            <v>2018</v>
          </cell>
          <cell r="D364" t="str">
            <v>Q2</v>
          </cell>
        </row>
        <row r="365">
          <cell r="A365">
            <v>43256</v>
          </cell>
          <cell r="B365">
            <v>72.2</v>
          </cell>
          <cell r="C365">
            <v>2018</v>
          </cell>
          <cell r="D365" t="str">
            <v>Q2</v>
          </cell>
        </row>
        <row r="366">
          <cell r="A366">
            <v>43257</v>
          </cell>
          <cell r="B366">
            <v>72.5</v>
          </cell>
          <cell r="C366">
            <v>2018</v>
          </cell>
          <cell r="D366" t="str">
            <v>Q2</v>
          </cell>
        </row>
        <row r="367">
          <cell r="A367">
            <v>43258</v>
          </cell>
          <cell r="B367">
            <v>74.39</v>
          </cell>
          <cell r="C367">
            <v>2018</v>
          </cell>
          <cell r="D367" t="str">
            <v>Q2</v>
          </cell>
        </row>
        <row r="368">
          <cell r="A368">
            <v>43259</v>
          </cell>
          <cell r="B368">
            <v>74.28</v>
          </cell>
          <cell r="C368">
            <v>2018</v>
          </cell>
          <cell r="D368" t="str">
            <v>Q2</v>
          </cell>
        </row>
        <row r="369">
          <cell r="A369">
            <v>43262</v>
          </cell>
          <cell r="B369">
            <v>73.795000000000002</v>
          </cell>
          <cell r="C369">
            <v>2018</v>
          </cell>
          <cell r="D369" t="str">
            <v>Q2</v>
          </cell>
        </row>
        <row r="370">
          <cell r="A370">
            <v>43263</v>
          </cell>
          <cell r="B370">
            <v>74.05</v>
          </cell>
          <cell r="C370">
            <v>2018</v>
          </cell>
          <cell r="D370" t="str">
            <v>Q2</v>
          </cell>
        </row>
        <row r="371">
          <cell r="A371">
            <v>43264</v>
          </cell>
          <cell r="B371">
            <v>74.245000000000005</v>
          </cell>
          <cell r="C371">
            <v>2018</v>
          </cell>
          <cell r="D371" t="str">
            <v>Q2</v>
          </cell>
        </row>
        <row r="372">
          <cell r="A372">
            <v>43265</v>
          </cell>
          <cell r="B372">
            <v>73.965000000000003</v>
          </cell>
          <cell r="C372">
            <v>2018</v>
          </cell>
          <cell r="D372" t="str">
            <v>Q2</v>
          </cell>
        </row>
        <row r="373">
          <cell r="A373">
            <v>43266</v>
          </cell>
          <cell r="B373">
            <v>71.44</v>
          </cell>
          <cell r="C373">
            <v>2018</v>
          </cell>
          <cell r="D373" t="str">
            <v>Q2</v>
          </cell>
        </row>
        <row r="374">
          <cell r="A374">
            <v>43269</v>
          </cell>
          <cell r="B374">
            <v>74.06</v>
          </cell>
          <cell r="C374">
            <v>2018</v>
          </cell>
          <cell r="D374" t="str">
            <v>Q2</v>
          </cell>
        </row>
        <row r="375">
          <cell r="A375">
            <v>43270</v>
          </cell>
          <cell r="B375">
            <v>74.105000000000004</v>
          </cell>
          <cell r="C375">
            <v>2018</v>
          </cell>
          <cell r="D375" t="str">
            <v>Q2</v>
          </cell>
        </row>
        <row r="376">
          <cell r="A376">
            <v>43271</v>
          </cell>
          <cell r="B376">
            <v>73.489999999999995</v>
          </cell>
          <cell r="C376">
            <v>2018</v>
          </cell>
          <cell r="D376" t="str">
            <v>Q2</v>
          </cell>
        </row>
        <row r="377">
          <cell r="A377">
            <v>43272</v>
          </cell>
          <cell r="B377">
            <v>72.22</v>
          </cell>
          <cell r="C377">
            <v>2018</v>
          </cell>
          <cell r="D377" t="str">
            <v>Q2</v>
          </cell>
        </row>
        <row r="378">
          <cell r="A378">
            <v>43273</v>
          </cell>
          <cell r="B378">
            <v>72.954999999999998</v>
          </cell>
          <cell r="C378">
            <v>2018</v>
          </cell>
          <cell r="D378" t="str">
            <v>Q2</v>
          </cell>
        </row>
        <row r="379">
          <cell r="A379">
            <v>43276</v>
          </cell>
          <cell r="B379">
            <v>72.150000000000006</v>
          </cell>
          <cell r="C379">
            <v>2018</v>
          </cell>
          <cell r="D379" t="str">
            <v>Q2</v>
          </cell>
        </row>
        <row r="380">
          <cell r="A380">
            <v>43277</v>
          </cell>
          <cell r="B380">
            <v>72.72</v>
          </cell>
          <cell r="C380">
            <v>2018</v>
          </cell>
          <cell r="D380" t="str">
            <v>Q2</v>
          </cell>
        </row>
        <row r="381">
          <cell r="A381">
            <v>43278</v>
          </cell>
          <cell r="B381">
            <v>75.05</v>
          </cell>
          <cell r="C381">
            <v>2018</v>
          </cell>
          <cell r="D381" t="str">
            <v>Q2</v>
          </cell>
        </row>
        <row r="382">
          <cell r="A382">
            <v>43279</v>
          </cell>
          <cell r="B382">
            <v>75.209999999999994</v>
          </cell>
          <cell r="C382">
            <v>2018</v>
          </cell>
          <cell r="D382" t="str">
            <v>Q2</v>
          </cell>
        </row>
        <row r="383">
          <cell r="A383">
            <v>43280</v>
          </cell>
          <cell r="B383">
            <v>76.33</v>
          </cell>
          <cell r="C383">
            <v>2018</v>
          </cell>
          <cell r="D383" t="str">
            <v>Q2</v>
          </cell>
        </row>
        <row r="384">
          <cell r="A384">
            <v>43283</v>
          </cell>
          <cell r="B384">
            <v>75.75</v>
          </cell>
          <cell r="C384">
            <v>2018</v>
          </cell>
          <cell r="D384" t="str">
            <v>Q3</v>
          </cell>
        </row>
        <row r="385">
          <cell r="A385">
            <v>43284</v>
          </cell>
          <cell r="B385">
            <v>74.98</v>
          </cell>
          <cell r="C385">
            <v>2018</v>
          </cell>
          <cell r="D385" t="str">
            <v>Q3</v>
          </cell>
        </row>
        <row r="386">
          <cell r="A386">
            <v>43285</v>
          </cell>
          <cell r="B386">
            <v>76.010000000000005</v>
          </cell>
          <cell r="C386">
            <v>2018</v>
          </cell>
          <cell r="D386" t="str">
            <v>Q3</v>
          </cell>
        </row>
        <row r="387">
          <cell r="A387">
            <v>43286</v>
          </cell>
          <cell r="B387">
            <v>76.099999999999994</v>
          </cell>
          <cell r="C387">
            <v>2018</v>
          </cell>
          <cell r="D387" t="str">
            <v>Q3</v>
          </cell>
        </row>
        <row r="388">
          <cell r="A388">
            <v>43287</v>
          </cell>
          <cell r="B388">
            <v>74.05</v>
          </cell>
          <cell r="C388">
            <v>2018</v>
          </cell>
          <cell r="D388" t="str">
            <v>Q3</v>
          </cell>
        </row>
        <row r="389">
          <cell r="A389">
            <v>43290</v>
          </cell>
          <cell r="B389">
            <v>76.09</v>
          </cell>
          <cell r="C389">
            <v>2018</v>
          </cell>
          <cell r="D389" t="str">
            <v>Q3</v>
          </cell>
        </row>
        <row r="390">
          <cell r="A390">
            <v>43291</v>
          </cell>
          <cell r="B390">
            <v>76.754999999999995</v>
          </cell>
          <cell r="C390">
            <v>2018</v>
          </cell>
          <cell r="D390" t="str">
            <v>Q3</v>
          </cell>
        </row>
        <row r="391">
          <cell r="A391">
            <v>43292</v>
          </cell>
          <cell r="B391">
            <v>74.45</v>
          </cell>
          <cell r="C391">
            <v>2018</v>
          </cell>
          <cell r="D391" t="str">
            <v>Q3</v>
          </cell>
        </row>
        <row r="392">
          <cell r="A392">
            <v>43293</v>
          </cell>
          <cell r="B392">
            <v>71.45</v>
          </cell>
          <cell r="C392">
            <v>2018</v>
          </cell>
          <cell r="D392" t="str">
            <v>Q3</v>
          </cell>
        </row>
        <row r="393">
          <cell r="A393">
            <v>43294</v>
          </cell>
          <cell r="B393">
            <v>73.27</v>
          </cell>
          <cell r="C393">
            <v>2018</v>
          </cell>
          <cell r="D393" t="str">
            <v>Q3</v>
          </cell>
        </row>
        <row r="394">
          <cell r="A394">
            <v>43297</v>
          </cell>
          <cell r="B394">
            <v>70.400000000000006</v>
          </cell>
          <cell r="C394">
            <v>2018</v>
          </cell>
          <cell r="D394" t="str">
            <v>Q3</v>
          </cell>
        </row>
        <row r="395">
          <cell r="A395">
            <v>43298</v>
          </cell>
          <cell r="B395">
            <v>70.25</v>
          </cell>
          <cell r="C395">
            <v>2018</v>
          </cell>
          <cell r="D395" t="str">
            <v>Q3</v>
          </cell>
        </row>
        <row r="396">
          <cell r="A396">
            <v>43299</v>
          </cell>
          <cell r="B396">
            <v>69.92</v>
          </cell>
          <cell r="C396">
            <v>2018</v>
          </cell>
          <cell r="D396" t="str">
            <v>Q3</v>
          </cell>
        </row>
        <row r="397">
          <cell r="A397">
            <v>43300</v>
          </cell>
          <cell r="B397">
            <v>71.260000000000005</v>
          </cell>
          <cell r="C397">
            <v>2018</v>
          </cell>
          <cell r="D397" t="str">
            <v>Q3</v>
          </cell>
        </row>
        <row r="398">
          <cell r="A398">
            <v>43301</v>
          </cell>
          <cell r="B398">
            <v>71.430000000000007</v>
          </cell>
          <cell r="C398">
            <v>2018</v>
          </cell>
          <cell r="D398" t="str">
            <v>Q3</v>
          </cell>
        </row>
        <row r="399">
          <cell r="A399">
            <v>43304</v>
          </cell>
          <cell r="B399">
            <v>72.95</v>
          </cell>
          <cell r="C399">
            <v>2018</v>
          </cell>
          <cell r="D399" t="str">
            <v>Q3</v>
          </cell>
        </row>
        <row r="400">
          <cell r="A400">
            <v>43305</v>
          </cell>
          <cell r="B400">
            <v>73.16</v>
          </cell>
          <cell r="C400">
            <v>2018</v>
          </cell>
          <cell r="D400" t="str">
            <v>Q3</v>
          </cell>
        </row>
        <row r="401">
          <cell r="A401">
            <v>43306</v>
          </cell>
          <cell r="B401">
            <v>73.33</v>
          </cell>
          <cell r="C401">
            <v>2018</v>
          </cell>
          <cell r="D401" t="str">
            <v>Q3</v>
          </cell>
        </row>
        <row r="402">
          <cell r="A402">
            <v>43307</v>
          </cell>
          <cell r="B402">
            <v>74.13</v>
          </cell>
          <cell r="C402">
            <v>2018</v>
          </cell>
          <cell r="D402" t="str">
            <v>Q3</v>
          </cell>
        </row>
        <row r="403">
          <cell r="A403">
            <v>43308</v>
          </cell>
          <cell r="B403">
            <v>74.44</v>
          </cell>
          <cell r="C403">
            <v>2018</v>
          </cell>
          <cell r="D403" t="str">
            <v>Q3</v>
          </cell>
        </row>
        <row r="404">
          <cell r="A404">
            <v>43311</v>
          </cell>
          <cell r="B404">
            <v>74.58</v>
          </cell>
          <cell r="C404">
            <v>2018</v>
          </cell>
          <cell r="D404" t="str">
            <v>Q3</v>
          </cell>
        </row>
        <row r="405">
          <cell r="A405">
            <v>43312</v>
          </cell>
          <cell r="B405">
            <v>73.790000000000006</v>
          </cell>
          <cell r="C405">
            <v>2018</v>
          </cell>
          <cell r="D405" t="str">
            <v>Q3</v>
          </cell>
        </row>
        <row r="406">
          <cell r="A406">
            <v>43313</v>
          </cell>
          <cell r="B406">
            <v>72.010000000000005</v>
          </cell>
          <cell r="C406">
            <v>2018</v>
          </cell>
          <cell r="D406" t="str">
            <v>Q3</v>
          </cell>
        </row>
        <row r="407">
          <cell r="A407">
            <v>43314</v>
          </cell>
          <cell r="B407">
            <v>72.59</v>
          </cell>
          <cell r="C407">
            <v>2018</v>
          </cell>
          <cell r="D407" t="str">
            <v>Q3</v>
          </cell>
        </row>
        <row r="408">
          <cell r="A408">
            <v>43315</v>
          </cell>
          <cell r="B408">
            <v>71.819999999999993</v>
          </cell>
          <cell r="C408">
            <v>2018</v>
          </cell>
          <cell r="D408" t="str">
            <v>Q3</v>
          </cell>
        </row>
        <row r="409">
          <cell r="A409">
            <v>43318</v>
          </cell>
          <cell r="B409">
            <v>71.680000000000007</v>
          </cell>
          <cell r="C409">
            <v>2018</v>
          </cell>
          <cell r="D409" t="str">
            <v>Q3</v>
          </cell>
        </row>
        <row r="410">
          <cell r="A410">
            <v>43319</v>
          </cell>
          <cell r="B410">
            <v>71.489999999999995</v>
          </cell>
          <cell r="C410">
            <v>2018</v>
          </cell>
          <cell r="D410" t="str">
            <v>Q3</v>
          </cell>
        </row>
        <row r="411">
          <cell r="A411">
            <v>43320</v>
          </cell>
          <cell r="B411">
            <v>69.98</v>
          </cell>
          <cell r="C411">
            <v>2018</v>
          </cell>
          <cell r="D411" t="str">
            <v>Q3</v>
          </cell>
        </row>
        <row r="412">
          <cell r="A412">
            <v>43321</v>
          </cell>
          <cell r="B412">
            <v>69.75</v>
          </cell>
          <cell r="C412">
            <v>2018</v>
          </cell>
          <cell r="D412" t="str">
            <v>Q3</v>
          </cell>
        </row>
        <row r="413">
          <cell r="A413">
            <v>43322</v>
          </cell>
          <cell r="B413">
            <v>70.17</v>
          </cell>
          <cell r="C413">
            <v>2018</v>
          </cell>
          <cell r="D413" t="str">
            <v>Q3</v>
          </cell>
        </row>
        <row r="414">
          <cell r="A414">
            <v>43325</v>
          </cell>
          <cell r="B414">
            <v>69.81</v>
          </cell>
          <cell r="C414">
            <v>2018</v>
          </cell>
          <cell r="D414" t="str">
            <v>Q3</v>
          </cell>
        </row>
        <row r="415">
          <cell r="A415">
            <v>43326</v>
          </cell>
          <cell r="B415">
            <v>69.959999999999994</v>
          </cell>
          <cell r="C415">
            <v>2018</v>
          </cell>
          <cell r="D415" t="str">
            <v>Q3</v>
          </cell>
        </row>
        <row r="416">
          <cell r="A416">
            <v>43327</v>
          </cell>
          <cell r="B416">
            <v>67.69</v>
          </cell>
          <cell r="C416">
            <v>2018</v>
          </cell>
          <cell r="D416" t="str">
            <v>Q3</v>
          </cell>
        </row>
        <row r="417">
          <cell r="A417">
            <v>43328</v>
          </cell>
          <cell r="B417">
            <v>68.47</v>
          </cell>
          <cell r="C417">
            <v>2018</v>
          </cell>
          <cell r="D417" t="str">
            <v>Q3</v>
          </cell>
        </row>
        <row r="418">
          <cell r="A418">
            <v>43329</v>
          </cell>
          <cell r="B418">
            <v>69.36</v>
          </cell>
          <cell r="C418">
            <v>2018</v>
          </cell>
          <cell r="D418" t="str">
            <v>Q3</v>
          </cell>
        </row>
        <row r="419">
          <cell r="A419">
            <v>43332</v>
          </cell>
          <cell r="B419">
            <v>70.28</v>
          </cell>
          <cell r="C419">
            <v>2018</v>
          </cell>
          <cell r="D419" t="str">
            <v>Q3</v>
          </cell>
        </row>
        <row r="420">
          <cell r="A420">
            <v>43333</v>
          </cell>
          <cell r="B420">
            <v>70.790000000000006</v>
          </cell>
          <cell r="C420">
            <v>2018</v>
          </cell>
          <cell r="D420" t="str">
            <v>Q3</v>
          </cell>
        </row>
        <row r="421">
          <cell r="A421">
            <v>43334</v>
          </cell>
          <cell r="B421">
            <v>72.03</v>
          </cell>
          <cell r="C421">
            <v>2018</v>
          </cell>
          <cell r="D421" t="str">
            <v>Q3</v>
          </cell>
        </row>
        <row r="422">
          <cell r="A422">
            <v>43335</v>
          </cell>
          <cell r="B422">
            <v>72.92</v>
          </cell>
          <cell r="C422">
            <v>2018</v>
          </cell>
          <cell r="D422" t="str">
            <v>Q3</v>
          </cell>
        </row>
        <row r="423">
          <cell r="A423">
            <v>43336</v>
          </cell>
          <cell r="B423">
            <v>73.459999999999994</v>
          </cell>
          <cell r="C423">
            <v>2018</v>
          </cell>
          <cell r="D423" t="str">
            <v>Q3</v>
          </cell>
        </row>
        <row r="424">
          <cell r="A424">
            <v>43340</v>
          </cell>
          <cell r="B424">
            <v>75.015000000000001</v>
          </cell>
          <cell r="C424">
            <v>2018</v>
          </cell>
          <cell r="D424" t="str">
            <v>Q3</v>
          </cell>
        </row>
        <row r="425">
          <cell r="A425">
            <v>43341</v>
          </cell>
          <cell r="B425">
            <v>74.83</v>
          </cell>
          <cell r="C425">
            <v>2018</v>
          </cell>
          <cell r="D425" t="str">
            <v>Q3</v>
          </cell>
        </row>
        <row r="426">
          <cell r="A426">
            <v>43342</v>
          </cell>
          <cell r="B426">
            <v>76.064999999999998</v>
          </cell>
          <cell r="C426">
            <v>2018</v>
          </cell>
          <cell r="D426" t="str">
            <v>Q3</v>
          </cell>
        </row>
        <row r="427">
          <cell r="A427">
            <v>43343</v>
          </cell>
          <cell r="B427">
            <v>76.010000000000005</v>
          </cell>
          <cell r="C427">
            <v>2018</v>
          </cell>
          <cell r="D427" t="str">
            <v>Q3</v>
          </cell>
        </row>
        <row r="428">
          <cell r="A428">
            <v>43346</v>
          </cell>
          <cell r="B428">
            <v>76.81</v>
          </cell>
          <cell r="C428">
            <v>2018</v>
          </cell>
          <cell r="D428" t="str">
            <v>Q3</v>
          </cell>
        </row>
        <row r="429">
          <cell r="A429">
            <v>43347</v>
          </cell>
          <cell r="B429">
            <v>76.534999999999997</v>
          </cell>
          <cell r="C429">
            <v>2018</v>
          </cell>
          <cell r="D429" t="str">
            <v>Q3</v>
          </cell>
        </row>
        <row r="430">
          <cell r="A430">
            <v>43348</v>
          </cell>
          <cell r="B430">
            <v>75.77</v>
          </cell>
          <cell r="C430">
            <v>2018</v>
          </cell>
          <cell r="D430" t="str">
            <v>Q3</v>
          </cell>
        </row>
        <row r="431">
          <cell r="A431">
            <v>43349</v>
          </cell>
          <cell r="B431">
            <v>74.83</v>
          </cell>
          <cell r="C431">
            <v>2018</v>
          </cell>
          <cell r="D431" t="str">
            <v>Q3</v>
          </cell>
        </row>
        <row r="432">
          <cell r="A432">
            <v>43350</v>
          </cell>
          <cell r="B432">
            <v>74.709999999999994</v>
          </cell>
          <cell r="C432">
            <v>2018</v>
          </cell>
          <cell r="D432" t="str">
            <v>Q3</v>
          </cell>
        </row>
        <row r="433">
          <cell r="A433">
            <v>43353</v>
          </cell>
          <cell r="B433">
            <v>75.855000000000004</v>
          </cell>
          <cell r="C433">
            <v>2018</v>
          </cell>
          <cell r="D433" t="str">
            <v>Q3</v>
          </cell>
        </row>
        <row r="434">
          <cell r="A434">
            <v>43354</v>
          </cell>
          <cell r="B434">
            <v>77.185000000000002</v>
          </cell>
          <cell r="C434">
            <v>2018</v>
          </cell>
          <cell r="D434" t="str">
            <v>Q3</v>
          </cell>
        </row>
        <row r="435">
          <cell r="A435">
            <v>43355</v>
          </cell>
          <cell r="B435">
            <v>78.84</v>
          </cell>
          <cell r="C435">
            <v>2018</v>
          </cell>
          <cell r="D435" t="str">
            <v>Q3</v>
          </cell>
        </row>
        <row r="436">
          <cell r="A436">
            <v>43356</v>
          </cell>
          <cell r="B436">
            <v>76.67</v>
          </cell>
          <cell r="C436">
            <v>2018</v>
          </cell>
          <cell r="D436" t="str">
            <v>Q3</v>
          </cell>
        </row>
        <row r="437">
          <cell r="A437">
            <v>43357</v>
          </cell>
          <cell r="B437">
            <v>76.864999999999995</v>
          </cell>
          <cell r="C437">
            <v>2018</v>
          </cell>
          <cell r="D437" t="str">
            <v>Q3</v>
          </cell>
        </row>
        <row r="438">
          <cell r="A438">
            <v>43360</v>
          </cell>
          <cell r="B438">
            <v>77.540000000000006</v>
          </cell>
          <cell r="C438">
            <v>2018</v>
          </cell>
          <cell r="D438" t="str">
            <v>Q3</v>
          </cell>
        </row>
        <row r="439">
          <cell r="A439">
            <v>43361</v>
          </cell>
          <cell r="B439">
            <v>78.55</v>
          </cell>
          <cell r="C439">
            <v>2018</v>
          </cell>
          <cell r="D439" t="str">
            <v>Q3</v>
          </cell>
        </row>
        <row r="440">
          <cell r="A440">
            <v>43362</v>
          </cell>
          <cell r="B440">
            <v>78.760000000000005</v>
          </cell>
          <cell r="C440">
            <v>2018</v>
          </cell>
          <cell r="D440" t="str">
            <v>Q3</v>
          </cell>
        </row>
        <row r="441">
          <cell r="A441">
            <v>43363</v>
          </cell>
          <cell r="B441">
            <v>78.36</v>
          </cell>
          <cell r="C441">
            <v>2018</v>
          </cell>
          <cell r="D441" t="str">
            <v>Q3</v>
          </cell>
        </row>
        <row r="442">
          <cell r="A442">
            <v>43364</v>
          </cell>
          <cell r="B442">
            <v>78.260000000000005</v>
          </cell>
          <cell r="C442">
            <v>2018</v>
          </cell>
          <cell r="D442" t="str">
            <v>Q3</v>
          </cell>
        </row>
        <row r="443">
          <cell r="A443">
            <v>43367</v>
          </cell>
          <cell r="B443">
            <v>80.150000000000006</v>
          </cell>
          <cell r="C443">
            <v>2018</v>
          </cell>
          <cell r="D443" t="str">
            <v>Q3</v>
          </cell>
        </row>
        <row r="444">
          <cell r="A444">
            <v>43368</v>
          </cell>
          <cell r="B444">
            <v>81.36</v>
          </cell>
          <cell r="C444">
            <v>2018</v>
          </cell>
          <cell r="D444" t="str">
            <v>Q3</v>
          </cell>
        </row>
        <row r="445">
          <cell r="A445">
            <v>43369</v>
          </cell>
          <cell r="B445">
            <v>81.05</v>
          </cell>
          <cell r="C445">
            <v>2018</v>
          </cell>
          <cell r="D445" t="str">
            <v>Q3</v>
          </cell>
        </row>
        <row r="446">
          <cell r="A446">
            <v>43370</v>
          </cell>
          <cell r="B446">
            <v>80.745000000000005</v>
          </cell>
          <cell r="C446">
            <v>2018</v>
          </cell>
          <cell r="D446" t="str">
            <v>Q3</v>
          </cell>
        </row>
        <row r="447">
          <cell r="A447">
            <v>43371</v>
          </cell>
          <cell r="B447">
            <v>81.83</v>
          </cell>
          <cell r="C447">
            <v>2018</v>
          </cell>
          <cell r="D447" t="str">
            <v>Q3</v>
          </cell>
        </row>
        <row r="448">
          <cell r="A448">
            <v>43374</v>
          </cell>
          <cell r="B448">
            <v>83.92</v>
          </cell>
          <cell r="C448">
            <v>2018</v>
          </cell>
          <cell r="D448" t="str">
            <v>Q4</v>
          </cell>
        </row>
        <row r="449">
          <cell r="A449">
            <v>43375</v>
          </cell>
          <cell r="B449">
            <v>84.555000000000007</v>
          </cell>
          <cell r="C449">
            <v>2018</v>
          </cell>
          <cell r="D449" t="str">
            <v>Q4</v>
          </cell>
        </row>
        <row r="450">
          <cell r="A450">
            <v>43376</v>
          </cell>
          <cell r="B450">
            <v>84.39</v>
          </cell>
          <cell r="C450">
            <v>2018</v>
          </cell>
          <cell r="D450" t="str">
            <v>Q4</v>
          </cell>
        </row>
        <row r="451">
          <cell r="A451">
            <v>43377</v>
          </cell>
          <cell r="B451">
            <v>84.96</v>
          </cell>
          <cell r="C451">
            <v>2018</v>
          </cell>
          <cell r="D451" t="str">
            <v>Q4</v>
          </cell>
        </row>
        <row r="452">
          <cell r="A452">
            <v>43378</v>
          </cell>
          <cell r="B452">
            <v>84.084999999999994</v>
          </cell>
          <cell r="C452">
            <v>2018</v>
          </cell>
          <cell r="D452" t="str">
            <v>Q4</v>
          </cell>
        </row>
        <row r="453">
          <cell r="A453">
            <v>43381</v>
          </cell>
          <cell r="B453">
            <v>83.254999999999995</v>
          </cell>
          <cell r="C453">
            <v>2018</v>
          </cell>
          <cell r="D453" t="str">
            <v>Q4</v>
          </cell>
        </row>
        <row r="454">
          <cell r="A454">
            <v>43382</v>
          </cell>
          <cell r="B454">
            <v>84.12</v>
          </cell>
          <cell r="C454">
            <v>2018</v>
          </cell>
          <cell r="D454" t="str">
            <v>Q4</v>
          </cell>
        </row>
        <row r="455">
          <cell r="A455">
            <v>43383</v>
          </cell>
          <cell r="B455">
            <v>82.89</v>
          </cell>
          <cell r="C455">
            <v>2018</v>
          </cell>
          <cell r="D455" t="str">
            <v>Q4</v>
          </cell>
        </row>
        <row r="456">
          <cell r="A456">
            <v>43384</v>
          </cell>
          <cell r="B456">
            <v>80.614999999999995</v>
          </cell>
          <cell r="C456">
            <v>2018</v>
          </cell>
          <cell r="D456" t="str">
            <v>Q4</v>
          </cell>
        </row>
        <row r="457">
          <cell r="A457">
            <v>43385</v>
          </cell>
          <cell r="B457">
            <v>80.180000000000007</v>
          </cell>
          <cell r="C457">
            <v>2018</v>
          </cell>
          <cell r="D457" t="str">
            <v>Q4</v>
          </cell>
        </row>
        <row r="458">
          <cell r="A458">
            <v>43388</v>
          </cell>
          <cell r="B458">
            <v>80.53</v>
          </cell>
          <cell r="C458">
            <v>2018</v>
          </cell>
          <cell r="D458" t="str">
            <v>Q4</v>
          </cell>
        </row>
        <row r="459">
          <cell r="A459">
            <v>43389</v>
          </cell>
          <cell r="B459">
            <v>80.185000000000002</v>
          </cell>
          <cell r="C459">
            <v>2018</v>
          </cell>
          <cell r="D459" t="str">
            <v>Q4</v>
          </cell>
        </row>
        <row r="460">
          <cell r="A460">
            <v>43390</v>
          </cell>
          <cell r="B460">
            <v>79.66</v>
          </cell>
          <cell r="C460">
            <v>2018</v>
          </cell>
          <cell r="D460" t="str">
            <v>Q4</v>
          </cell>
        </row>
        <row r="461">
          <cell r="A461">
            <v>43391</v>
          </cell>
          <cell r="B461">
            <v>80.02</v>
          </cell>
          <cell r="C461">
            <v>2018</v>
          </cell>
          <cell r="D461" t="str">
            <v>Q4</v>
          </cell>
        </row>
        <row r="462">
          <cell r="A462">
            <v>43392</v>
          </cell>
          <cell r="B462">
            <v>80.094999999999999</v>
          </cell>
          <cell r="C462">
            <v>2018</v>
          </cell>
          <cell r="D462" t="str">
            <v>Q4</v>
          </cell>
        </row>
        <row r="463">
          <cell r="A463">
            <v>43395</v>
          </cell>
          <cell r="B463">
            <v>80.02</v>
          </cell>
          <cell r="C463">
            <v>2018</v>
          </cell>
          <cell r="D463" t="str">
            <v>Q4</v>
          </cell>
        </row>
        <row r="464">
          <cell r="A464">
            <v>43396</v>
          </cell>
          <cell r="B464">
            <v>78.38</v>
          </cell>
          <cell r="C464">
            <v>2018</v>
          </cell>
          <cell r="D464" t="str">
            <v>Q4</v>
          </cell>
        </row>
        <row r="465">
          <cell r="A465">
            <v>43397</v>
          </cell>
          <cell r="B465">
            <v>76.930000000000007</v>
          </cell>
          <cell r="C465">
            <v>2018</v>
          </cell>
          <cell r="D465" t="str">
            <v>Q4</v>
          </cell>
        </row>
        <row r="466">
          <cell r="A466">
            <v>43398</v>
          </cell>
          <cell r="B466">
            <v>76.900000000000006</v>
          </cell>
          <cell r="C466">
            <v>2018</v>
          </cell>
          <cell r="D466" t="str">
            <v>Q4</v>
          </cell>
        </row>
        <row r="467">
          <cell r="A467">
            <v>43399</v>
          </cell>
          <cell r="B467">
            <v>76.989999999999995</v>
          </cell>
          <cell r="C467">
            <v>2018</v>
          </cell>
          <cell r="D467" t="str">
            <v>Q4</v>
          </cell>
        </row>
        <row r="468">
          <cell r="A468">
            <v>43402</v>
          </cell>
          <cell r="B468">
            <v>77.14</v>
          </cell>
          <cell r="C468">
            <v>2018</v>
          </cell>
          <cell r="D468" t="str">
            <v>Q4</v>
          </cell>
        </row>
        <row r="469">
          <cell r="A469">
            <v>43403</v>
          </cell>
          <cell r="B469">
            <v>75.36</v>
          </cell>
          <cell r="C469">
            <v>2018</v>
          </cell>
          <cell r="D469" t="str">
            <v>Q4</v>
          </cell>
        </row>
        <row r="470">
          <cell r="A470">
            <v>43404</v>
          </cell>
          <cell r="B470">
            <v>74.17</v>
          </cell>
          <cell r="C470">
            <v>2018</v>
          </cell>
          <cell r="D470" t="str">
            <v>Q4</v>
          </cell>
        </row>
        <row r="471">
          <cell r="A471">
            <v>43405</v>
          </cell>
          <cell r="B471">
            <v>70.760000000000005</v>
          </cell>
          <cell r="C471">
            <v>2018</v>
          </cell>
          <cell r="D471" t="str">
            <v>Q4</v>
          </cell>
        </row>
        <row r="472">
          <cell r="A472">
            <v>43406</v>
          </cell>
          <cell r="B472">
            <v>70.63</v>
          </cell>
          <cell r="C472">
            <v>2018</v>
          </cell>
          <cell r="D472" t="str">
            <v>Q4</v>
          </cell>
        </row>
        <row r="473">
          <cell r="A473">
            <v>43409</v>
          </cell>
          <cell r="B473">
            <v>72.099999999999994</v>
          </cell>
          <cell r="C473">
            <v>2018</v>
          </cell>
          <cell r="D473" t="str">
            <v>Q4</v>
          </cell>
        </row>
        <row r="474">
          <cell r="A474">
            <v>43410</v>
          </cell>
          <cell r="B474">
            <v>70.010000000000005</v>
          </cell>
          <cell r="C474">
            <v>2018</v>
          </cell>
          <cell r="D474" t="str">
            <v>Q4</v>
          </cell>
        </row>
        <row r="475">
          <cell r="A475">
            <v>43411</v>
          </cell>
          <cell r="B475">
            <v>69.400000000000006</v>
          </cell>
          <cell r="C475">
            <v>2018</v>
          </cell>
          <cell r="D475" t="str">
            <v>Q4</v>
          </cell>
        </row>
        <row r="476">
          <cell r="A476">
            <v>43412</v>
          </cell>
          <cell r="B476">
            <v>68.430000000000007</v>
          </cell>
          <cell r="C476">
            <v>2018</v>
          </cell>
          <cell r="D476" t="str">
            <v>Q4</v>
          </cell>
        </row>
        <row r="477">
          <cell r="A477">
            <v>43413</v>
          </cell>
          <cell r="B477">
            <v>68.12</v>
          </cell>
          <cell r="C477">
            <v>2018</v>
          </cell>
          <cell r="D477" t="str">
            <v>Q4</v>
          </cell>
        </row>
        <row r="478">
          <cell r="A478">
            <v>43416</v>
          </cell>
          <cell r="B478">
            <v>68.92</v>
          </cell>
          <cell r="C478">
            <v>2018</v>
          </cell>
          <cell r="D478" t="str">
            <v>Q4</v>
          </cell>
        </row>
        <row r="479">
          <cell r="A479">
            <v>43417</v>
          </cell>
          <cell r="B479">
            <v>64.83</v>
          </cell>
          <cell r="C479">
            <v>2018</v>
          </cell>
          <cell r="D479" t="str">
            <v>Q4</v>
          </cell>
        </row>
        <row r="480">
          <cell r="A480">
            <v>43418</v>
          </cell>
          <cell r="B480">
            <v>64.37</v>
          </cell>
          <cell r="C480">
            <v>2018</v>
          </cell>
          <cell r="D480" t="str">
            <v>Q4</v>
          </cell>
        </row>
        <row r="481">
          <cell r="A481">
            <v>43419</v>
          </cell>
          <cell r="B481">
            <v>65.06</v>
          </cell>
          <cell r="C481">
            <v>2018</v>
          </cell>
          <cell r="D481" t="str">
            <v>Q4</v>
          </cell>
        </row>
        <row r="482">
          <cell r="A482">
            <v>43420</v>
          </cell>
          <cell r="B482">
            <v>64.58</v>
          </cell>
          <cell r="C482">
            <v>2018</v>
          </cell>
          <cell r="D482" t="str">
            <v>Q4</v>
          </cell>
        </row>
        <row r="483">
          <cell r="A483">
            <v>43423</v>
          </cell>
          <cell r="B483">
            <v>63.47</v>
          </cell>
          <cell r="C483">
            <v>2018</v>
          </cell>
          <cell r="D483" t="str">
            <v>Q4</v>
          </cell>
        </row>
        <row r="484">
          <cell r="A484">
            <v>43424</v>
          </cell>
          <cell r="B484">
            <v>61</v>
          </cell>
          <cell r="C484">
            <v>2018</v>
          </cell>
          <cell r="D484" t="str">
            <v>Q4</v>
          </cell>
        </row>
        <row r="485">
          <cell r="A485">
            <v>43425</v>
          </cell>
          <cell r="B485">
            <v>61.31</v>
          </cell>
          <cell r="C485">
            <v>2018</v>
          </cell>
          <cell r="D485" t="str">
            <v>Q4</v>
          </cell>
        </row>
        <row r="486">
          <cell r="A486">
            <v>43426</v>
          </cell>
          <cell r="B486">
            <v>60.91</v>
          </cell>
          <cell r="C486">
            <v>2018</v>
          </cell>
          <cell r="D486" t="str">
            <v>Q4</v>
          </cell>
        </row>
        <row r="487">
          <cell r="A487">
            <v>43427</v>
          </cell>
          <cell r="B487">
            <v>57.67</v>
          </cell>
          <cell r="C487">
            <v>2018</v>
          </cell>
          <cell r="D487" t="str">
            <v>Q4</v>
          </cell>
        </row>
        <row r="488">
          <cell r="A488">
            <v>43430</v>
          </cell>
          <cell r="B488">
            <v>59.63</v>
          </cell>
          <cell r="C488">
            <v>2018</v>
          </cell>
          <cell r="D488" t="str">
            <v>Q4</v>
          </cell>
        </row>
        <row r="489">
          <cell r="A489">
            <v>43431</v>
          </cell>
          <cell r="B489">
            <v>59.35</v>
          </cell>
          <cell r="C489">
            <v>2018</v>
          </cell>
          <cell r="D489" t="str">
            <v>Q4</v>
          </cell>
        </row>
        <row r="490">
          <cell r="A490">
            <v>43432</v>
          </cell>
          <cell r="B490">
            <v>57.83</v>
          </cell>
          <cell r="C490">
            <v>2018</v>
          </cell>
          <cell r="D490" t="str">
            <v>Q4</v>
          </cell>
        </row>
        <row r="491">
          <cell r="A491">
            <v>43433</v>
          </cell>
          <cell r="B491">
            <v>58.13</v>
          </cell>
          <cell r="C491">
            <v>2018</v>
          </cell>
          <cell r="D491" t="str">
            <v>Q4</v>
          </cell>
        </row>
        <row r="492">
          <cell r="A492">
            <v>43434</v>
          </cell>
          <cell r="B492">
            <v>57.75</v>
          </cell>
          <cell r="C492">
            <v>2018</v>
          </cell>
          <cell r="D492" t="str">
            <v>Q4</v>
          </cell>
        </row>
        <row r="493">
          <cell r="A493">
            <v>43437</v>
          </cell>
          <cell r="B493">
            <v>60.16</v>
          </cell>
          <cell r="C493">
            <v>2018</v>
          </cell>
          <cell r="D493" t="str">
            <v>Q4</v>
          </cell>
        </row>
        <row r="494">
          <cell r="A494">
            <v>43438</v>
          </cell>
          <cell r="B494">
            <v>61.16</v>
          </cell>
          <cell r="C494">
            <v>2018</v>
          </cell>
          <cell r="D494" t="str">
            <v>Q4</v>
          </cell>
        </row>
        <row r="495">
          <cell r="A495">
            <v>43439</v>
          </cell>
          <cell r="B495">
            <v>61.29</v>
          </cell>
          <cell r="C495">
            <v>2018</v>
          </cell>
          <cell r="D495" t="str">
            <v>Q4</v>
          </cell>
        </row>
        <row r="496">
          <cell r="A496">
            <v>43440</v>
          </cell>
          <cell r="B496">
            <v>57.8</v>
          </cell>
          <cell r="C496">
            <v>2018</v>
          </cell>
          <cell r="D496" t="str">
            <v>Q4</v>
          </cell>
        </row>
        <row r="497">
          <cell r="A497">
            <v>43441</v>
          </cell>
          <cell r="B497">
            <v>61.48</v>
          </cell>
          <cell r="C497">
            <v>2018</v>
          </cell>
          <cell r="D497" t="str">
            <v>Q4</v>
          </cell>
        </row>
        <row r="498">
          <cell r="A498">
            <v>43444</v>
          </cell>
          <cell r="B498">
            <v>60.22</v>
          </cell>
          <cell r="C498">
            <v>2018</v>
          </cell>
          <cell r="D498" t="str">
            <v>Q4</v>
          </cell>
        </row>
        <row r="499">
          <cell r="A499">
            <v>43445</v>
          </cell>
          <cell r="B499">
            <v>59.62</v>
          </cell>
          <cell r="C499">
            <v>2018</v>
          </cell>
          <cell r="D499" t="str">
            <v>Q4</v>
          </cell>
        </row>
        <row r="500">
          <cell r="A500">
            <v>43446</v>
          </cell>
          <cell r="B500">
            <v>59.82</v>
          </cell>
          <cell r="C500">
            <v>2018</v>
          </cell>
          <cell r="D500" t="str">
            <v>Q4</v>
          </cell>
        </row>
        <row r="501">
          <cell r="A501">
            <v>43447</v>
          </cell>
          <cell r="B501">
            <v>58.87</v>
          </cell>
          <cell r="C501">
            <v>2018</v>
          </cell>
          <cell r="D501" t="str">
            <v>Q4</v>
          </cell>
        </row>
        <row r="502">
          <cell r="A502">
            <v>43448</v>
          </cell>
          <cell r="B502">
            <v>58.42</v>
          </cell>
          <cell r="C502">
            <v>2018</v>
          </cell>
          <cell r="D502" t="str">
            <v>Q4</v>
          </cell>
        </row>
        <row r="503">
          <cell r="A503">
            <v>43451</v>
          </cell>
          <cell r="B503">
            <v>57.41</v>
          </cell>
          <cell r="C503">
            <v>2018</v>
          </cell>
          <cell r="D503" t="str">
            <v>Q4</v>
          </cell>
        </row>
        <row r="504">
          <cell r="A504">
            <v>43452</v>
          </cell>
          <cell r="B504">
            <v>55.19</v>
          </cell>
          <cell r="C504">
            <v>2018</v>
          </cell>
          <cell r="D504" t="str">
            <v>Q4</v>
          </cell>
        </row>
        <row r="505">
          <cell r="A505">
            <v>43453</v>
          </cell>
          <cell r="B505">
            <v>55.51</v>
          </cell>
          <cell r="C505">
            <v>2018</v>
          </cell>
          <cell r="D505" t="str">
            <v>Q4</v>
          </cell>
        </row>
        <row r="506">
          <cell r="A506">
            <v>43454</v>
          </cell>
          <cell r="B506">
            <v>52.83</v>
          </cell>
          <cell r="C506">
            <v>2018</v>
          </cell>
          <cell r="D506" t="str">
            <v>Q4</v>
          </cell>
        </row>
        <row r="507">
          <cell r="A507">
            <v>43455</v>
          </cell>
          <cell r="B507">
            <v>51.92</v>
          </cell>
          <cell r="C507">
            <v>2018</v>
          </cell>
          <cell r="D507" t="str">
            <v>Q4</v>
          </cell>
        </row>
        <row r="508">
          <cell r="A508">
            <v>43458</v>
          </cell>
          <cell r="B508">
            <v>51.71</v>
          </cell>
          <cell r="C508">
            <v>2018</v>
          </cell>
          <cell r="D508" t="str">
            <v>Q4</v>
          </cell>
        </row>
        <row r="509">
          <cell r="A509">
            <v>43460</v>
          </cell>
          <cell r="B509">
            <v>51.92</v>
          </cell>
          <cell r="C509">
            <v>2018</v>
          </cell>
          <cell r="D509" t="str">
            <v>Q4</v>
          </cell>
        </row>
        <row r="510">
          <cell r="A510">
            <v>43461</v>
          </cell>
          <cell r="B510">
            <v>51.5</v>
          </cell>
          <cell r="C510">
            <v>2018</v>
          </cell>
          <cell r="D510" t="str">
            <v>Q4</v>
          </cell>
        </row>
        <row r="511">
          <cell r="A511">
            <v>43462</v>
          </cell>
          <cell r="B511">
            <v>50.86</v>
          </cell>
          <cell r="C511">
            <v>2018</v>
          </cell>
          <cell r="D511" t="str">
            <v>Q4</v>
          </cell>
        </row>
        <row r="512">
          <cell r="A512">
            <v>43465</v>
          </cell>
          <cell r="B512">
            <v>50.86</v>
          </cell>
          <cell r="C512">
            <v>2018</v>
          </cell>
          <cell r="D512" t="str">
            <v>Q4</v>
          </cell>
        </row>
        <row r="513">
          <cell r="A513">
            <v>43466</v>
          </cell>
          <cell r="B513">
            <v>50.86</v>
          </cell>
          <cell r="C513">
            <v>2019</v>
          </cell>
          <cell r="D513" t="str">
            <v>Q1</v>
          </cell>
        </row>
        <row r="514">
          <cell r="A514">
            <v>43467</v>
          </cell>
          <cell r="B514">
            <v>54.17</v>
          </cell>
          <cell r="C514">
            <v>2019</v>
          </cell>
          <cell r="D514" t="str">
            <v>Q1</v>
          </cell>
        </row>
        <row r="515">
          <cell r="A515">
            <v>43468</v>
          </cell>
          <cell r="B515">
            <v>53.36</v>
          </cell>
          <cell r="C515">
            <v>2019</v>
          </cell>
          <cell r="D515" t="str">
            <v>Q1</v>
          </cell>
        </row>
        <row r="516">
          <cell r="A516">
            <v>43469</v>
          </cell>
          <cell r="B516">
            <v>55.72</v>
          </cell>
          <cell r="C516">
            <v>2019</v>
          </cell>
          <cell r="D516" t="str">
            <v>Q1</v>
          </cell>
        </row>
        <row r="517">
          <cell r="A517">
            <v>43472</v>
          </cell>
          <cell r="B517">
            <v>57.15</v>
          </cell>
          <cell r="C517">
            <v>2019</v>
          </cell>
          <cell r="D517" t="str">
            <v>Q1</v>
          </cell>
        </row>
        <row r="518">
          <cell r="A518">
            <v>43473</v>
          </cell>
          <cell r="B518">
            <v>56.97</v>
          </cell>
          <cell r="C518">
            <v>2019</v>
          </cell>
          <cell r="D518" t="str">
            <v>Q1</v>
          </cell>
        </row>
        <row r="519">
          <cell r="A519">
            <v>43474</v>
          </cell>
          <cell r="B519">
            <v>59.39</v>
          </cell>
          <cell r="C519">
            <v>2019</v>
          </cell>
          <cell r="D519" t="str">
            <v>Q1</v>
          </cell>
        </row>
        <row r="520">
          <cell r="A520">
            <v>43475</v>
          </cell>
          <cell r="B520">
            <v>60.43</v>
          </cell>
          <cell r="C520">
            <v>2019</v>
          </cell>
          <cell r="D520" t="str">
            <v>Q1</v>
          </cell>
        </row>
        <row r="521">
          <cell r="A521">
            <v>43476</v>
          </cell>
          <cell r="B521">
            <v>59.12</v>
          </cell>
          <cell r="C521">
            <v>2019</v>
          </cell>
          <cell r="D521" t="str">
            <v>Q1</v>
          </cell>
        </row>
        <row r="522">
          <cell r="A522">
            <v>43479</v>
          </cell>
          <cell r="B522">
            <v>58.74</v>
          </cell>
          <cell r="C522">
            <v>2019</v>
          </cell>
          <cell r="D522" t="str">
            <v>Q1</v>
          </cell>
        </row>
        <row r="523">
          <cell r="A523">
            <v>43480</v>
          </cell>
          <cell r="B523">
            <v>58.6</v>
          </cell>
          <cell r="C523">
            <v>2019</v>
          </cell>
          <cell r="D523" t="str">
            <v>Q1</v>
          </cell>
        </row>
        <row r="524">
          <cell r="A524">
            <v>43481</v>
          </cell>
          <cell r="B524">
            <v>59.7</v>
          </cell>
          <cell r="C524">
            <v>2019</v>
          </cell>
          <cell r="D524" t="str">
            <v>Q1</v>
          </cell>
        </row>
        <row r="525">
          <cell r="A525">
            <v>43482</v>
          </cell>
          <cell r="B525">
            <v>59.84</v>
          </cell>
          <cell r="C525">
            <v>2019</v>
          </cell>
          <cell r="D525" t="str">
            <v>Q1</v>
          </cell>
        </row>
        <row r="526">
          <cell r="A526">
            <v>43483</v>
          </cell>
          <cell r="B526">
            <v>62.06</v>
          </cell>
          <cell r="C526">
            <v>2019</v>
          </cell>
          <cell r="D526" t="str">
            <v>Q1</v>
          </cell>
        </row>
        <row r="527">
          <cell r="A527">
            <v>43486</v>
          </cell>
          <cell r="B527">
            <v>62.03</v>
          </cell>
          <cell r="C527">
            <v>2019</v>
          </cell>
          <cell r="D527" t="str">
            <v>Q1</v>
          </cell>
        </row>
        <row r="528">
          <cell r="A528">
            <v>43487</v>
          </cell>
          <cell r="B528">
            <v>61</v>
          </cell>
          <cell r="C528">
            <v>2019</v>
          </cell>
          <cell r="D528" t="str">
            <v>Q1</v>
          </cell>
        </row>
        <row r="529">
          <cell r="A529">
            <v>43488</v>
          </cell>
          <cell r="B529">
            <v>61.16</v>
          </cell>
          <cell r="C529">
            <v>2019</v>
          </cell>
          <cell r="D529" t="str">
            <v>Q1</v>
          </cell>
        </row>
        <row r="530">
          <cell r="A530">
            <v>43489</v>
          </cell>
          <cell r="B530">
            <v>61.22</v>
          </cell>
          <cell r="C530">
            <v>2019</v>
          </cell>
          <cell r="D530" t="str">
            <v>Q1</v>
          </cell>
        </row>
        <row r="531">
          <cell r="A531">
            <v>43490</v>
          </cell>
          <cell r="B531">
            <v>61.58</v>
          </cell>
          <cell r="C531">
            <v>2019</v>
          </cell>
          <cell r="D531" t="str">
            <v>Q1</v>
          </cell>
        </row>
        <row r="532">
          <cell r="A532">
            <v>43493</v>
          </cell>
          <cell r="B532">
            <v>59.89</v>
          </cell>
          <cell r="C532">
            <v>2019</v>
          </cell>
          <cell r="D532" t="str">
            <v>Q1</v>
          </cell>
        </row>
        <row r="533">
          <cell r="A533">
            <v>43494</v>
          </cell>
          <cell r="B533">
            <v>61.11</v>
          </cell>
          <cell r="C533">
            <v>2019</v>
          </cell>
          <cell r="D533" t="str">
            <v>Q1</v>
          </cell>
        </row>
        <row r="534">
          <cell r="A534">
            <v>43495</v>
          </cell>
          <cell r="B534">
            <v>61.97</v>
          </cell>
          <cell r="C534">
            <v>2019</v>
          </cell>
          <cell r="D534" t="str">
            <v>Q1</v>
          </cell>
        </row>
        <row r="535">
          <cell r="A535">
            <v>43496</v>
          </cell>
          <cell r="B535">
            <v>62.52</v>
          </cell>
          <cell r="C535">
            <v>2019</v>
          </cell>
          <cell r="D535" t="str">
            <v>Q1</v>
          </cell>
        </row>
        <row r="536">
          <cell r="A536">
            <v>43497</v>
          </cell>
          <cell r="B536">
            <v>61.95</v>
          </cell>
          <cell r="C536">
            <v>2019</v>
          </cell>
          <cell r="D536" t="str">
            <v>Q1</v>
          </cell>
        </row>
        <row r="537">
          <cell r="A537">
            <v>43500</v>
          </cell>
          <cell r="B537">
            <v>62.33</v>
          </cell>
          <cell r="C537">
            <v>2019</v>
          </cell>
          <cell r="D537" t="str">
            <v>Q1</v>
          </cell>
        </row>
        <row r="538">
          <cell r="A538">
            <v>43501</v>
          </cell>
          <cell r="B538">
            <v>61.61</v>
          </cell>
          <cell r="C538">
            <v>2019</v>
          </cell>
          <cell r="D538" t="str">
            <v>Q1</v>
          </cell>
        </row>
        <row r="539">
          <cell r="A539">
            <v>43502</v>
          </cell>
          <cell r="B539">
            <v>62.13</v>
          </cell>
          <cell r="C539">
            <v>2019</v>
          </cell>
          <cell r="D539" t="str">
            <v>Q1</v>
          </cell>
        </row>
        <row r="540">
          <cell r="A540">
            <v>43503</v>
          </cell>
          <cell r="B540">
            <v>61.03</v>
          </cell>
          <cell r="C540">
            <v>2019</v>
          </cell>
          <cell r="D540" t="str">
            <v>Q1</v>
          </cell>
        </row>
        <row r="541">
          <cell r="A541">
            <v>43504</v>
          </cell>
          <cell r="B541">
            <v>61.37</v>
          </cell>
          <cell r="C541">
            <v>2019</v>
          </cell>
          <cell r="D541" t="str">
            <v>Q1</v>
          </cell>
        </row>
        <row r="542">
          <cell r="A542">
            <v>43507</v>
          </cell>
          <cell r="B542">
            <v>61.3</v>
          </cell>
          <cell r="C542">
            <v>2019</v>
          </cell>
          <cell r="D542" t="str">
            <v>Q1</v>
          </cell>
        </row>
        <row r="543">
          <cell r="A543">
            <v>43508</v>
          </cell>
          <cell r="B543">
            <v>62.58</v>
          </cell>
          <cell r="C543">
            <v>2019</v>
          </cell>
          <cell r="D543" t="str">
            <v>Q1</v>
          </cell>
        </row>
        <row r="544">
          <cell r="A544">
            <v>43509</v>
          </cell>
          <cell r="B544">
            <v>63.12</v>
          </cell>
          <cell r="C544">
            <v>2019</v>
          </cell>
          <cell r="D544" t="str">
            <v>Q1</v>
          </cell>
        </row>
        <row r="545">
          <cell r="A545">
            <v>43510</v>
          </cell>
          <cell r="B545">
            <v>63.92</v>
          </cell>
          <cell r="C545">
            <v>2019</v>
          </cell>
          <cell r="D545" t="str">
            <v>Q1</v>
          </cell>
        </row>
        <row r="546">
          <cell r="A546">
            <v>43511</v>
          </cell>
          <cell r="B546">
            <v>65.510000000000005</v>
          </cell>
          <cell r="C546">
            <v>2019</v>
          </cell>
          <cell r="D546" t="str">
            <v>Q1</v>
          </cell>
        </row>
        <row r="547">
          <cell r="A547">
            <v>43514</v>
          </cell>
          <cell r="B547">
            <v>66.3</v>
          </cell>
          <cell r="C547">
            <v>2019</v>
          </cell>
          <cell r="D547" t="str">
            <v>Q1</v>
          </cell>
        </row>
        <row r="548">
          <cell r="A548">
            <v>43515</v>
          </cell>
          <cell r="B548">
            <v>65.78</v>
          </cell>
          <cell r="C548">
            <v>2019</v>
          </cell>
          <cell r="D548" t="str">
            <v>Q1</v>
          </cell>
        </row>
        <row r="549">
          <cell r="A549">
            <v>43516</v>
          </cell>
          <cell r="B549">
            <v>66.709999999999994</v>
          </cell>
          <cell r="C549">
            <v>2019</v>
          </cell>
          <cell r="D549" t="str">
            <v>Q1</v>
          </cell>
        </row>
        <row r="550">
          <cell r="A550">
            <v>43517</v>
          </cell>
          <cell r="B550">
            <v>66.790000000000006</v>
          </cell>
          <cell r="C550">
            <v>2019</v>
          </cell>
          <cell r="D550" t="str">
            <v>Q1</v>
          </cell>
        </row>
        <row r="551">
          <cell r="A551">
            <v>43518</v>
          </cell>
          <cell r="B551">
            <v>66.790000000000006</v>
          </cell>
          <cell r="C551">
            <v>2019</v>
          </cell>
          <cell r="D551" t="str">
            <v>Q1</v>
          </cell>
        </row>
        <row r="552">
          <cell r="A552">
            <v>43521</v>
          </cell>
          <cell r="B552">
            <v>63.8</v>
          </cell>
          <cell r="C552">
            <v>2019</v>
          </cell>
          <cell r="D552" t="str">
            <v>Q1</v>
          </cell>
        </row>
        <row r="553">
          <cell r="A553">
            <v>43522</v>
          </cell>
          <cell r="B553">
            <v>64.27</v>
          </cell>
          <cell r="C553">
            <v>2019</v>
          </cell>
          <cell r="D553" t="str">
            <v>Q1</v>
          </cell>
        </row>
        <row r="554">
          <cell r="A554">
            <v>43523</v>
          </cell>
          <cell r="B554">
            <v>65.59</v>
          </cell>
          <cell r="C554">
            <v>2019</v>
          </cell>
          <cell r="D554" t="str">
            <v>Q1</v>
          </cell>
        </row>
        <row r="555">
          <cell r="A555">
            <v>43524</v>
          </cell>
          <cell r="B555">
            <v>65.12</v>
          </cell>
          <cell r="C555">
            <v>2019</v>
          </cell>
          <cell r="D555" t="str">
            <v>Q1</v>
          </cell>
        </row>
        <row r="556">
          <cell r="A556">
            <v>43525</v>
          </cell>
          <cell r="B556">
            <v>63.79</v>
          </cell>
          <cell r="C556">
            <v>2019</v>
          </cell>
          <cell r="D556" t="str">
            <v>Q1</v>
          </cell>
        </row>
        <row r="557">
          <cell r="A557">
            <v>43528</v>
          </cell>
          <cell r="B557">
            <v>64.52</v>
          </cell>
          <cell r="C557">
            <v>2019</v>
          </cell>
          <cell r="D557" t="str">
            <v>Q1</v>
          </cell>
        </row>
        <row r="558">
          <cell r="A558">
            <v>43529</v>
          </cell>
          <cell r="B558">
            <v>64.33</v>
          </cell>
          <cell r="C558">
            <v>2019</v>
          </cell>
          <cell r="D558" t="str">
            <v>Q1</v>
          </cell>
        </row>
        <row r="559">
          <cell r="A559">
            <v>43530</v>
          </cell>
          <cell r="B559">
            <v>64.61</v>
          </cell>
          <cell r="C559">
            <v>2019</v>
          </cell>
          <cell r="D559" t="str">
            <v>Q1</v>
          </cell>
        </row>
        <row r="560">
          <cell r="A560">
            <v>43531</v>
          </cell>
          <cell r="B560">
            <v>64.83</v>
          </cell>
          <cell r="C560">
            <v>2019</v>
          </cell>
          <cell r="D560" t="str">
            <v>Q1</v>
          </cell>
        </row>
        <row r="561">
          <cell r="A561">
            <v>43532</v>
          </cell>
          <cell r="B561">
            <v>63.7</v>
          </cell>
          <cell r="C561">
            <v>2019</v>
          </cell>
          <cell r="D561" t="str">
            <v>Q1</v>
          </cell>
        </row>
        <row r="562">
          <cell r="A562">
            <v>43535</v>
          </cell>
          <cell r="B562">
            <v>65.11</v>
          </cell>
          <cell r="C562">
            <v>2019</v>
          </cell>
          <cell r="D562" t="str">
            <v>Q1</v>
          </cell>
        </row>
        <row r="563">
          <cell r="A563">
            <v>43536</v>
          </cell>
          <cell r="B563">
            <v>65.37</v>
          </cell>
          <cell r="C563">
            <v>2019</v>
          </cell>
          <cell r="D563" t="str">
            <v>Q1</v>
          </cell>
        </row>
        <row r="564">
          <cell r="A564">
            <v>43537</v>
          </cell>
          <cell r="B564">
            <v>65.819999999999993</v>
          </cell>
          <cell r="C564">
            <v>2019</v>
          </cell>
          <cell r="D564" t="str">
            <v>Q1</v>
          </cell>
        </row>
        <row r="565">
          <cell r="A565">
            <v>43538</v>
          </cell>
          <cell r="B565">
            <v>66.099999999999994</v>
          </cell>
          <cell r="C565">
            <v>2019</v>
          </cell>
          <cell r="D565" t="str">
            <v>Q1</v>
          </cell>
        </row>
        <row r="566">
          <cell r="A566">
            <v>43539</v>
          </cell>
          <cell r="B566">
            <v>66.209999999999994</v>
          </cell>
          <cell r="C566">
            <v>2019</v>
          </cell>
          <cell r="D566" t="str">
            <v>Q1</v>
          </cell>
        </row>
        <row r="567">
          <cell r="A567">
            <v>43542</v>
          </cell>
          <cell r="B567">
            <v>66.72</v>
          </cell>
          <cell r="C567">
            <v>2019</v>
          </cell>
          <cell r="D567" t="str">
            <v>Q1</v>
          </cell>
        </row>
        <row r="568">
          <cell r="A568">
            <v>43543</v>
          </cell>
          <cell r="B568">
            <v>67.31</v>
          </cell>
          <cell r="C568">
            <v>2019</v>
          </cell>
          <cell r="D568" t="str">
            <v>Q1</v>
          </cell>
        </row>
        <row r="569">
          <cell r="A569">
            <v>43544</v>
          </cell>
          <cell r="B569">
            <v>68.430000000000007</v>
          </cell>
          <cell r="C569">
            <v>2019</v>
          </cell>
          <cell r="D569" t="str">
            <v>Q1</v>
          </cell>
        </row>
        <row r="570">
          <cell r="A570">
            <v>43545</v>
          </cell>
          <cell r="B570">
            <v>68.385000000000005</v>
          </cell>
          <cell r="C570">
            <v>2019</v>
          </cell>
          <cell r="D570" t="str">
            <v>Q1</v>
          </cell>
        </row>
        <row r="571">
          <cell r="A571">
            <v>43546</v>
          </cell>
          <cell r="B571">
            <v>66.534999999999997</v>
          </cell>
          <cell r="C571">
            <v>2019</v>
          </cell>
          <cell r="D571" t="str">
            <v>Q1</v>
          </cell>
        </row>
        <row r="572">
          <cell r="A572">
            <v>43549</v>
          </cell>
          <cell r="B572">
            <v>67.55</v>
          </cell>
          <cell r="C572">
            <v>2019</v>
          </cell>
          <cell r="D572" t="str">
            <v>Q1</v>
          </cell>
        </row>
        <row r="573">
          <cell r="A573">
            <v>43550</v>
          </cell>
          <cell r="B573">
            <v>67.709999999999994</v>
          </cell>
          <cell r="C573">
            <v>2019</v>
          </cell>
          <cell r="D573" t="str">
            <v>Q1</v>
          </cell>
        </row>
        <row r="574">
          <cell r="A574">
            <v>43551</v>
          </cell>
          <cell r="B574">
            <v>67.48</v>
          </cell>
          <cell r="C574">
            <v>2019</v>
          </cell>
          <cell r="D574" t="str">
            <v>Q1</v>
          </cell>
        </row>
        <row r="575">
          <cell r="A575">
            <v>43552</v>
          </cell>
          <cell r="B575">
            <v>66.39</v>
          </cell>
          <cell r="C575">
            <v>2019</v>
          </cell>
          <cell r="D575" t="str">
            <v>Q1</v>
          </cell>
        </row>
        <row r="576">
          <cell r="A576">
            <v>43553</v>
          </cell>
          <cell r="B576">
            <v>68.135000000000005</v>
          </cell>
          <cell r="C576">
            <v>2019</v>
          </cell>
          <cell r="D576" t="str">
            <v>Q1</v>
          </cell>
        </row>
        <row r="577">
          <cell r="A577">
            <v>43556</v>
          </cell>
          <cell r="B577">
            <v>69.194999999999993</v>
          </cell>
          <cell r="C577">
            <v>2019</v>
          </cell>
          <cell r="D577" t="str">
            <v>Q2</v>
          </cell>
        </row>
        <row r="578">
          <cell r="A578">
            <v>43557</v>
          </cell>
          <cell r="B578">
            <v>69.745000000000005</v>
          </cell>
          <cell r="C578">
            <v>2019</v>
          </cell>
          <cell r="D578" t="str">
            <v>Q2</v>
          </cell>
        </row>
        <row r="579">
          <cell r="A579">
            <v>43558</v>
          </cell>
          <cell r="B579">
            <v>69.314999999999998</v>
          </cell>
          <cell r="C579">
            <v>2019</v>
          </cell>
          <cell r="D579" t="str">
            <v>Q2</v>
          </cell>
        </row>
        <row r="580">
          <cell r="A580">
            <v>43559</v>
          </cell>
          <cell r="B580">
            <v>69.855000000000004</v>
          </cell>
          <cell r="C580">
            <v>2019</v>
          </cell>
          <cell r="D580" t="str">
            <v>Q2</v>
          </cell>
        </row>
        <row r="581">
          <cell r="A581">
            <v>43560</v>
          </cell>
          <cell r="B581">
            <v>70.02</v>
          </cell>
          <cell r="C581">
            <v>2019</v>
          </cell>
          <cell r="D581" t="str">
            <v>Q2</v>
          </cell>
        </row>
        <row r="582">
          <cell r="A582">
            <v>43563</v>
          </cell>
          <cell r="B582">
            <v>71.3</v>
          </cell>
          <cell r="C582">
            <v>2019</v>
          </cell>
          <cell r="D582" t="str">
            <v>Q2</v>
          </cell>
        </row>
        <row r="583">
          <cell r="A583">
            <v>43564</v>
          </cell>
          <cell r="B583">
            <v>71.209999999999994</v>
          </cell>
          <cell r="C583">
            <v>2019</v>
          </cell>
          <cell r="D583" t="str">
            <v>Q2</v>
          </cell>
        </row>
        <row r="584">
          <cell r="A584">
            <v>43565</v>
          </cell>
          <cell r="B584">
            <v>71.77</v>
          </cell>
          <cell r="C584">
            <v>2019</v>
          </cell>
          <cell r="D584" t="str">
            <v>Q2</v>
          </cell>
        </row>
        <row r="585">
          <cell r="A585">
            <v>43566</v>
          </cell>
          <cell r="B585">
            <v>71.099999999999994</v>
          </cell>
          <cell r="C585">
            <v>2019</v>
          </cell>
          <cell r="D585" t="str">
            <v>Q2</v>
          </cell>
        </row>
        <row r="586">
          <cell r="A586">
            <v>43567</v>
          </cell>
          <cell r="B586">
            <v>71.62</v>
          </cell>
          <cell r="C586">
            <v>2019</v>
          </cell>
          <cell r="D586" t="str">
            <v>Q2</v>
          </cell>
        </row>
        <row r="587">
          <cell r="A587">
            <v>43570</v>
          </cell>
          <cell r="B587">
            <v>71.004999999999995</v>
          </cell>
          <cell r="C587">
            <v>2019</v>
          </cell>
          <cell r="D587" t="str">
            <v>Q2</v>
          </cell>
        </row>
        <row r="588">
          <cell r="A588">
            <v>43571</v>
          </cell>
          <cell r="B588">
            <v>70.86</v>
          </cell>
          <cell r="C588">
            <v>2019</v>
          </cell>
          <cell r="D588" t="str">
            <v>Q2</v>
          </cell>
        </row>
        <row r="589">
          <cell r="A589">
            <v>43572</v>
          </cell>
          <cell r="B589">
            <v>70.86</v>
          </cell>
          <cell r="C589">
            <v>2019</v>
          </cell>
          <cell r="D589" t="str">
            <v>Q2</v>
          </cell>
        </row>
        <row r="590">
          <cell r="A590">
            <v>43573</v>
          </cell>
          <cell r="B590">
            <v>70.325000000000003</v>
          </cell>
          <cell r="C590">
            <v>2019</v>
          </cell>
          <cell r="D590" t="str">
            <v>Q2</v>
          </cell>
        </row>
        <row r="591">
          <cell r="A591">
            <v>43578</v>
          </cell>
          <cell r="B591">
            <v>72.855000000000004</v>
          </cell>
          <cell r="C591">
            <v>2019</v>
          </cell>
          <cell r="D591" t="str">
            <v>Q2</v>
          </cell>
        </row>
        <row r="592">
          <cell r="A592">
            <v>43579</v>
          </cell>
          <cell r="B592">
            <v>73.709999999999994</v>
          </cell>
          <cell r="C592">
            <v>2019</v>
          </cell>
          <cell r="D592" t="str">
            <v>Q2</v>
          </cell>
        </row>
        <row r="593">
          <cell r="A593">
            <v>43580</v>
          </cell>
          <cell r="B593">
            <v>74.355000000000004</v>
          </cell>
          <cell r="C593">
            <v>2019</v>
          </cell>
          <cell r="D593" t="str">
            <v>Q2</v>
          </cell>
        </row>
        <row r="594">
          <cell r="A594">
            <v>43581</v>
          </cell>
          <cell r="B594">
            <v>70.760000000000005</v>
          </cell>
          <cell r="C594">
            <v>2019</v>
          </cell>
          <cell r="D594" t="str">
            <v>Q2</v>
          </cell>
        </row>
        <row r="595">
          <cell r="A595">
            <v>43584</v>
          </cell>
          <cell r="B595">
            <v>70.930000000000007</v>
          </cell>
          <cell r="C595">
            <v>2019</v>
          </cell>
          <cell r="D595" t="str">
            <v>Q2</v>
          </cell>
        </row>
        <row r="596">
          <cell r="A596">
            <v>43585</v>
          </cell>
          <cell r="B596">
            <v>71.825000000000003</v>
          </cell>
          <cell r="C596">
            <v>2019</v>
          </cell>
          <cell r="D596" t="str">
            <v>Q2</v>
          </cell>
        </row>
        <row r="597">
          <cell r="A597">
            <v>43586</v>
          </cell>
          <cell r="B597">
            <v>71.66</v>
          </cell>
          <cell r="C597">
            <v>2019</v>
          </cell>
          <cell r="D597" t="str">
            <v>Q2</v>
          </cell>
        </row>
        <row r="598">
          <cell r="A598">
            <v>43587</v>
          </cell>
          <cell r="B598">
            <v>70.325000000000003</v>
          </cell>
          <cell r="C598">
            <v>2019</v>
          </cell>
          <cell r="D598" t="str">
            <v>Q2</v>
          </cell>
        </row>
        <row r="599">
          <cell r="A599">
            <v>43588</v>
          </cell>
          <cell r="B599">
            <v>71.605000000000004</v>
          </cell>
          <cell r="C599">
            <v>2019</v>
          </cell>
          <cell r="D599" t="str">
            <v>Q2</v>
          </cell>
        </row>
        <row r="600">
          <cell r="A600">
            <v>43592</v>
          </cell>
          <cell r="B600">
            <v>70.489999999999995</v>
          </cell>
          <cell r="C600">
            <v>2019</v>
          </cell>
          <cell r="D600" t="str">
            <v>Q2</v>
          </cell>
        </row>
        <row r="601">
          <cell r="A601">
            <v>43593</v>
          </cell>
          <cell r="B601">
            <v>70.814999999999998</v>
          </cell>
          <cell r="C601">
            <v>2019</v>
          </cell>
          <cell r="D601" t="str">
            <v>Q2</v>
          </cell>
        </row>
        <row r="602">
          <cell r="A602">
            <v>43594</v>
          </cell>
          <cell r="B602">
            <v>70.015000000000001</v>
          </cell>
          <cell r="C602">
            <v>2019</v>
          </cell>
          <cell r="D602" t="str">
            <v>Q2</v>
          </cell>
        </row>
        <row r="603">
          <cell r="A603">
            <v>43595</v>
          </cell>
          <cell r="B603">
            <v>71.31</v>
          </cell>
          <cell r="C603">
            <v>2019</v>
          </cell>
          <cell r="D603" t="str">
            <v>Q2</v>
          </cell>
        </row>
        <row r="604">
          <cell r="A604">
            <v>43598</v>
          </cell>
          <cell r="B604">
            <v>72.66</v>
          </cell>
          <cell r="C604">
            <v>2019</v>
          </cell>
          <cell r="D604" t="str">
            <v>Q2</v>
          </cell>
        </row>
        <row r="605">
          <cell r="A605">
            <v>43599</v>
          </cell>
          <cell r="B605">
            <v>72.86</v>
          </cell>
          <cell r="C605">
            <v>2019</v>
          </cell>
          <cell r="D605" t="str">
            <v>Q2</v>
          </cell>
        </row>
        <row r="606">
          <cell r="A606">
            <v>43600</v>
          </cell>
          <cell r="B606">
            <v>73.41</v>
          </cell>
          <cell r="C606">
            <v>2019</v>
          </cell>
          <cell r="D606" t="str">
            <v>Q2</v>
          </cell>
        </row>
        <row r="607">
          <cell r="A607">
            <v>43601</v>
          </cell>
          <cell r="B607">
            <v>74.959999999999994</v>
          </cell>
          <cell r="C607">
            <v>2019</v>
          </cell>
          <cell r="D607" t="str">
            <v>Q2</v>
          </cell>
        </row>
        <row r="608">
          <cell r="A608">
            <v>43602</v>
          </cell>
          <cell r="B608">
            <v>74.23</v>
          </cell>
          <cell r="C608">
            <v>2019</v>
          </cell>
          <cell r="D608" t="str">
            <v>Q2</v>
          </cell>
        </row>
        <row r="609">
          <cell r="A609">
            <v>43605</v>
          </cell>
          <cell r="B609">
            <v>73.540000000000006</v>
          </cell>
          <cell r="C609">
            <v>2019</v>
          </cell>
          <cell r="D609" t="str">
            <v>Q2</v>
          </cell>
        </row>
        <row r="610">
          <cell r="A610">
            <v>43606</v>
          </cell>
          <cell r="B610">
            <v>73.290000000000006</v>
          </cell>
          <cell r="C610">
            <v>2019</v>
          </cell>
          <cell r="D610" t="str">
            <v>Q2</v>
          </cell>
        </row>
        <row r="611">
          <cell r="A611">
            <v>43607</v>
          </cell>
          <cell r="B611">
            <v>72.34</v>
          </cell>
          <cell r="C611">
            <v>2019</v>
          </cell>
          <cell r="D611" t="str">
            <v>Q2</v>
          </cell>
        </row>
        <row r="612">
          <cell r="A612">
            <v>43608</v>
          </cell>
          <cell r="B612">
            <v>68.95</v>
          </cell>
          <cell r="C612">
            <v>2019</v>
          </cell>
          <cell r="D612" t="str">
            <v>Q2</v>
          </cell>
        </row>
        <row r="613">
          <cell r="A613">
            <v>43609</v>
          </cell>
          <cell r="B613">
            <v>68.47</v>
          </cell>
          <cell r="C613">
            <v>2019</v>
          </cell>
          <cell r="D613" t="str">
            <v>Q2</v>
          </cell>
        </row>
        <row r="614">
          <cell r="A614">
            <v>43613</v>
          </cell>
          <cell r="B614">
            <v>70.67</v>
          </cell>
          <cell r="C614">
            <v>2019</v>
          </cell>
          <cell r="D614" t="str">
            <v>Q2</v>
          </cell>
        </row>
        <row r="615">
          <cell r="A615">
            <v>43614</v>
          </cell>
          <cell r="B615">
            <v>70.75</v>
          </cell>
          <cell r="C615">
            <v>2019</v>
          </cell>
          <cell r="D615" t="str">
            <v>Q2</v>
          </cell>
        </row>
        <row r="616">
          <cell r="A616">
            <v>43615</v>
          </cell>
          <cell r="B616">
            <v>69.459999999999994</v>
          </cell>
          <cell r="C616">
            <v>2019</v>
          </cell>
          <cell r="D616" t="str">
            <v>Q2</v>
          </cell>
        </row>
        <row r="617">
          <cell r="A617">
            <v>43616</v>
          </cell>
          <cell r="B617">
            <v>66.33</v>
          </cell>
          <cell r="C617">
            <v>2019</v>
          </cell>
          <cell r="D617" t="str">
            <v>Q2</v>
          </cell>
        </row>
        <row r="618">
          <cell r="A618">
            <v>43619</v>
          </cell>
          <cell r="B618">
            <v>64.069999999999993</v>
          </cell>
          <cell r="C618">
            <v>2019</v>
          </cell>
          <cell r="D618" t="str">
            <v>Q2</v>
          </cell>
        </row>
        <row r="619">
          <cell r="A619">
            <v>43620</v>
          </cell>
          <cell r="B619">
            <v>64.47</v>
          </cell>
          <cell r="C619">
            <v>2019</v>
          </cell>
          <cell r="D619" t="str">
            <v>Q2</v>
          </cell>
        </row>
        <row r="620">
          <cell r="A620">
            <v>43621</v>
          </cell>
          <cell r="B620">
            <v>62.91</v>
          </cell>
          <cell r="C620">
            <v>2019</v>
          </cell>
          <cell r="D620" t="str">
            <v>Q2</v>
          </cell>
        </row>
        <row r="621">
          <cell r="A621">
            <v>43622</v>
          </cell>
          <cell r="B621">
            <v>63.56</v>
          </cell>
          <cell r="C621">
            <v>2019</v>
          </cell>
          <cell r="D621" t="str">
            <v>Q2</v>
          </cell>
        </row>
        <row r="622">
          <cell r="A622">
            <v>43623</v>
          </cell>
          <cell r="B622">
            <v>64.739999999999995</v>
          </cell>
          <cell r="C622">
            <v>2019</v>
          </cell>
          <cell r="D622" t="str">
            <v>Q2</v>
          </cell>
        </row>
        <row r="623">
          <cell r="A623">
            <v>43626</v>
          </cell>
          <cell r="B623">
            <v>64.900000000000006</v>
          </cell>
          <cell r="C623">
            <v>2019</v>
          </cell>
          <cell r="D623" t="str">
            <v>Q2</v>
          </cell>
        </row>
        <row r="624">
          <cell r="A624">
            <v>43627</v>
          </cell>
          <cell r="B624">
            <v>64.16</v>
          </cell>
          <cell r="C624">
            <v>2019</v>
          </cell>
          <cell r="D624" t="str">
            <v>Q2</v>
          </cell>
        </row>
        <row r="625">
          <cell r="A625">
            <v>43628</v>
          </cell>
          <cell r="B625">
            <v>62.36</v>
          </cell>
          <cell r="C625">
            <v>2019</v>
          </cell>
          <cell r="D625" t="str">
            <v>Q2</v>
          </cell>
        </row>
        <row r="626">
          <cell r="A626">
            <v>43629</v>
          </cell>
          <cell r="B626">
            <v>63.84</v>
          </cell>
          <cell r="C626">
            <v>2019</v>
          </cell>
          <cell r="D626" t="str">
            <v>Q2</v>
          </cell>
        </row>
        <row r="627">
          <cell r="A627">
            <v>43630</v>
          </cell>
          <cell r="B627">
            <v>63.49</v>
          </cell>
          <cell r="C627">
            <v>2019</v>
          </cell>
          <cell r="D627" t="str">
            <v>Q2</v>
          </cell>
        </row>
        <row r="628">
          <cell r="A628">
            <v>43633</v>
          </cell>
          <cell r="B628">
            <v>63.15</v>
          </cell>
          <cell r="C628">
            <v>2019</v>
          </cell>
          <cell r="D628" t="str">
            <v>Q2</v>
          </cell>
        </row>
        <row r="629">
          <cell r="A629">
            <v>43634</v>
          </cell>
          <cell r="B629">
            <v>63.9</v>
          </cell>
          <cell r="C629">
            <v>2019</v>
          </cell>
          <cell r="D629" t="str">
            <v>Q2</v>
          </cell>
        </row>
        <row r="630">
          <cell r="A630">
            <v>43635</v>
          </cell>
          <cell r="B630">
            <v>63.5</v>
          </cell>
          <cell r="C630">
            <v>2019</v>
          </cell>
          <cell r="D630" t="str">
            <v>Q2</v>
          </cell>
        </row>
        <row r="631">
          <cell r="A631">
            <v>43636</v>
          </cell>
          <cell r="B631">
            <v>66.010000000000005</v>
          </cell>
          <cell r="C631">
            <v>2019</v>
          </cell>
          <cell r="D631" t="str">
            <v>Q2</v>
          </cell>
        </row>
        <row r="632">
          <cell r="A632">
            <v>43637</v>
          </cell>
          <cell r="B632">
            <v>66.569999999999993</v>
          </cell>
          <cell r="C632">
            <v>2019</v>
          </cell>
          <cell r="D632" t="str">
            <v>Q2</v>
          </cell>
        </row>
        <row r="633">
          <cell r="A633">
            <v>43640</v>
          </cell>
          <cell r="B633">
            <v>65.8</v>
          </cell>
          <cell r="C633">
            <v>2019</v>
          </cell>
          <cell r="D633" t="str">
            <v>Q2</v>
          </cell>
        </row>
        <row r="634">
          <cell r="A634">
            <v>43641</v>
          </cell>
          <cell r="B634">
            <v>66.77</v>
          </cell>
          <cell r="C634">
            <v>2019</v>
          </cell>
          <cell r="D634" t="str">
            <v>Q2</v>
          </cell>
        </row>
        <row r="635">
          <cell r="A635">
            <v>43642</v>
          </cell>
          <cell r="B635">
            <v>67.400000000000006</v>
          </cell>
          <cell r="C635">
            <v>2019</v>
          </cell>
          <cell r="D635" t="str">
            <v>Q2</v>
          </cell>
        </row>
        <row r="636">
          <cell r="A636">
            <v>43643</v>
          </cell>
          <cell r="B636">
            <v>67.33</v>
          </cell>
          <cell r="C636">
            <v>2019</v>
          </cell>
          <cell r="D636" t="str">
            <v>Q2</v>
          </cell>
        </row>
        <row r="637">
          <cell r="A637">
            <v>43644</v>
          </cell>
          <cell r="B637">
            <v>67.16</v>
          </cell>
          <cell r="C637">
            <v>2019</v>
          </cell>
          <cell r="D637" t="str">
            <v>Q2</v>
          </cell>
        </row>
        <row r="638">
          <cell r="A638">
            <v>43647</v>
          </cell>
          <cell r="B638">
            <v>65.739999999999995</v>
          </cell>
          <cell r="C638">
            <v>2019</v>
          </cell>
          <cell r="D638" t="str">
            <v>Q3</v>
          </cell>
        </row>
        <row r="639">
          <cell r="A639">
            <v>43648</v>
          </cell>
          <cell r="B639">
            <v>63.48</v>
          </cell>
          <cell r="C639">
            <v>2019</v>
          </cell>
          <cell r="D639" t="str">
            <v>Q3</v>
          </cell>
        </row>
        <row r="640">
          <cell r="A640">
            <v>43649</v>
          </cell>
          <cell r="B640">
            <v>64.025000000000006</v>
          </cell>
          <cell r="C640">
            <v>2019</v>
          </cell>
          <cell r="D640" t="str">
            <v>Q3</v>
          </cell>
        </row>
        <row r="641">
          <cell r="A641">
            <v>43650</v>
          </cell>
          <cell r="B641">
            <v>64.11</v>
          </cell>
          <cell r="C641">
            <v>2019</v>
          </cell>
          <cell r="D641" t="str">
            <v>Q3</v>
          </cell>
        </row>
        <row r="642">
          <cell r="A642">
            <v>43651</v>
          </cell>
          <cell r="B642">
            <v>64.504999999999995</v>
          </cell>
          <cell r="C642">
            <v>2019</v>
          </cell>
          <cell r="D642" t="str">
            <v>Q3</v>
          </cell>
        </row>
        <row r="643">
          <cell r="A643">
            <v>43654</v>
          </cell>
          <cell r="B643">
            <v>65.11</v>
          </cell>
          <cell r="C643">
            <v>2019</v>
          </cell>
          <cell r="D643" t="str">
            <v>Q3</v>
          </cell>
        </row>
        <row r="644">
          <cell r="A644">
            <v>43655</v>
          </cell>
          <cell r="B644">
            <v>64.569999999999993</v>
          </cell>
          <cell r="C644">
            <v>2019</v>
          </cell>
          <cell r="D644" t="str">
            <v>Q3</v>
          </cell>
        </row>
        <row r="645">
          <cell r="A645">
            <v>43656</v>
          </cell>
          <cell r="B645">
            <v>66.510000000000005</v>
          </cell>
          <cell r="C645">
            <v>2019</v>
          </cell>
          <cell r="D645" t="str">
            <v>Q3</v>
          </cell>
        </row>
        <row r="646">
          <cell r="A646">
            <v>43657</v>
          </cell>
          <cell r="B646">
            <v>67.849999999999994</v>
          </cell>
          <cell r="C646">
            <v>2019</v>
          </cell>
          <cell r="D646" t="str">
            <v>Q3</v>
          </cell>
        </row>
        <row r="647">
          <cell r="A647">
            <v>43658</v>
          </cell>
          <cell r="B647">
            <v>66.94</v>
          </cell>
          <cell r="C647">
            <v>2019</v>
          </cell>
          <cell r="D647" t="str">
            <v>Q3</v>
          </cell>
        </row>
        <row r="648">
          <cell r="A648">
            <v>43661</v>
          </cell>
          <cell r="B648">
            <v>66.92</v>
          </cell>
          <cell r="C648">
            <v>2019</v>
          </cell>
          <cell r="D648" t="str">
            <v>Q3</v>
          </cell>
        </row>
        <row r="649">
          <cell r="A649">
            <v>43662</v>
          </cell>
          <cell r="B649">
            <v>65.855000000000004</v>
          </cell>
          <cell r="C649">
            <v>2019</v>
          </cell>
          <cell r="D649" t="str">
            <v>Q3</v>
          </cell>
        </row>
        <row r="650">
          <cell r="A650">
            <v>43663</v>
          </cell>
          <cell r="B650">
            <v>63.62</v>
          </cell>
          <cell r="C650">
            <v>2019</v>
          </cell>
          <cell r="D650" t="str">
            <v>Q3</v>
          </cell>
        </row>
        <row r="651">
          <cell r="A651">
            <v>43664</v>
          </cell>
          <cell r="B651">
            <v>60.935000000000002</v>
          </cell>
          <cell r="C651">
            <v>2019</v>
          </cell>
          <cell r="D651" t="str">
            <v>Q3</v>
          </cell>
        </row>
        <row r="652">
          <cell r="A652">
            <v>43665</v>
          </cell>
          <cell r="B652">
            <v>61.25</v>
          </cell>
          <cell r="C652">
            <v>2019</v>
          </cell>
          <cell r="D652" t="str">
            <v>Q3</v>
          </cell>
        </row>
        <row r="653">
          <cell r="A653">
            <v>43668</v>
          </cell>
          <cell r="B653">
            <v>62.094999999999999</v>
          </cell>
          <cell r="C653">
            <v>2019</v>
          </cell>
          <cell r="D653" t="str">
            <v>Q3</v>
          </cell>
        </row>
        <row r="654">
          <cell r="A654">
            <v>43669</v>
          </cell>
          <cell r="B654">
            <v>62.48</v>
          </cell>
          <cell r="C654">
            <v>2019</v>
          </cell>
          <cell r="D654" t="str">
            <v>Q3</v>
          </cell>
        </row>
        <row r="655">
          <cell r="A655">
            <v>43670</v>
          </cell>
          <cell r="B655">
            <v>63.95</v>
          </cell>
          <cell r="C655">
            <v>2019</v>
          </cell>
          <cell r="D655" t="str">
            <v>Q3</v>
          </cell>
        </row>
        <row r="656">
          <cell r="A656">
            <v>43671</v>
          </cell>
          <cell r="B656">
            <v>63.62</v>
          </cell>
          <cell r="C656">
            <v>2019</v>
          </cell>
          <cell r="D656" t="str">
            <v>Q3</v>
          </cell>
        </row>
        <row r="657">
          <cell r="A657">
            <v>43672</v>
          </cell>
          <cell r="B657">
            <v>62.69</v>
          </cell>
          <cell r="C657">
            <v>2019</v>
          </cell>
          <cell r="D657" t="str">
            <v>Q3</v>
          </cell>
        </row>
        <row r="658">
          <cell r="A658">
            <v>43675</v>
          </cell>
          <cell r="B658">
            <v>62.534999999999997</v>
          </cell>
          <cell r="C658">
            <v>2019</v>
          </cell>
          <cell r="D658" t="str">
            <v>Q3</v>
          </cell>
        </row>
        <row r="659">
          <cell r="A659">
            <v>43676</v>
          </cell>
          <cell r="B659">
            <v>62.774999999999999</v>
          </cell>
          <cell r="C659">
            <v>2019</v>
          </cell>
          <cell r="D659" t="str">
            <v>Q3</v>
          </cell>
        </row>
        <row r="660">
          <cell r="A660">
            <v>43677</v>
          </cell>
          <cell r="B660">
            <v>63.87</v>
          </cell>
          <cell r="C660">
            <v>2019</v>
          </cell>
          <cell r="D660" t="str">
            <v>Q3</v>
          </cell>
        </row>
        <row r="661">
          <cell r="A661">
            <v>43678</v>
          </cell>
          <cell r="B661">
            <v>63.094999999999999</v>
          </cell>
          <cell r="C661">
            <v>2019</v>
          </cell>
          <cell r="D661" t="str">
            <v>Q3</v>
          </cell>
        </row>
        <row r="662">
          <cell r="A662">
            <v>43679</v>
          </cell>
          <cell r="B662">
            <v>61.46</v>
          </cell>
          <cell r="C662">
            <v>2019</v>
          </cell>
          <cell r="D662" t="str">
            <v>Q3</v>
          </cell>
        </row>
        <row r="663">
          <cell r="A663">
            <v>43682</v>
          </cell>
          <cell r="B663">
            <v>59.75</v>
          </cell>
          <cell r="C663">
            <v>2019</v>
          </cell>
          <cell r="D663" t="str">
            <v>Q3</v>
          </cell>
        </row>
        <row r="664">
          <cell r="A664">
            <v>43683</v>
          </cell>
          <cell r="B664">
            <v>59.09</v>
          </cell>
          <cell r="C664">
            <v>2019</v>
          </cell>
          <cell r="D664" t="str">
            <v>Q3</v>
          </cell>
        </row>
        <row r="665">
          <cell r="A665">
            <v>43684</v>
          </cell>
          <cell r="B665">
            <v>55.67</v>
          </cell>
          <cell r="C665">
            <v>2019</v>
          </cell>
          <cell r="D665" t="str">
            <v>Q3</v>
          </cell>
        </row>
        <row r="666">
          <cell r="A666">
            <v>43685</v>
          </cell>
          <cell r="B666">
            <v>56.87</v>
          </cell>
          <cell r="C666">
            <v>2019</v>
          </cell>
          <cell r="D666" t="str">
            <v>Q3</v>
          </cell>
        </row>
        <row r="667">
          <cell r="A667">
            <v>43686</v>
          </cell>
          <cell r="B667">
            <v>57.89</v>
          </cell>
          <cell r="C667">
            <v>2019</v>
          </cell>
          <cell r="D667" t="str">
            <v>Q3</v>
          </cell>
        </row>
        <row r="668">
          <cell r="A668">
            <v>43689</v>
          </cell>
          <cell r="B668">
            <v>57.54</v>
          </cell>
          <cell r="C668">
            <v>2019</v>
          </cell>
          <cell r="D668" t="str">
            <v>Q3</v>
          </cell>
        </row>
        <row r="669">
          <cell r="A669">
            <v>43690</v>
          </cell>
          <cell r="B669">
            <v>60.2</v>
          </cell>
          <cell r="C669">
            <v>2019</v>
          </cell>
          <cell r="D669" t="str">
            <v>Q3</v>
          </cell>
        </row>
        <row r="670">
          <cell r="A670">
            <v>43691</v>
          </cell>
          <cell r="B670">
            <v>58.42</v>
          </cell>
          <cell r="C670">
            <v>2019</v>
          </cell>
          <cell r="D670" t="str">
            <v>Q3</v>
          </cell>
        </row>
        <row r="671">
          <cell r="A671">
            <v>43692</v>
          </cell>
          <cell r="B671">
            <v>57.95</v>
          </cell>
          <cell r="C671">
            <v>2019</v>
          </cell>
          <cell r="D671" t="str">
            <v>Q3</v>
          </cell>
        </row>
        <row r="672">
          <cell r="A672">
            <v>43693</v>
          </cell>
          <cell r="B672">
            <v>59.51</v>
          </cell>
          <cell r="C672">
            <v>2019</v>
          </cell>
          <cell r="D672" t="str">
            <v>Q3</v>
          </cell>
        </row>
        <row r="673">
          <cell r="A673">
            <v>43696</v>
          </cell>
          <cell r="B673">
            <v>60.234999999999999</v>
          </cell>
          <cell r="C673">
            <v>2019</v>
          </cell>
          <cell r="D673" t="str">
            <v>Q3</v>
          </cell>
        </row>
        <row r="674">
          <cell r="A674">
            <v>43697</v>
          </cell>
          <cell r="B674">
            <v>59.534999999999997</v>
          </cell>
          <cell r="C674">
            <v>2019</v>
          </cell>
          <cell r="D674" t="str">
            <v>Q3</v>
          </cell>
        </row>
        <row r="675">
          <cell r="A675">
            <v>43698</v>
          </cell>
          <cell r="B675">
            <v>60.98</v>
          </cell>
          <cell r="C675">
            <v>2019</v>
          </cell>
          <cell r="D675" t="str">
            <v>Q3</v>
          </cell>
        </row>
        <row r="676">
          <cell r="A676">
            <v>43699</v>
          </cell>
          <cell r="B676">
            <v>60.255000000000003</v>
          </cell>
          <cell r="C676">
            <v>2019</v>
          </cell>
          <cell r="D676" t="str">
            <v>Q3</v>
          </cell>
        </row>
        <row r="677">
          <cell r="A677">
            <v>43700</v>
          </cell>
          <cell r="B677">
            <v>59.09</v>
          </cell>
          <cell r="C677">
            <v>2019</v>
          </cell>
          <cell r="D677" t="str">
            <v>Q3</v>
          </cell>
        </row>
        <row r="678">
          <cell r="A678">
            <v>43704</v>
          </cell>
          <cell r="B678">
            <v>58.994999999999997</v>
          </cell>
          <cell r="C678">
            <v>2019</v>
          </cell>
          <cell r="D678" t="str">
            <v>Q3</v>
          </cell>
        </row>
        <row r="679">
          <cell r="A679">
            <v>43705</v>
          </cell>
          <cell r="B679">
            <v>60.814999999999998</v>
          </cell>
          <cell r="C679">
            <v>2019</v>
          </cell>
          <cell r="D679" t="str">
            <v>Q3</v>
          </cell>
        </row>
        <row r="680">
          <cell r="A680">
            <v>43706</v>
          </cell>
          <cell r="B680">
            <v>60.97</v>
          </cell>
          <cell r="C680">
            <v>2019</v>
          </cell>
          <cell r="D680" t="str">
            <v>Q3</v>
          </cell>
        </row>
        <row r="681">
          <cell r="A681">
            <v>43707</v>
          </cell>
          <cell r="B681">
            <v>60.79</v>
          </cell>
          <cell r="C681">
            <v>2019</v>
          </cell>
          <cell r="D681" t="str">
            <v>Q3</v>
          </cell>
        </row>
        <row r="682">
          <cell r="A682">
            <v>43710</v>
          </cell>
          <cell r="B682">
            <v>59.094999999999999</v>
          </cell>
          <cell r="C682">
            <v>2019</v>
          </cell>
          <cell r="D682" t="str">
            <v>Q3</v>
          </cell>
        </row>
        <row r="683">
          <cell r="A683">
            <v>43711</v>
          </cell>
          <cell r="B683">
            <v>58.524999999999999</v>
          </cell>
          <cell r="C683">
            <v>2019</v>
          </cell>
          <cell r="D683" t="str">
            <v>Q3</v>
          </cell>
        </row>
        <row r="684">
          <cell r="A684">
            <v>43712</v>
          </cell>
          <cell r="B684">
            <v>61.055</v>
          </cell>
          <cell r="C684">
            <v>2019</v>
          </cell>
          <cell r="D684" t="str">
            <v>Q3</v>
          </cell>
        </row>
        <row r="685">
          <cell r="A685">
            <v>43713</v>
          </cell>
          <cell r="B685">
            <v>62.91</v>
          </cell>
          <cell r="C685">
            <v>2019</v>
          </cell>
          <cell r="D685" t="str">
            <v>Q3</v>
          </cell>
        </row>
        <row r="686">
          <cell r="A686">
            <v>43714</v>
          </cell>
          <cell r="B686">
            <v>61.604999999999997</v>
          </cell>
          <cell r="C686">
            <v>2019</v>
          </cell>
          <cell r="D686" t="str">
            <v>Q3</v>
          </cell>
        </row>
        <row r="687">
          <cell r="A687">
            <v>43717</v>
          </cell>
          <cell r="B687">
            <v>64.099999999999994</v>
          </cell>
          <cell r="C687">
            <v>2019</v>
          </cell>
          <cell r="D687" t="str">
            <v>Q3</v>
          </cell>
        </row>
        <row r="688">
          <cell r="A688">
            <v>43718</v>
          </cell>
          <cell r="B688">
            <v>64.724999999999994</v>
          </cell>
          <cell r="C688">
            <v>2019</v>
          </cell>
          <cell r="D688" t="str">
            <v>Q3</v>
          </cell>
        </row>
        <row r="689">
          <cell r="A689">
            <v>43719</v>
          </cell>
          <cell r="B689">
            <v>63.204999999999998</v>
          </cell>
          <cell r="C689">
            <v>2019</v>
          </cell>
          <cell r="D689" t="str">
            <v>Q3</v>
          </cell>
        </row>
        <row r="690">
          <cell r="A690">
            <v>43720</v>
          </cell>
          <cell r="B690">
            <v>61.13</v>
          </cell>
          <cell r="C690">
            <v>2019</v>
          </cell>
          <cell r="D690" t="str">
            <v>Q3</v>
          </cell>
        </row>
        <row r="691">
          <cell r="A691">
            <v>43721</v>
          </cell>
          <cell r="B691">
            <v>61.58</v>
          </cell>
          <cell r="C691">
            <v>2019</v>
          </cell>
          <cell r="D691" t="str">
            <v>Q3</v>
          </cell>
        </row>
        <row r="692">
          <cell r="A692">
            <v>43724</v>
          </cell>
          <cell r="B692">
            <v>68.174999999999997</v>
          </cell>
          <cell r="C692">
            <v>2019</v>
          </cell>
          <cell r="D692" t="str">
            <v>Q3</v>
          </cell>
        </row>
        <row r="693">
          <cell r="A693">
            <v>43725</v>
          </cell>
          <cell r="B693">
            <v>65.569999999999993</v>
          </cell>
          <cell r="C693">
            <v>2019</v>
          </cell>
          <cell r="D693" t="str">
            <v>Q3</v>
          </cell>
        </row>
        <row r="694">
          <cell r="A694">
            <v>43726</v>
          </cell>
          <cell r="B694">
            <v>64.375</v>
          </cell>
          <cell r="C694">
            <v>2019</v>
          </cell>
          <cell r="D694" t="str">
            <v>Q3</v>
          </cell>
        </row>
        <row r="695">
          <cell r="A695">
            <v>43727</v>
          </cell>
          <cell r="B695">
            <v>64.34</v>
          </cell>
          <cell r="C695">
            <v>2019</v>
          </cell>
          <cell r="D695" t="str">
            <v>Q3</v>
          </cell>
        </row>
        <row r="696">
          <cell r="A696">
            <v>43728</v>
          </cell>
          <cell r="B696">
            <v>65.239999999999995</v>
          </cell>
          <cell r="C696">
            <v>2019</v>
          </cell>
          <cell r="D696" t="str">
            <v>Q3</v>
          </cell>
        </row>
        <row r="697">
          <cell r="A697">
            <v>43731</v>
          </cell>
          <cell r="B697">
            <v>64.715000000000003</v>
          </cell>
          <cell r="C697">
            <v>2019</v>
          </cell>
          <cell r="D697" t="str">
            <v>Q3</v>
          </cell>
        </row>
        <row r="698">
          <cell r="A698">
            <v>43732</v>
          </cell>
          <cell r="B698">
            <v>64.23</v>
          </cell>
          <cell r="C698">
            <v>2019</v>
          </cell>
          <cell r="D698" t="str">
            <v>Q3</v>
          </cell>
        </row>
        <row r="699">
          <cell r="A699">
            <v>43733</v>
          </cell>
          <cell r="B699">
            <v>62.645000000000003</v>
          </cell>
          <cell r="C699">
            <v>2019</v>
          </cell>
          <cell r="D699" t="str">
            <v>Q3</v>
          </cell>
        </row>
        <row r="700">
          <cell r="A700">
            <v>43734</v>
          </cell>
          <cell r="B700">
            <v>62.34</v>
          </cell>
          <cell r="C700">
            <v>2019</v>
          </cell>
          <cell r="D700" t="str">
            <v>Q3</v>
          </cell>
        </row>
        <row r="701">
          <cell r="A701">
            <v>43735</v>
          </cell>
          <cell r="B701">
            <v>62.71</v>
          </cell>
          <cell r="C701">
            <v>2019</v>
          </cell>
          <cell r="D701" t="str">
            <v>Q3</v>
          </cell>
        </row>
        <row r="702">
          <cell r="A702">
            <v>43738</v>
          </cell>
          <cell r="B702">
            <v>61.3</v>
          </cell>
          <cell r="C702">
            <v>2019</v>
          </cell>
          <cell r="D702" t="str">
            <v>Q3</v>
          </cell>
        </row>
        <row r="703">
          <cell r="A703">
            <v>43739</v>
          </cell>
          <cell r="B703">
            <v>60.484999999999999</v>
          </cell>
          <cell r="C703">
            <v>2019</v>
          </cell>
          <cell r="D703" t="str">
            <v>Q4</v>
          </cell>
        </row>
        <row r="704">
          <cell r="A704">
            <v>43740</v>
          </cell>
          <cell r="B704">
            <v>58.515000000000001</v>
          </cell>
          <cell r="C704">
            <v>2019</v>
          </cell>
          <cell r="D704" t="str">
            <v>Q4</v>
          </cell>
        </row>
        <row r="705">
          <cell r="A705">
            <v>43741</v>
          </cell>
          <cell r="B705">
            <v>58.6</v>
          </cell>
          <cell r="C705">
            <v>2019</v>
          </cell>
          <cell r="D705" t="str">
            <v>Q4</v>
          </cell>
        </row>
        <row r="706">
          <cell r="A706">
            <v>43742</v>
          </cell>
          <cell r="B706">
            <v>59.63</v>
          </cell>
          <cell r="C706">
            <v>2019</v>
          </cell>
          <cell r="D706" t="str">
            <v>Q4</v>
          </cell>
        </row>
        <row r="707">
          <cell r="A707">
            <v>43745</v>
          </cell>
          <cell r="B707">
            <v>59.93</v>
          </cell>
          <cell r="C707">
            <v>2019</v>
          </cell>
          <cell r="D707" t="str">
            <v>Q4</v>
          </cell>
        </row>
        <row r="708">
          <cell r="A708">
            <v>43746</v>
          </cell>
          <cell r="B708">
            <v>58.72</v>
          </cell>
          <cell r="C708">
            <v>2019</v>
          </cell>
          <cell r="D708" t="str">
            <v>Q4</v>
          </cell>
        </row>
        <row r="709">
          <cell r="A709">
            <v>43747</v>
          </cell>
          <cell r="B709">
            <v>60.155000000000001</v>
          </cell>
          <cell r="C709">
            <v>2019</v>
          </cell>
          <cell r="D709" t="str">
            <v>Q4</v>
          </cell>
        </row>
        <row r="710">
          <cell r="A710">
            <v>43748</v>
          </cell>
          <cell r="B710">
            <v>59.585000000000001</v>
          </cell>
          <cell r="C710">
            <v>2019</v>
          </cell>
          <cell r="D710" t="str">
            <v>Q4</v>
          </cell>
        </row>
        <row r="711">
          <cell r="A711">
            <v>43749</v>
          </cell>
          <cell r="B711">
            <v>60.97</v>
          </cell>
          <cell r="C711">
            <v>2019</v>
          </cell>
          <cell r="D711" t="str">
            <v>Q4</v>
          </cell>
        </row>
        <row r="712">
          <cell r="A712">
            <v>43752</v>
          </cell>
          <cell r="B712">
            <v>59.72</v>
          </cell>
          <cell r="C712">
            <v>2019</v>
          </cell>
          <cell r="D712" t="str">
            <v>Q4</v>
          </cell>
        </row>
        <row r="713">
          <cell r="A713">
            <v>43753</v>
          </cell>
          <cell r="B713">
            <v>60.08</v>
          </cell>
          <cell r="C713">
            <v>2019</v>
          </cell>
          <cell r="D713" t="str">
            <v>Q4</v>
          </cell>
        </row>
        <row r="714">
          <cell r="A714">
            <v>43754</v>
          </cell>
          <cell r="B714">
            <v>60.19</v>
          </cell>
          <cell r="C714">
            <v>2019</v>
          </cell>
          <cell r="D714" t="str">
            <v>Q4</v>
          </cell>
        </row>
        <row r="715">
          <cell r="A715">
            <v>43755</v>
          </cell>
          <cell r="B715">
            <v>60.23</v>
          </cell>
          <cell r="C715">
            <v>2019</v>
          </cell>
          <cell r="D715" t="str">
            <v>Q4</v>
          </cell>
        </row>
        <row r="716">
          <cell r="A716">
            <v>43756</v>
          </cell>
          <cell r="B716">
            <v>60.81</v>
          </cell>
          <cell r="C716">
            <v>2019</v>
          </cell>
          <cell r="D716" t="str">
            <v>Q4</v>
          </cell>
        </row>
        <row r="717">
          <cell r="A717">
            <v>43759</v>
          </cell>
          <cell r="B717">
            <v>59.89</v>
          </cell>
          <cell r="C717">
            <v>2019</v>
          </cell>
          <cell r="D717" t="str">
            <v>Q4</v>
          </cell>
        </row>
        <row r="718">
          <cell r="A718">
            <v>43760</v>
          </cell>
          <cell r="B718">
            <v>61.36</v>
          </cell>
          <cell r="C718">
            <v>2019</v>
          </cell>
          <cell r="D718" t="str">
            <v>Q4</v>
          </cell>
        </row>
        <row r="719">
          <cell r="A719">
            <v>43761</v>
          </cell>
          <cell r="B719">
            <v>61.38</v>
          </cell>
          <cell r="C719">
            <v>2019</v>
          </cell>
          <cell r="D719" t="str">
            <v>Q4</v>
          </cell>
        </row>
        <row r="720">
          <cell r="A720">
            <v>43762</v>
          </cell>
          <cell r="B720">
            <v>62.51</v>
          </cell>
          <cell r="C720">
            <v>2019</v>
          </cell>
          <cell r="D720" t="str">
            <v>Q4</v>
          </cell>
        </row>
        <row r="721">
          <cell r="A721">
            <v>43763</v>
          </cell>
          <cell r="B721">
            <v>62.84</v>
          </cell>
          <cell r="C721">
            <v>2019</v>
          </cell>
          <cell r="D721" t="str">
            <v>Q4</v>
          </cell>
        </row>
        <row r="722">
          <cell r="A722">
            <v>43766</v>
          </cell>
          <cell r="B722">
            <v>60.87</v>
          </cell>
          <cell r="C722">
            <v>2019</v>
          </cell>
          <cell r="D722" t="str">
            <v>Q4</v>
          </cell>
        </row>
        <row r="723">
          <cell r="A723">
            <v>43767</v>
          </cell>
          <cell r="B723">
            <v>61.62</v>
          </cell>
          <cell r="C723">
            <v>2019</v>
          </cell>
          <cell r="D723" t="str">
            <v>Q4</v>
          </cell>
        </row>
        <row r="724">
          <cell r="A724">
            <v>43768</v>
          </cell>
          <cell r="B724">
            <v>60.81</v>
          </cell>
          <cell r="C724">
            <v>2019</v>
          </cell>
          <cell r="D724" t="str">
            <v>Q4</v>
          </cell>
        </row>
        <row r="725">
          <cell r="A725">
            <v>43769</v>
          </cell>
          <cell r="B725">
            <v>59.94</v>
          </cell>
          <cell r="C725">
            <v>2019</v>
          </cell>
          <cell r="D725" t="str">
            <v>Q4</v>
          </cell>
        </row>
        <row r="726">
          <cell r="A726">
            <v>43770</v>
          </cell>
          <cell r="B726">
            <v>60.68</v>
          </cell>
          <cell r="C726">
            <v>2019</v>
          </cell>
          <cell r="D726" t="str">
            <v>Q4</v>
          </cell>
        </row>
        <row r="727">
          <cell r="A727">
            <v>43773</v>
          </cell>
          <cell r="B727">
            <v>63.07</v>
          </cell>
          <cell r="C727">
            <v>2019</v>
          </cell>
          <cell r="D727" t="str">
            <v>Q4</v>
          </cell>
        </row>
        <row r="728">
          <cell r="A728">
            <v>43774</v>
          </cell>
          <cell r="B728">
            <v>63.26</v>
          </cell>
          <cell r="C728">
            <v>2019</v>
          </cell>
          <cell r="D728" t="str">
            <v>Q4</v>
          </cell>
        </row>
        <row r="729">
          <cell r="A729">
            <v>43775</v>
          </cell>
          <cell r="B729">
            <v>62.56</v>
          </cell>
          <cell r="C729">
            <v>2019</v>
          </cell>
          <cell r="D729" t="str">
            <v>Q4</v>
          </cell>
        </row>
        <row r="730">
          <cell r="A730">
            <v>43776</v>
          </cell>
          <cell r="B730">
            <v>63.12</v>
          </cell>
          <cell r="C730">
            <v>2019</v>
          </cell>
          <cell r="D730" t="str">
            <v>Q4</v>
          </cell>
        </row>
        <row r="731">
          <cell r="A731">
            <v>43777</v>
          </cell>
          <cell r="B731">
            <v>62.55</v>
          </cell>
          <cell r="C731">
            <v>2019</v>
          </cell>
          <cell r="D731" t="str">
            <v>Q4</v>
          </cell>
        </row>
        <row r="732">
          <cell r="A732">
            <v>43780</v>
          </cell>
          <cell r="B732">
            <v>63.04</v>
          </cell>
          <cell r="C732">
            <v>2019</v>
          </cell>
          <cell r="D732" t="str">
            <v>Q4</v>
          </cell>
        </row>
        <row r="733">
          <cell r="A733">
            <v>43781</v>
          </cell>
          <cell r="B733">
            <v>62.74</v>
          </cell>
          <cell r="C733">
            <v>2019</v>
          </cell>
          <cell r="D733" t="str">
            <v>Q4</v>
          </cell>
        </row>
        <row r="734">
          <cell r="A734">
            <v>43782</v>
          </cell>
          <cell r="B734">
            <v>62.81</v>
          </cell>
          <cell r="C734">
            <v>2019</v>
          </cell>
          <cell r="D734" t="str">
            <v>Q4</v>
          </cell>
        </row>
        <row r="735">
          <cell r="A735">
            <v>43783</v>
          </cell>
          <cell r="B735">
            <v>62.99</v>
          </cell>
          <cell r="C735">
            <v>2019</v>
          </cell>
          <cell r="D735" t="str">
            <v>Q4</v>
          </cell>
        </row>
        <row r="736">
          <cell r="A736">
            <v>43784</v>
          </cell>
          <cell r="B736">
            <v>63.81</v>
          </cell>
          <cell r="C736">
            <v>2019</v>
          </cell>
          <cell r="D736" t="str">
            <v>Q4</v>
          </cell>
        </row>
        <row r="737">
          <cell r="A737">
            <v>43787</v>
          </cell>
          <cell r="B737">
            <v>63.56</v>
          </cell>
          <cell r="C737">
            <v>2019</v>
          </cell>
          <cell r="D737" t="str">
            <v>Q4</v>
          </cell>
        </row>
        <row r="738">
          <cell r="A738">
            <v>43788</v>
          </cell>
          <cell r="B738">
            <v>62.93</v>
          </cell>
          <cell r="C738">
            <v>2019</v>
          </cell>
          <cell r="D738" t="str">
            <v>Q4</v>
          </cell>
        </row>
        <row r="739">
          <cell r="A739">
            <v>43789</v>
          </cell>
          <cell r="B739">
            <v>64.599999999999994</v>
          </cell>
          <cell r="C739">
            <v>2019</v>
          </cell>
          <cell r="D739" t="str">
            <v>Q4</v>
          </cell>
        </row>
        <row r="740">
          <cell r="A740">
            <v>43790</v>
          </cell>
          <cell r="B740">
            <v>65.73</v>
          </cell>
          <cell r="C740">
            <v>2019</v>
          </cell>
          <cell r="D740" t="str">
            <v>Q4</v>
          </cell>
        </row>
        <row r="741">
          <cell r="A741">
            <v>43791</v>
          </cell>
          <cell r="B741">
            <v>65.680000000000007</v>
          </cell>
          <cell r="C741">
            <v>2019</v>
          </cell>
          <cell r="D741" t="str">
            <v>Q4</v>
          </cell>
        </row>
        <row r="742">
          <cell r="A742">
            <v>43794</v>
          </cell>
          <cell r="B742">
            <v>65.540000000000006</v>
          </cell>
          <cell r="C742">
            <v>2019</v>
          </cell>
          <cell r="D742" t="str">
            <v>Q4</v>
          </cell>
        </row>
        <row r="743">
          <cell r="A743">
            <v>43795</v>
          </cell>
          <cell r="B743">
            <v>65.92</v>
          </cell>
          <cell r="C743">
            <v>2019</v>
          </cell>
          <cell r="D743" t="str">
            <v>Q4</v>
          </cell>
        </row>
        <row r="744">
          <cell r="A744">
            <v>43796</v>
          </cell>
          <cell r="B744">
            <v>66.12</v>
          </cell>
          <cell r="C744">
            <v>2019</v>
          </cell>
          <cell r="D744" t="str">
            <v>Q4</v>
          </cell>
        </row>
        <row r="745">
          <cell r="A745">
            <v>43797</v>
          </cell>
          <cell r="B745">
            <v>65.89</v>
          </cell>
          <cell r="C745">
            <v>2019</v>
          </cell>
          <cell r="D745" t="str">
            <v>Q4</v>
          </cell>
        </row>
        <row r="746">
          <cell r="A746">
            <v>43798</v>
          </cell>
          <cell r="B746">
            <v>65.290000000000006</v>
          </cell>
          <cell r="C746">
            <v>2019</v>
          </cell>
          <cell r="D746" t="str">
            <v>Q4</v>
          </cell>
        </row>
        <row r="747">
          <cell r="A747">
            <v>43801</v>
          </cell>
          <cell r="B747">
            <v>64.459999999999994</v>
          </cell>
          <cell r="C747">
            <v>2019</v>
          </cell>
          <cell r="D747" t="str">
            <v>Q4</v>
          </cell>
        </row>
        <row r="748">
          <cell r="A748">
            <v>43802</v>
          </cell>
          <cell r="B748">
            <v>64.27</v>
          </cell>
          <cell r="C748">
            <v>2019</v>
          </cell>
          <cell r="D748" t="str">
            <v>Q4</v>
          </cell>
        </row>
        <row r="749">
          <cell r="A749">
            <v>43803</v>
          </cell>
          <cell r="B749">
            <v>66.34</v>
          </cell>
          <cell r="C749">
            <v>2019</v>
          </cell>
          <cell r="D749" t="str">
            <v>Q4</v>
          </cell>
        </row>
        <row r="750">
          <cell r="A750">
            <v>43804</v>
          </cell>
          <cell r="B750">
            <v>66.790000000000006</v>
          </cell>
          <cell r="C750">
            <v>2019</v>
          </cell>
          <cell r="D750" t="str">
            <v>Q4</v>
          </cell>
        </row>
        <row r="751">
          <cell r="A751">
            <v>43805</v>
          </cell>
          <cell r="B751">
            <v>67.58</v>
          </cell>
          <cell r="C751">
            <v>2019</v>
          </cell>
          <cell r="D751" t="str">
            <v>Q4</v>
          </cell>
        </row>
        <row r="752">
          <cell r="A752">
            <v>43808</v>
          </cell>
          <cell r="B752">
            <v>67.36</v>
          </cell>
          <cell r="C752">
            <v>2019</v>
          </cell>
          <cell r="D752" t="str">
            <v>Q4</v>
          </cell>
        </row>
        <row r="753">
          <cell r="A753">
            <v>43809</v>
          </cell>
          <cell r="B753">
            <v>67.489999999999995</v>
          </cell>
          <cell r="C753">
            <v>2019</v>
          </cell>
          <cell r="D753" t="str">
            <v>Q4</v>
          </cell>
        </row>
        <row r="754">
          <cell r="A754">
            <v>43810</v>
          </cell>
          <cell r="B754">
            <v>66.349999999999994</v>
          </cell>
          <cell r="C754">
            <v>2019</v>
          </cell>
          <cell r="D754" t="str">
            <v>Q4</v>
          </cell>
        </row>
        <row r="755">
          <cell r="A755">
            <v>43811</v>
          </cell>
          <cell r="B755">
            <v>67.56</v>
          </cell>
          <cell r="C755">
            <v>2019</v>
          </cell>
          <cell r="D755" t="str">
            <v>Q4</v>
          </cell>
        </row>
        <row r="756">
          <cell r="A756">
            <v>43812</v>
          </cell>
          <cell r="B756">
            <v>68.36</v>
          </cell>
          <cell r="C756">
            <v>2019</v>
          </cell>
          <cell r="D756" t="str">
            <v>Q4</v>
          </cell>
        </row>
        <row r="757">
          <cell r="A757">
            <v>43815</v>
          </cell>
          <cell r="B757">
            <v>68.91</v>
          </cell>
          <cell r="C757">
            <v>2019</v>
          </cell>
          <cell r="D757" t="str">
            <v>Q4</v>
          </cell>
        </row>
        <row r="758">
          <cell r="A758">
            <v>43816</v>
          </cell>
          <cell r="B758">
            <v>70.03</v>
          </cell>
          <cell r="C758">
            <v>2019</v>
          </cell>
          <cell r="D758" t="str">
            <v>Q4</v>
          </cell>
        </row>
        <row r="759">
          <cell r="A759">
            <v>43817</v>
          </cell>
          <cell r="B759">
            <v>70.150000000000006</v>
          </cell>
          <cell r="C759">
            <v>2019</v>
          </cell>
          <cell r="D759" t="str">
            <v>Q4</v>
          </cell>
        </row>
        <row r="760">
          <cell r="A760">
            <v>43818</v>
          </cell>
          <cell r="B760">
            <v>70.98</v>
          </cell>
          <cell r="C760">
            <v>2019</v>
          </cell>
          <cell r="D760" t="str">
            <v>Q4</v>
          </cell>
        </row>
        <row r="761">
          <cell r="A761">
            <v>43819</v>
          </cell>
          <cell r="B761">
            <v>69.989999999999995</v>
          </cell>
          <cell r="C761">
            <v>2019</v>
          </cell>
          <cell r="D761" t="str">
            <v>Q4</v>
          </cell>
        </row>
        <row r="762">
          <cell r="A762">
            <v>43822</v>
          </cell>
          <cell r="B762">
            <v>68.88</v>
          </cell>
          <cell r="C762">
            <v>2019</v>
          </cell>
          <cell r="D762" t="str">
            <v>Q4</v>
          </cell>
        </row>
        <row r="763">
          <cell r="A763">
            <v>43823</v>
          </cell>
          <cell r="B763">
            <v>70.52</v>
          </cell>
          <cell r="C763">
            <v>2019</v>
          </cell>
          <cell r="D763" t="str">
            <v>Q4</v>
          </cell>
        </row>
        <row r="764">
          <cell r="A764">
            <v>43825</v>
          </cell>
          <cell r="B764">
            <v>70.56</v>
          </cell>
          <cell r="C764">
            <v>2019</v>
          </cell>
          <cell r="D764" t="str">
            <v>Q4</v>
          </cell>
        </row>
        <row r="765">
          <cell r="A765">
            <v>43826</v>
          </cell>
          <cell r="B765">
            <v>70.23</v>
          </cell>
          <cell r="C765">
            <v>2019</v>
          </cell>
          <cell r="D765" t="str">
            <v>Q4</v>
          </cell>
        </row>
        <row r="766">
          <cell r="A766">
            <v>43829</v>
          </cell>
          <cell r="B766">
            <v>69.62</v>
          </cell>
          <cell r="C766">
            <v>2019</v>
          </cell>
          <cell r="D766" t="str">
            <v>Q4</v>
          </cell>
        </row>
        <row r="767">
          <cell r="A767">
            <v>43830</v>
          </cell>
          <cell r="B767">
            <v>68.900000000000006</v>
          </cell>
          <cell r="C767">
            <v>2019</v>
          </cell>
          <cell r="D767" t="str">
            <v>Q4</v>
          </cell>
        </row>
        <row r="768">
          <cell r="A768">
            <v>43831</v>
          </cell>
          <cell r="B768">
            <v>68.894999999999996</v>
          </cell>
          <cell r="C768">
            <v>2020</v>
          </cell>
          <cell r="D768" t="str">
            <v>Q1</v>
          </cell>
        </row>
        <row r="769">
          <cell r="A769">
            <v>43832</v>
          </cell>
          <cell r="B769">
            <v>68.11</v>
          </cell>
          <cell r="C769">
            <v>2020</v>
          </cell>
          <cell r="D769" t="str">
            <v>Q1</v>
          </cell>
        </row>
        <row r="770">
          <cell r="A770">
            <v>43833</v>
          </cell>
          <cell r="B770">
            <v>70.040000000000006</v>
          </cell>
          <cell r="C770">
            <v>2020</v>
          </cell>
          <cell r="D770" t="str">
            <v>Q1</v>
          </cell>
        </row>
        <row r="771">
          <cell r="A771">
            <v>43836</v>
          </cell>
          <cell r="B771">
            <v>70.534999999999997</v>
          </cell>
          <cell r="C771">
            <v>2020</v>
          </cell>
          <cell r="D771" t="str">
            <v>Q1</v>
          </cell>
        </row>
        <row r="772">
          <cell r="A772">
            <v>43837</v>
          </cell>
          <cell r="B772">
            <v>69.344999999999999</v>
          </cell>
          <cell r="C772">
            <v>2020</v>
          </cell>
          <cell r="D772" t="str">
            <v>Q1</v>
          </cell>
        </row>
        <row r="773">
          <cell r="A773">
            <v>43838</v>
          </cell>
          <cell r="B773">
            <v>67.655000000000001</v>
          </cell>
          <cell r="C773">
            <v>2020</v>
          </cell>
          <cell r="D773" t="str">
            <v>Q1</v>
          </cell>
        </row>
        <row r="774">
          <cell r="A774">
            <v>43839</v>
          </cell>
          <cell r="B774">
            <v>67.09</v>
          </cell>
          <cell r="C774">
            <v>2020</v>
          </cell>
          <cell r="D774" t="str">
            <v>Q1</v>
          </cell>
        </row>
        <row r="775">
          <cell r="A775">
            <v>43840</v>
          </cell>
          <cell r="B775">
            <v>67.23</v>
          </cell>
          <cell r="C775">
            <v>2020</v>
          </cell>
          <cell r="D775" t="str">
            <v>Q1</v>
          </cell>
        </row>
        <row r="776">
          <cell r="A776">
            <v>43843</v>
          </cell>
          <cell r="B776">
            <v>64.489999999999995</v>
          </cell>
          <cell r="C776">
            <v>2020</v>
          </cell>
          <cell r="D776" t="str">
            <v>Q1</v>
          </cell>
        </row>
        <row r="777">
          <cell r="A777">
            <v>43844</v>
          </cell>
          <cell r="B777">
            <v>64.650000000000006</v>
          </cell>
          <cell r="C777">
            <v>2020</v>
          </cell>
          <cell r="D777" t="str">
            <v>Q1</v>
          </cell>
        </row>
        <row r="778">
          <cell r="A778">
            <v>43845</v>
          </cell>
          <cell r="B778">
            <v>63.575000000000003</v>
          </cell>
          <cell r="C778">
            <v>2020</v>
          </cell>
          <cell r="D778" t="str">
            <v>Q1</v>
          </cell>
        </row>
        <row r="779">
          <cell r="A779">
            <v>43846</v>
          </cell>
          <cell r="B779">
            <v>64.98</v>
          </cell>
          <cell r="C779">
            <v>2020</v>
          </cell>
          <cell r="D779" t="str">
            <v>Q1</v>
          </cell>
        </row>
        <row r="780">
          <cell r="A780">
            <v>43847</v>
          </cell>
          <cell r="B780">
            <v>64.459999999999994</v>
          </cell>
          <cell r="C780">
            <v>2020</v>
          </cell>
          <cell r="D780" t="str">
            <v>Q1</v>
          </cell>
        </row>
        <row r="781">
          <cell r="A781">
            <v>43850</v>
          </cell>
          <cell r="B781">
            <v>65.105000000000004</v>
          </cell>
          <cell r="C781">
            <v>2020</v>
          </cell>
          <cell r="D781" t="str">
            <v>Q1</v>
          </cell>
        </row>
        <row r="782">
          <cell r="A782">
            <v>43851</v>
          </cell>
          <cell r="B782">
            <v>64.11</v>
          </cell>
          <cell r="C782">
            <v>2020</v>
          </cell>
          <cell r="D782" t="str">
            <v>Q1</v>
          </cell>
        </row>
        <row r="783">
          <cell r="A783">
            <v>43852</v>
          </cell>
          <cell r="B783">
            <v>62.57</v>
          </cell>
          <cell r="C783">
            <v>2020</v>
          </cell>
          <cell r="D783" t="str">
            <v>Q1</v>
          </cell>
        </row>
        <row r="784">
          <cell r="A784">
            <v>43853</v>
          </cell>
          <cell r="B784">
            <v>61.914999999999999</v>
          </cell>
          <cell r="C784">
            <v>2020</v>
          </cell>
          <cell r="D784" t="str">
            <v>Q1</v>
          </cell>
        </row>
        <row r="785">
          <cell r="A785">
            <v>43854</v>
          </cell>
          <cell r="B785">
            <v>60.08</v>
          </cell>
          <cell r="C785">
            <v>2020</v>
          </cell>
          <cell r="D785" t="str">
            <v>Q1</v>
          </cell>
        </row>
        <row r="786">
          <cell r="A786">
            <v>43857</v>
          </cell>
          <cell r="B786">
            <v>59.29</v>
          </cell>
          <cell r="C786">
            <v>2020</v>
          </cell>
          <cell r="D786" t="str">
            <v>Q1</v>
          </cell>
        </row>
        <row r="787">
          <cell r="A787">
            <v>43858</v>
          </cell>
          <cell r="B787">
            <v>60.11</v>
          </cell>
          <cell r="C787">
            <v>2020</v>
          </cell>
          <cell r="D787" t="str">
            <v>Q1</v>
          </cell>
        </row>
        <row r="788">
          <cell r="A788">
            <v>43859</v>
          </cell>
          <cell r="B788">
            <v>60.98</v>
          </cell>
          <cell r="C788">
            <v>2020</v>
          </cell>
          <cell r="D788" t="str">
            <v>Q1</v>
          </cell>
        </row>
        <row r="789">
          <cell r="A789">
            <v>43860</v>
          </cell>
          <cell r="B789">
            <v>59.29</v>
          </cell>
          <cell r="C789">
            <v>2020</v>
          </cell>
          <cell r="D789" t="str">
            <v>Q1</v>
          </cell>
        </row>
        <row r="790">
          <cell r="A790">
            <v>43861</v>
          </cell>
          <cell r="B790">
            <v>59.31</v>
          </cell>
          <cell r="C790">
            <v>2020</v>
          </cell>
          <cell r="D790" t="str">
            <v>Q1</v>
          </cell>
        </row>
        <row r="791">
          <cell r="A791">
            <v>43864</v>
          </cell>
          <cell r="B791">
            <v>55.69</v>
          </cell>
          <cell r="C791">
            <v>2020</v>
          </cell>
          <cell r="D791" t="str">
            <v>Q1</v>
          </cell>
        </row>
        <row r="792">
          <cell r="A792">
            <v>43865</v>
          </cell>
          <cell r="B792">
            <v>55.52</v>
          </cell>
          <cell r="C792">
            <v>2020</v>
          </cell>
          <cell r="D792" t="str">
            <v>Q1</v>
          </cell>
        </row>
        <row r="793">
          <cell r="A793">
            <v>43866</v>
          </cell>
          <cell r="B793">
            <v>56.91</v>
          </cell>
          <cell r="C793">
            <v>2020</v>
          </cell>
          <cell r="D793" t="str">
            <v>Q1</v>
          </cell>
        </row>
        <row r="794">
          <cell r="A794">
            <v>43867</v>
          </cell>
          <cell r="B794">
            <v>56.74</v>
          </cell>
          <cell r="C794">
            <v>2020</v>
          </cell>
          <cell r="D794" t="str">
            <v>Q1</v>
          </cell>
        </row>
        <row r="795">
          <cell r="A795">
            <v>43868</v>
          </cell>
          <cell r="B795">
            <v>56.12</v>
          </cell>
          <cell r="C795">
            <v>2020</v>
          </cell>
          <cell r="D795" t="str">
            <v>Q1</v>
          </cell>
        </row>
        <row r="796">
          <cell r="A796">
            <v>43871</v>
          </cell>
          <cell r="B796">
            <v>55.04</v>
          </cell>
          <cell r="C796">
            <v>2020</v>
          </cell>
          <cell r="D796" t="str">
            <v>Q1</v>
          </cell>
        </row>
        <row r="797">
          <cell r="A797">
            <v>43872</v>
          </cell>
          <cell r="B797">
            <v>55.68</v>
          </cell>
          <cell r="C797">
            <v>2020</v>
          </cell>
          <cell r="D797" t="str">
            <v>Q1</v>
          </cell>
        </row>
        <row r="798">
          <cell r="A798">
            <v>43873</v>
          </cell>
          <cell r="B798">
            <v>57.17</v>
          </cell>
          <cell r="C798">
            <v>2020</v>
          </cell>
          <cell r="D798" t="str">
            <v>Q1</v>
          </cell>
        </row>
        <row r="799">
          <cell r="A799">
            <v>43874</v>
          </cell>
          <cell r="B799">
            <v>57.95</v>
          </cell>
          <cell r="C799">
            <v>2020</v>
          </cell>
          <cell r="D799" t="str">
            <v>Q1</v>
          </cell>
        </row>
        <row r="800">
          <cell r="A800">
            <v>43875</v>
          </cell>
          <cell r="B800">
            <v>58.92</v>
          </cell>
          <cell r="C800">
            <v>2020</v>
          </cell>
          <cell r="D800" t="str">
            <v>Q1</v>
          </cell>
        </row>
        <row r="801">
          <cell r="A801">
            <v>43878</v>
          </cell>
          <cell r="B801">
            <v>59.57</v>
          </cell>
          <cell r="C801">
            <v>2020</v>
          </cell>
          <cell r="D801" t="str">
            <v>Q1</v>
          </cell>
        </row>
        <row r="802">
          <cell r="A802">
            <v>43879</v>
          </cell>
          <cell r="B802">
            <v>59.06</v>
          </cell>
          <cell r="C802">
            <v>2020</v>
          </cell>
          <cell r="D802" t="str">
            <v>Q1</v>
          </cell>
        </row>
        <row r="803">
          <cell r="A803">
            <v>43880</v>
          </cell>
          <cell r="B803">
            <v>61.31</v>
          </cell>
          <cell r="C803">
            <v>2020</v>
          </cell>
          <cell r="D803" t="str">
            <v>Q1</v>
          </cell>
        </row>
        <row r="804">
          <cell r="A804">
            <v>43881</v>
          </cell>
          <cell r="B804">
            <v>61.66</v>
          </cell>
          <cell r="C804">
            <v>2020</v>
          </cell>
          <cell r="D804" t="str">
            <v>Q1</v>
          </cell>
        </row>
        <row r="805">
          <cell r="A805">
            <v>43882</v>
          </cell>
          <cell r="B805">
            <v>60.34</v>
          </cell>
          <cell r="C805">
            <v>2020</v>
          </cell>
          <cell r="D805" t="str">
            <v>Q1</v>
          </cell>
        </row>
        <row r="806">
          <cell r="A806">
            <v>43885</v>
          </cell>
          <cell r="B806">
            <v>57.91</v>
          </cell>
          <cell r="C806">
            <v>2020</v>
          </cell>
          <cell r="D806" t="str">
            <v>Q1</v>
          </cell>
        </row>
        <row r="807">
          <cell r="A807">
            <v>43886</v>
          </cell>
          <cell r="B807">
            <v>57.95</v>
          </cell>
          <cell r="C807">
            <v>2020</v>
          </cell>
          <cell r="D807" t="str">
            <v>Q1</v>
          </cell>
        </row>
        <row r="808">
          <cell r="A808">
            <v>43887</v>
          </cell>
          <cell r="B808">
            <v>56.835000000000001</v>
          </cell>
          <cell r="C808">
            <v>2020</v>
          </cell>
          <cell r="D808" t="str">
            <v>Q1</v>
          </cell>
        </row>
        <row r="809">
          <cell r="A809">
            <v>43888</v>
          </cell>
          <cell r="B809">
            <v>54.25</v>
          </cell>
          <cell r="C809">
            <v>2020</v>
          </cell>
          <cell r="D809" t="str">
            <v>Q1</v>
          </cell>
        </row>
        <row r="810">
          <cell r="A810">
            <v>43889</v>
          </cell>
          <cell r="B810">
            <v>53.42</v>
          </cell>
          <cell r="C810">
            <v>2020</v>
          </cell>
          <cell r="D810" t="str">
            <v>Q1</v>
          </cell>
        </row>
        <row r="811">
          <cell r="A811">
            <v>43892</v>
          </cell>
          <cell r="B811">
            <v>54.57</v>
          </cell>
          <cell r="C811">
            <v>2020</v>
          </cell>
          <cell r="D811" t="str">
            <v>Q1</v>
          </cell>
        </row>
        <row r="812">
          <cell r="A812">
            <v>43893</v>
          </cell>
          <cell r="B812">
            <v>54.185000000000002</v>
          </cell>
          <cell r="C812">
            <v>2020</v>
          </cell>
          <cell r="D812" t="str">
            <v>Q1</v>
          </cell>
        </row>
        <row r="813">
          <cell r="A813">
            <v>43894</v>
          </cell>
          <cell r="B813">
            <v>53.83</v>
          </cell>
          <cell r="C813">
            <v>2020</v>
          </cell>
          <cell r="D813" t="str">
            <v>Q1</v>
          </cell>
        </row>
        <row r="814">
          <cell r="A814">
            <v>43895</v>
          </cell>
          <cell r="B814">
            <v>53.185000000000002</v>
          </cell>
          <cell r="C814">
            <v>2020</v>
          </cell>
          <cell r="D814" t="str">
            <v>Q1</v>
          </cell>
        </row>
        <row r="815">
          <cell r="A815">
            <v>43896</v>
          </cell>
          <cell r="B815">
            <v>48</v>
          </cell>
          <cell r="C815">
            <v>2020</v>
          </cell>
          <cell r="D815" t="str">
            <v>Q1</v>
          </cell>
        </row>
        <row r="816">
          <cell r="A816">
            <v>43899</v>
          </cell>
          <cell r="B816">
            <v>37.21</v>
          </cell>
          <cell r="C816">
            <v>2020</v>
          </cell>
          <cell r="D816" t="str">
            <v>Q1</v>
          </cell>
        </row>
        <row r="817">
          <cell r="A817">
            <v>43900</v>
          </cell>
          <cell r="B817">
            <v>36.11</v>
          </cell>
          <cell r="C817">
            <v>2020</v>
          </cell>
          <cell r="D817" t="str">
            <v>Q1</v>
          </cell>
        </row>
        <row r="818">
          <cell r="A818">
            <v>43901</v>
          </cell>
          <cell r="B818">
            <v>35.409999999999997</v>
          </cell>
          <cell r="C818">
            <v>2020</v>
          </cell>
          <cell r="D818" t="str">
            <v>Q1</v>
          </cell>
        </row>
        <row r="819">
          <cell r="A819">
            <v>43902</v>
          </cell>
          <cell r="B819">
            <v>31.79</v>
          </cell>
          <cell r="C819">
            <v>2020</v>
          </cell>
          <cell r="D819" t="str">
            <v>Q1</v>
          </cell>
        </row>
        <row r="820">
          <cell r="A820">
            <v>43903</v>
          </cell>
          <cell r="B820">
            <v>32.96</v>
          </cell>
          <cell r="C820">
            <v>2020</v>
          </cell>
          <cell r="D820" t="str">
            <v>Q1</v>
          </cell>
        </row>
        <row r="821">
          <cell r="A821">
            <v>43906</v>
          </cell>
          <cell r="B821">
            <v>28.58</v>
          </cell>
          <cell r="C821">
            <v>2020</v>
          </cell>
          <cell r="D821" t="str">
            <v>Q1</v>
          </cell>
        </row>
        <row r="822">
          <cell r="A822">
            <v>43907</v>
          </cell>
          <cell r="B822">
            <v>28.57</v>
          </cell>
          <cell r="C822">
            <v>2020</v>
          </cell>
          <cell r="D822" t="str">
            <v>Q1</v>
          </cell>
        </row>
        <row r="823">
          <cell r="A823">
            <v>43908</v>
          </cell>
          <cell r="B823">
            <v>23.57</v>
          </cell>
          <cell r="C823">
            <v>2020</v>
          </cell>
          <cell r="D823" t="str">
            <v>Q1</v>
          </cell>
        </row>
        <row r="824">
          <cell r="A824">
            <v>43909</v>
          </cell>
          <cell r="B824">
            <v>24.7</v>
          </cell>
          <cell r="C824">
            <v>2020</v>
          </cell>
          <cell r="D824" t="str">
            <v>Q1</v>
          </cell>
        </row>
        <row r="825">
          <cell r="A825">
            <v>43910</v>
          </cell>
          <cell r="B825">
            <v>26.19</v>
          </cell>
          <cell r="C825">
            <v>2020</v>
          </cell>
          <cell r="D825" t="str">
            <v>Q1</v>
          </cell>
        </row>
        <row r="826">
          <cell r="A826">
            <v>43913</v>
          </cell>
          <cell r="B826">
            <v>22.45</v>
          </cell>
          <cell r="C826">
            <v>2020</v>
          </cell>
          <cell r="D826" t="str">
            <v>Q1</v>
          </cell>
        </row>
        <row r="827">
          <cell r="A827">
            <v>43914</v>
          </cell>
          <cell r="B827">
            <v>25.25</v>
          </cell>
          <cell r="C827">
            <v>2020</v>
          </cell>
          <cell r="D827" t="str">
            <v>Q1</v>
          </cell>
        </row>
        <row r="828">
          <cell r="A828">
            <v>43915</v>
          </cell>
          <cell r="B828">
            <v>24.62</v>
          </cell>
          <cell r="C828">
            <v>2020</v>
          </cell>
          <cell r="D828" t="str">
            <v>Q1</v>
          </cell>
        </row>
        <row r="829">
          <cell r="A829">
            <v>43916</v>
          </cell>
          <cell r="B829">
            <v>24.61</v>
          </cell>
          <cell r="C829">
            <v>2020</v>
          </cell>
          <cell r="D829" t="str">
            <v>Q1</v>
          </cell>
        </row>
        <row r="830">
          <cell r="A830">
            <v>43917</v>
          </cell>
          <cell r="B830">
            <v>21.84</v>
          </cell>
          <cell r="C830">
            <v>2020</v>
          </cell>
          <cell r="D830" t="str">
            <v>Q1</v>
          </cell>
        </row>
        <row r="831">
          <cell r="A831">
            <v>43920</v>
          </cell>
          <cell r="B831">
            <v>18.05</v>
          </cell>
          <cell r="C831">
            <v>2020</v>
          </cell>
          <cell r="D831" t="str">
            <v>Q1</v>
          </cell>
        </row>
        <row r="832">
          <cell r="A832">
            <v>43921</v>
          </cell>
          <cell r="B832">
            <v>18.7</v>
          </cell>
          <cell r="C832">
            <v>2020</v>
          </cell>
          <cell r="D832" t="str">
            <v>Q1</v>
          </cell>
        </row>
        <row r="833">
          <cell r="A833">
            <v>43922</v>
          </cell>
          <cell r="B833">
            <v>14.62</v>
          </cell>
          <cell r="C833">
            <v>2020</v>
          </cell>
          <cell r="D833" t="str">
            <v>Q2</v>
          </cell>
        </row>
        <row r="834">
          <cell r="A834">
            <v>43923</v>
          </cell>
          <cell r="B834">
            <v>18.149999999999999</v>
          </cell>
          <cell r="C834">
            <v>2020</v>
          </cell>
          <cell r="D834" t="str">
            <v>Q2</v>
          </cell>
        </row>
        <row r="835">
          <cell r="A835">
            <v>43924</v>
          </cell>
          <cell r="B835">
            <v>22.18</v>
          </cell>
          <cell r="C835">
            <v>2020</v>
          </cell>
          <cell r="D835" t="str">
            <v>Q2</v>
          </cell>
        </row>
        <row r="836">
          <cell r="A836">
            <v>43927</v>
          </cell>
          <cell r="B836">
            <v>20.94</v>
          </cell>
          <cell r="C836">
            <v>2020</v>
          </cell>
          <cell r="D836" t="str">
            <v>Q2</v>
          </cell>
        </row>
        <row r="837">
          <cell r="A837">
            <v>43928</v>
          </cell>
          <cell r="B837">
            <v>22.71</v>
          </cell>
          <cell r="C837">
            <v>2020</v>
          </cell>
          <cell r="D837" t="str">
            <v>Q2</v>
          </cell>
        </row>
        <row r="838">
          <cell r="A838">
            <v>43929</v>
          </cell>
          <cell r="B838">
            <v>23.82</v>
          </cell>
          <cell r="C838">
            <v>2020</v>
          </cell>
          <cell r="D838" t="str">
            <v>Q2</v>
          </cell>
        </row>
        <row r="839">
          <cell r="A839">
            <v>43930</v>
          </cell>
          <cell r="B839">
            <v>21.68</v>
          </cell>
          <cell r="C839">
            <v>2020</v>
          </cell>
          <cell r="D839" t="str">
            <v>Q2</v>
          </cell>
        </row>
        <row r="840">
          <cell r="A840">
            <v>43935</v>
          </cell>
          <cell r="B840">
            <v>21.78</v>
          </cell>
          <cell r="C840">
            <v>2020</v>
          </cell>
          <cell r="D840" t="str">
            <v>Q2</v>
          </cell>
        </row>
        <row r="841">
          <cell r="A841">
            <v>43936</v>
          </cell>
          <cell r="B841">
            <v>18.89</v>
          </cell>
          <cell r="C841">
            <v>2020</v>
          </cell>
          <cell r="D841" t="str">
            <v>Q2</v>
          </cell>
        </row>
        <row r="842">
          <cell r="A842">
            <v>43937</v>
          </cell>
          <cell r="B842">
            <v>17.940000000000001</v>
          </cell>
          <cell r="C842">
            <v>2020</v>
          </cell>
          <cell r="D842" t="str">
            <v>Q2</v>
          </cell>
        </row>
        <row r="843">
          <cell r="A843">
            <v>43938</v>
          </cell>
          <cell r="B843">
            <v>19.239999999999998</v>
          </cell>
          <cell r="C843">
            <v>2020</v>
          </cell>
          <cell r="D843" t="str">
            <v>Q2</v>
          </cell>
        </row>
        <row r="844">
          <cell r="A844">
            <v>43941</v>
          </cell>
          <cell r="B844">
            <v>17.760000000000002</v>
          </cell>
          <cell r="C844">
            <v>2020</v>
          </cell>
          <cell r="D844" t="str">
            <v>Q2</v>
          </cell>
        </row>
        <row r="845">
          <cell r="A845">
            <v>43942</v>
          </cell>
          <cell r="B845">
            <v>11.41</v>
          </cell>
          <cell r="C845">
            <v>2020</v>
          </cell>
          <cell r="D845" t="str">
            <v>Q2</v>
          </cell>
        </row>
        <row r="846">
          <cell r="A846">
            <v>43943</v>
          </cell>
          <cell r="B846">
            <v>13.37</v>
          </cell>
          <cell r="C846">
            <v>2020</v>
          </cell>
          <cell r="D846" t="str">
            <v>Q2</v>
          </cell>
        </row>
        <row r="847">
          <cell r="A847">
            <v>43944</v>
          </cell>
          <cell r="B847">
            <v>15.76</v>
          </cell>
          <cell r="C847">
            <v>2020</v>
          </cell>
          <cell r="D847" t="str">
            <v>Q2</v>
          </cell>
        </row>
        <row r="848">
          <cell r="A848">
            <v>43945</v>
          </cell>
          <cell r="B848">
            <v>15.58</v>
          </cell>
          <cell r="C848">
            <v>2020</v>
          </cell>
          <cell r="D848" t="str">
            <v>Q2</v>
          </cell>
        </row>
        <row r="849">
          <cell r="A849">
            <v>43948</v>
          </cell>
          <cell r="B849">
            <v>14.07</v>
          </cell>
          <cell r="C849">
            <v>2020</v>
          </cell>
          <cell r="D849" t="str">
            <v>Q2</v>
          </cell>
        </row>
        <row r="850">
          <cell r="A850">
            <v>43949</v>
          </cell>
          <cell r="B850">
            <v>14.89</v>
          </cell>
          <cell r="C850">
            <v>2020</v>
          </cell>
          <cell r="D850" t="str">
            <v>Q2</v>
          </cell>
        </row>
        <row r="851">
          <cell r="A851">
            <v>43950</v>
          </cell>
          <cell r="B851">
            <v>17.32</v>
          </cell>
          <cell r="C851">
            <v>2020</v>
          </cell>
          <cell r="D851" t="str">
            <v>Q2</v>
          </cell>
        </row>
        <row r="852">
          <cell r="A852">
            <v>43951</v>
          </cell>
          <cell r="B852">
            <v>17.690000000000001</v>
          </cell>
          <cell r="C852">
            <v>2020</v>
          </cell>
          <cell r="D852" t="str">
            <v>Q2</v>
          </cell>
        </row>
        <row r="853">
          <cell r="A853">
            <v>43952</v>
          </cell>
          <cell r="B853">
            <v>17.72</v>
          </cell>
          <cell r="C853">
            <v>2020</v>
          </cell>
          <cell r="D853" t="str">
            <v>Q2</v>
          </cell>
        </row>
        <row r="854">
          <cell r="A854">
            <v>43955</v>
          </cell>
          <cell r="B854">
            <v>18.559999999999999</v>
          </cell>
          <cell r="C854">
            <v>2020</v>
          </cell>
          <cell r="D854" t="str">
            <v>Q2</v>
          </cell>
        </row>
        <row r="855">
          <cell r="A855">
            <v>43956</v>
          </cell>
          <cell r="B855">
            <v>23.65</v>
          </cell>
          <cell r="C855">
            <v>2020</v>
          </cell>
          <cell r="D855" t="str">
            <v>Q2</v>
          </cell>
        </row>
        <row r="856">
          <cell r="A856">
            <v>43957</v>
          </cell>
          <cell r="B856">
            <v>22.92</v>
          </cell>
          <cell r="C856">
            <v>2020</v>
          </cell>
          <cell r="D856" t="str">
            <v>Q2</v>
          </cell>
        </row>
        <row r="857">
          <cell r="A857">
            <v>43958</v>
          </cell>
          <cell r="B857">
            <v>24.88</v>
          </cell>
          <cell r="C857">
            <v>2020</v>
          </cell>
          <cell r="D857" t="str">
            <v>Q2</v>
          </cell>
        </row>
        <row r="858">
          <cell r="A858">
            <v>43962</v>
          </cell>
          <cell r="B858">
            <v>25.36</v>
          </cell>
          <cell r="C858">
            <v>2020</v>
          </cell>
          <cell r="D858" t="str">
            <v>Q2</v>
          </cell>
        </row>
        <row r="859">
          <cell r="A859">
            <v>43963</v>
          </cell>
          <cell r="B859">
            <v>26.4</v>
          </cell>
          <cell r="C859">
            <v>2020</v>
          </cell>
          <cell r="D859" t="str">
            <v>Q2</v>
          </cell>
        </row>
        <row r="860">
          <cell r="A860">
            <v>43964</v>
          </cell>
          <cell r="B860">
            <v>28.65</v>
          </cell>
          <cell r="C860">
            <v>2020</v>
          </cell>
          <cell r="D860" t="str">
            <v>Q2</v>
          </cell>
        </row>
        <row r="861">
          <cell r="A861">
            <v>43965</v>
          </cell>
          <cell r="B861">
            <v>29.01</v>
          </cell>
          <cell r="C861">
            <v>2020</v>
          </cell>
          <cell r="D861" t="str">
            <v>Q2</v>
          </cell>
        </row>
        <row r="862">
          <cell r="A862">
            <v>43966</v>
          </cell>
          <cell r="B862">
            <v>30.24</v>
          </cell>
          <cell r="C862">
            <v>2020</v>
          </cell>
          <cell r="D862" t="str">
            <v>Q2</v>
          </cell>
        </row>
        <row r="863">
          <cell r="A863">
            <v>43969</v>
          </cell>
          <cell r="B863">
            <v>34.01</v>
          </cell>
          <cell r="C863">
            <v>2020</v>
          </cell>
          <cell r="D863" t="str">
            <v>Q2</v>
          </cell>
        </row>
        <row r="864">
          <cell r="A864">
            <v>43970</v>
          </cell>
          <cell r="B864">
            <v>32.94</v>
          </cell>
          <cell r="C864">
            <v>2020</v>
          </cell>
          <cell r="D864" t="str">
            <v>Q2</v>
          </cell>
        </row>
        <row r="865">
          <cell r="A865">
            <v>43971</v>
          </cell>
          <cell r="B865">
            <v>34.51</v>
          </cell>
          <cell r="C865">
            <v>2020</v>
          </cell>
          <cell r="D865" t="str">
            <v>Q2</v>
          </cell>
        </row>
        <row r="866">
          <cell r="A866">
            <v>43972</v>
          </cell>
          <cell r="B866">
            <v>34.54</v>
          </cell>
          <cell r="C866">
            <v>2020</v>
          </cell>
          <cell r="D866" t="str">
            <v>Q2</v>
          </cell>
        </row>
        <row r="867">
          <cell r="A867">
            <v>43973</v>
          </cell>
          <cell r="B867">
            <v>33.24</v>
          </cell>
          <cell r="C867">
            <v>2020</v>
          </cell>
          <cell r="D867" t="str">
            <v>Q2</v>
          </cell>
        </row>
        <row r="868">
          <cell r="A868">
            <v>43977</v>
          </cell>
          <cell r="B868">
            <v>34.965000000000003</v>
          </cell>
          <cell r="C868">
            <v>2020</v>
          </cell>
          <cell r="D868" t="str">
            <v>Q2</v>
          </cell>
        </row>
        <row r="869">
          <cell r="A869">
            <v>43978</v>
          </cell>
          <cell r="B869">
            <v>33.984999999999999</v>
          </cell>
          <cell r="C869">
            <v>2020</v>
          </cell>
          <cell r="D869" t="str">
            <v>Q2</v>
          </cell>
        </row>
        <row r="870">
          <cell r="A870">
            <v>43979</v>
          </cell>
          <cell r="B870">
            <v>34.94</v>
          </cell>
          <cell r="C870">
            <v>2020</v>
          </cell>
          <cell r="D870" t="str">
            <v>Q2</v>
          </cell>
        </row>
        <row r="871">
          <cell r="A871">
            <v>43980</v>
          </cell>
          <cell r="B871">
            <v>35.475000000000001</v>
          </cell>
          <cell r="C871">
            <v>2020</v>
          </cell>
          <cell r="D871" t="str">
            <v>Q2</v>
          </cell>
        </row>
        <row r="872">
          <cell r="A872">
            <v>43983</v>
          </cell>
          <cell r="B872">
            <v>37.35</v>
          </cell>
          <cell r="C872">
            <v>2020</v>
          </cell>
          <cell r="D872" t="str">
            <v>Q2</v>
          </cell>
        </row>
        <row r="873">
          <cell r="A873">
            <v>43984</v>
          </cell>
          <cell r="B873">
            <v>38.869999999999997</v>
          </cell>
          <cell r="C873">
            <v>2020</v>
          </cell>
          <cell r="D873" t="str">
            <v>Q2</v>
          </cell>
        </row>
        <row r="874">
          <cell r="A874">
            <v>43985</v>
          </cell>
          <cell r="B874">
            <v>38.895000000000003</v>
          </cell>
          <cell r="C874">
            <v>2020</v>
          </cell>
          <cell r="D874" t="str">
            <v>Q2</v>
          </cell>
        </row>
        <row r="875">
          <cell r="A875">
            <v>43986</v>
          </cell>
          <cell r="B875">
            <v>39.055</v>
          </cell>
          <cell r="C875">
            <v>2020</v>
          </cell>
          <cell r="D875" t="str">
            <v>Q2</v>
          </cell>
        </row>
        <row r="876">
          <cell r="A876">
            <v>43987</v>
          </cell>
          <cell r="B876">
            <v>42.384999999999998</v>
          </cell>
          <cell r="C876">
            <v>2020</v>
          </cell>
          <cell r="D876" t="str">
            <v>Q2</v>
          </cell>
        </row>
        <row r="877">
          <cell r="A877">
            <v>43990</v>
          </cell>
          <cell r="B877">
            <v>41.5</v>
          </cell>
          <cell r="C877">
            <v>2020</v>
          </cell>
          <cell r="D877" t="str">
            <v>Q2</v>
          </cell>
        </row>
        <row r="878">
          <cell r="A878">
            <v>43991</v>
          </cell>
          <cell r="B878">
            <v>41.4</v>
          </cell>
          <cell r="C878">
            <v>2020</v>
          </cell>
          <cell r="D878" t="str">
            <v>Q2</v>
          </cell>
        </row>
        <row r="879">
          <cell r="A879">
            <v>43992</v>
          </cell>
          <cell r="B879">
            <v>41.79</v>
          </cell>
          <cell r="C879">
            <v>2020</v>
          </cell>
          <cell r="D879" t="str">
            <v>Q2</v>
          </cell>
        </row>
        <row r="880">
          <cell r="A880">
            <v>43993</v>
          </cell>
          <cell r="B880">
            <v>39.53</v>
          </cell>
          <cell r="C880">
            <v>2020</v>
          </cell>
          <cell r="D880" t="str">
            <v>Q2</v>
          </cell>
        </row>
        <row r="881">
          <cell r="A881">
            <v>43994</v>
          </cell>
          <cell r="B881">
            <v>40.08</v>
          </cell>
          <cell r="C881">
            <v>2020</v>
          </cell>
          <cell r="D881" t="str">
            <v>Q2</v>
          </cell>
        </row>
        <row r="882">
          <cell r="A882">
            <v>43997</v>
          </cell>
          <cell r="B882">
            <v>40.369999999999997</v>
          </cell>
          <cell r="C882">
            <v>2020</v>
          </cell>
          <cell r="D882" t="str">
            <v>Q2</v>
          </cell>
        </row>
        <row r="883">
          <cell r="A883">
            <v>43998</v>
          </cell>
          <cell r="B883">
            <v>41.795000000000002</v>
          </cell>
          <cell r="C883">
            <v>2020</v>
          </cell>
          <cell r="D883" t="str">
            <v>Q2</v>
          </cell>
        </row>
        <row r="884">
          <cell r="A884">
            <v>43999</v>
          </cell>
          <cell r="B884">
            <v>41.93</v>
          </cell>
          <cell r="C884">
            <v>2020</v>
          </cell>
          <cell r="D884" t="str">
            <v>Q2</v>
          </cell>
        </row>
        <row r="885">
          <cell r="A885">
            <v>44000</v>
          </cell>
          <cell r="B885">
            <v>43.08</v>
          </cell>
          <cell r="C885">
            <v>2020</v>
          </cell>
          <cell r="D885" t="str">
            <v>Q2</v>
          </cell>
        </row>
        <row r="886">
          <cell r="A886">
            <v>44001</v>
          </cell>
          <cell r="B886">
            <v>44.164999999999999</v>
          </cell>
          <cell r="C886">
            <v>2020</v>
          </cell>
          <cell r="D886" t="str">
            <v>Q2</v>
          </cell>
        </row>
        <row r="887">
          <cell r="A887">
            <v>44004</v>
          </cell>
          <cell r="B887">
            <v>44.325000000000003</v>
          </cell>
          <cell r="C887">
            <v>2020</v>
          </cell>
          <cell r="D887" t="str">
            <v>Q2</v>
          </cell>
        </row>
        <row r="888">
          <cell r="A888">
            <v>44005</v>
          </cell>
          <cell r="B888">
            <v>44.88</v>
          </cell>
          <cell r="C888">
            <v>2020</v>
          </cell>
          <cell r="D888" t="str">
            <v>Q2</v>
          </cell>
        </row>
        <row r="889">
          <cell r="A889">
            <v>44006</v>
          </cell>
          <cell r="B889">
            <v>42.14</v>
          </cell>
          <cell r="C889">
            <v>2020</v>
          </cell>
          <cell r="D889" t="str">
            <v>Q2</v>
          </cell>
        </row>
        <row r="890">
          <cell r="A890">
            <v>44007</v>
          </cell>
          <cell r="B890">
            <v>42.4</v>
          </cell>
          <cell r="C890">
            <v>2020</v>
          </cell>
          <cell r="D890" t="str">
            <v>Q2</v>
          </cell>
        </row>
        <row r="891">
          <cell r="A891">
            <v>44008</v>
          </cell>
          <cell r="B891">
            <v>42.17</v>
          </cell>
          <cell r="C891">
            <v>2020</v>
          </cell>
          <cell r="D891" t="str">
            <v>Q2</v>
          </cell>
        </row>
        <row r="892">
          <cell r="A892">
            <v>44011</v>
          </cell>
          <cell r="B892">
            <v>42.784999999999997</v>
          </cell>
          <cell r="C892">
            <v>2020</v>
          </cell>
          <cell r="D892" t="str">
            <v>Q2</v>
          </cell>
        </row>
        <row r="893">
          <cell r="A893">
            <v>44012</v>
          </cell>
          <cell r="B893">
            <v>43.16</v>
          </cell>
          <cell r="C893">
            <v>2020</v>
          </cell>
          <cell r="D893" t="str">
            <v>Q2</v>
          </cell>
        </row>
        <row r="894">
          <cell r="A894">
            <v>44013</v>
          </cell>
          <cell r="B894">
            <v>43.805</v>
          </cell>
          <cell r="C894">
            <v>2020</v>
          </cell>
          <cell r="D894" t="str">
            <v>Q3</v>
          </cell>
        </row>
        <row r="895">
          <cell r="A895">
            <v>44014</v>
          </cell>
          <cell r="B895">
            <v>44.274999999999999</v>
          </cell>
          <cell r="C895">
            <v>2020</v>
          </cell>
          <cell r="D895" t="str">
            <v>Q3</v>
          </cell>
        </row>
        <row r="896">
          <cell r="A896">
            <v>44015</v>
          </cell>
          <cell r="B896">
            <v>44.505000000000003</v>
          </cell>
          <cell r="C896">
            <v>2020</v>
          </cell>
          <cell r="D896" t="str">
            <v>Q3</v>
          </cell>
        </row>
        <row r="897">
          <cell r="A897">
            <v>44018</v>
          </cell>
          <cell r="B897">
            <v>44.52</v>
          </cell>
          <cell r="C897">
            <v>2020</v>
          </cell>
          <cell r="D897" t="str">
            <v>Q3</v>
          </cell>
        </row>
        <row r="898">
          <cell r="A898">
            <v>44019</v>
          </cell>
          <cell r="B898">
            <v>44.95</v>
          </cell>
          <cell r="C898">
            <v>2020</v>
          </cell>
          <cell r="D898" t="str">
            <v>Q3</v>
          </cell>
        </row>
        <row r="899">
          <cell r="A899">
            <v>44020</v>
          </cell>
          <cell r="B899">
            <v>44.87</v>
          </cell>
          <cell r="C899">
            <v>2020</v>
          </cell>
          <cell r="D899" t="str">
            <v>Q3</v>
          </cell>
        </row>
        <row r="900">
          <cell r="A900">
            <v>44021</v>
          </cell>
          <cell r="B900">
            <v>43.96</v>
          </cell>
          <cell r="C900">
            <v>2020</v>
          </cell>
          <cell r="D900" t="str">
            <v>Q3</v>
          </cell>
        </row>
        <row r="901">
          <cell r="A901">
            <v>44022</v>
          </cell>
          <cell r="B901">
            <v>44.52</v>
          </cell>
          <cell r="C901">
            <v>2020</v>
          </cell>
          <cell r="D901" t="str">
            <v>Q3</v>
          </cell>
        </row>
        <row r="902">
          <cell r="A902">
            <v>44025</v>
          </cell>
          <cell r="B902">
            <v>44.82</v>
          </cell>
          <cell r="C902">
            <v>2020</v>
          </cell>
          <cell r="D902" t="str">
            <v>Q3</v>
          </cell>
        </row>
        <row r="903">
          <cell r="A903">
            <v>44026</v>
          </cell>
          <cell r="B903">
            <v>44.74</v>
          </cell>
          <cell r="C903">
            <v>2020</v>
          </cell>
          <cell r="D903" t="str">
            <v>Q3</v>
          </cell>
        </row>
        <row r="904">
          <cell r="A904">
            <v>44027</v>
          </cell>
          <cell r="B904">
            <v>45.33</v>
          </cell>
          <cell r="C904">
            <v>2020</v>
          </cell>
          <cell r="D904" t="str">
            <v>Q3</v>
          </cell>
        </row>
        <row r="905">
          <cell r="A905">
            <v>44028</v>
          </cell>
          <cell r="B905">
            <v>45.465000000000003</v>
          </cell>
          <cell r="C905">
            <v>2020</v>
          </cell>
          <cell r="D905" t="str">
            <v>Q3</v>
          </cell>
        </row>
        <row r="906">
          <cell r="A906">
            <v>44029</v>
          </cell>
          <cell r="B906">
            <v>45.045000000000002</v>
          </cell>
          <cell r="C906">
            <v>2020</v>
          </cell>
          <cell r="D906" t="str">
            <v>Q3</v>
          </cell>
        </row>
        <row r="907">
          <cell r="A907">
            <v>44032</v>
          </cell>
          <cell r="B907">
            <v>44.524999999999999</v>
          </cell>
          <cell r="C907">
            <v>2020</v>
          </cell>
          <cell r="D907" t="str">
            <v>Q3</v>
          </cell>
        </row>
        <row r="908">
          <cell r="A908">
            <v>44033</v>
          </cell>
          <cell r="B908">
            <v>46.225000000000001</v>
          </cell>
          <cell r="C908">
            <v>2020</v>
          </cell>
          <cell r="D908" t="str">
            <v>Q3</v>
          </cell>
        </row>
        <row r="909">
          <cell r="A909">
            <v>44034</v>
          </cell>
          <cell r="B909">
            <v>45.075000000000003</v>
          </cell>
          <cell r="C909">
            <v>2020</v>
          </cell>
          <cell r="D909" t="str">
            <v>Q3</v>
          </cell>
        </row>
        <row r="910">
          <cell r="A910">
            <v>44035</v>
          </cell>
          <cell r="B910">
            <v>45.284999999999997</v>
          </cell>
          <cell r="C910">
            <v>2020</v>
          </cell>
          <cell r="D910" t="str">
            <v>Q3</v>
          </cell>
        </row>
        <row r="911">
          <cell r="A911">
            <v>44036</v>
          </cell>
          <cell r="B911">
            <v>44.75</v>
          </cell>
          <cell r="C911">
            <v>2020</v>
          </cell>
          <cell r="D911" t="str">
            <v>Q3</v>
          </cell>
        </row>
        <row r="912">
          <cell r="A912">
            <v>44039</v>
          </cell>
          <cell r="B912">
            <v>44.25</v>
          </cell>
          <cell r="C912">
            <v>2020</v>
          </cell>
          <cell r="D912" t="str">
            <v>Q3</v>
          </cell>
        </row>
        <row r="913">
          <cell r="A913">
            <v>44040</v>
          </cell>
          <cell r="B913">
            <v>44.64</v>
          </cell>
          <cell r="C913">
            <v>2020</v>
          </cell>
          <cell r="D913" t="str">
            <v>Q3</v>
          </cell>
        </row>
        <row r="914">
          <cell r="A914">
            <v>44041</v>
          </cell>
          <cell r="B914">
            <v>45.2</v>
          </cell>
          <cell r="C914">
            <v>2020</v>
          </cell>
          <cell r="D914" t="str">
            <v>Q3</v>
          </cell>
        </row>
        <row r="915">
          <cell r="A915">
            <v>44042</v>
          </cell>
          <cell r="B915">
            <v>44.03</v>
          </cell>
          <cell r="C915">
            <v>2020</v>
          </cell>
          <cell r="D915" t="str">
            <v>Q3</v>
          </cell>
        </row>
        <row r="916">
          <cell r="A916">
            <v>44043</v>
          </cell>
          <cell r="B916">
            <v>44.805</v>
          </cell>
          <cell r="C916">
            <v>2020</v>
          </cell>
          <cell r="D916" t="str">
            <v>Q3</v>
          </cell>
        </row>
        <row r="917">
          <cell r="A917">
            <v>44046</v>
          </cell>
          <cell r="B917">
            <v>45.47</v>
          </cell>
          <cell r="C917">
            <v>2020</v>
          </cell>
          <cell r="D917" t="str">
            <v>Q3</v>
          </cell>
        </row>
        <row r="918">
          <cell r="A918">
            <v>44047</v>
          </cell>
          <cell r="B918">
            <v>45.58</v>
          </cell>
          <cell r="C918">
            <v>2020</v>
          </cell>
          <cell r="D918" t="str">
            <v>Q3</v>
          </cell>
        </row>
        <row r="919">
          <cell r="A919">
            <v>44048</v>
          </cell>
          <cell r="B919">
            <v>47.19</v>
          </cell>
          <cell r="C919">
            <v>2020</v>
          </cell>
          <cell r="D919" t="str">
            <v>Q3</v>
          </cell>
        </row>
        <row r="920">
          <cell r="A920">
            <v>44049</v>
          </cell>
          <cell r="B920">
            <v>46.59</v>
          </cell>
          <cell r="C920">
            <v>2020</v>
          </cell>
          <cell r="D920" t="str">
            <v>Q3</v>
          </cell>
        </row>
        <row r="921">
          <cell r="A921">
            <v>44050</v>
          </cell>
          <cell r="B921">
            <v>45.84</v>
          </cell>
          <cell r="C921">
            <v>2020</v>
          </cell>
          <cell r="D921" t="str">
            <v>Q3</v>
          </cell>
        </row>
        <row r="922">
          <cell r="A922">
            <v>44053</v>
          </cell>
          <cell r="B922">
            <v>45.66</v>
          </cell>
          <cell r="C922">
            <v>2020</v>
          </cell>
          <cell r="D922" t="str">
            <v>Q3</v>
          </cell>
        </row>
        <row r="923">
          <cell r="A923">
            <v>44054</v>
          </cell>
          <cell r="B923">
            <v>45.805</v>
          </cell>
          <cell r="C923">
            <v>2020</v>
          </cell>
          <cell r="D923" t="str">
            <v>Q3</v>
          </cell>
        </row>
        <row r="924">
          <cell r="A924">
            <v>44055</v>
          </cell>
          <cell r="B924">
            <v>46.4</v>
          </cell>
          <cell r="C924">
            <v>2020</v>
          </cell>
          <cell r="D924" t="str">
            <v>Q3</v>
          </cell>
        </row>
        <row r="925">
          <cell r="A925">
            <v>44056</v>
          </cell>
          <cell r="B925">
            <v>46.41</v>
          </cell>
          <cell r="C925">
            <v>2020</v>
          </cell>
          <cell r="D925" t="str">
            <v>Q3</v>
          </cell>
        </row>
        <row r="926">
          <cell r="A926">
            <v>44057</v>
          </cell>
          <cell r="B926">
            <v>46.05</v>
          </cell>
          <cell r="C926">
            <v>2020</v>
          </cell>
          <cell r="D926" t="str">
            <v>Q3</v>
          </cell>
        </row>
        <row r="927">
          <cell r="A927">
            <v>44060</v>
          </cell>
          <cell r="B927">
            <v>46.12</v>
          </cell>
          <cell r="C927">
            <v>2020</v>
          </cell>
          <cell r="D927" t="str">
            <v>Q3</v>
          </cell>
        </row>
        <row r="928">
          <cell r="A928">
            <v>44061</v>
          </cell>
          <cell r="B928">
            <v>46.61</v>
          </cell>
          <cell r="C928">
            <v>2020</v>
          </cell>
          <cell r="D928" t="str">
            <v>Q3</v>
          </cell>
        </row>
        <row r="929">
          <cell r="A929">
            <v>44062</v>
          </cell>
          <cell r="B929">
            <v>46.37</v>
          </cell>
          <cell r="C929">
            <v>2020</v>
          </cell>
          <cell r="D929" t="str">
            <v>Q3</v>
          </cell>
        </row>
        <row r="930">
          <cell r="A930">
            <v>44063</v>
          </cell>
          <cell r="B930">
            <v>45.84</v>
          </cell>
          <cell r="C930">
            <v>2020</v>
          </cell>
          <cell r="D930" t="str">
            <v>Q3</v>
          </cell>
        </row>
        <row r="931">
          <cell r="A931">
            <v>44064</v>
          </cell>
          <cell r="B931">
            <v>44.88</v>
          </cell>
          <cell r="C931">
            <v>2020</v>
          </cell>
          <cell r="D931" t="str">
            <v>Q3</v>
          </cell>
        </row>
        <row r="932">
          <cell r="A932">
            <v>44067</v>
          </cell>
          <cell r="B932">
            <v>45.88</v>
          </cell>
          <cell r="C932">
            <v>2020</v>
          </cell>
          <cell r="D932" t="str">
            <v>Q3</v>
          </cell>
        </row>
        <row r="933">
          <cell r="A933">
            <v>44068</v>
          </cell>
          <cell r="B933">
            <v>47.51</v>
          </cell>
          <cell r="C933">
            <v>2020</v>
          </cell>
          <cell r="D933" t="str">
            <v>Q3</v>
          </cell>
        </row>
        <row r="934">
          <cell r="A934">
            <v>44069</v>
          </cell>
          <cell r="B934">
            <v>47.18</v>
          </cell>
          <cell r="C934">
            <v>2020</v>
          </cell>
          <cell r="D934" t="str">
            <v>Q3</v>
          </cell>
        </row>
        <row r="935">
          <cell r="A935">
            <v>44070</v>
          </cell>
          <cell r="B935">
            <v>46.25</v>
          </cell>
          <cell r="C935">
            <v>2020</v>
          </cell>
          <cell r="D935" t="str">
            <v>Q3</v>
          </cell>
        </row>
        <row r="936">
          <cell r="A936">
            <v>44071</v>
          </cell>
          <cell r="B936">
            <v>46.49</v>
          </cell>
          <cell r="C936">
            <v>2020</v>
          </cell>
          <cell r="D936" t="str">
            <v>Q3</v>
          </cell>
        </row>
        <row r="937">
          <cell r="A937">
            <v>44075</v>
          </cell>
          <cell r="B937">
            <v>46.69</v>
          </cell>
          <cell r="C937">
            <v>2020</v>
          </cell>
          <cell r="D937" t="str">
            <v>Q3</v>
          </cell>
        </row>
        <row r="938">
          <cell r="A938">
            <v>44076</v>
          </cell>
          <cell r="B938">
            <v>46.115000000000002</v>
          </cell>
          <cell r="C938">
            <v>2020</v>
          </cell>
          <cell r="D938" t="str">
            <v>Q3</v>
          </cell>
        </row>
        <row r="939">
          <cell r="A939">
            <v>44077</v>
          </cell>
          <cell r="B939">
            <v>43.52</v>
          </cell>
          <cell r="C939">
            <v>2020</v>
          </cell>
          <cell r="D939" t="str">
            <v>Q3</v>
          </cell>
        </row>
        <row r="940">
          <cell r="A940">
            <v>44078</v>
          </cell>
          <cell r="B940">
            <v>42.905000000000001</v>
          </cell>
          <cell r="C940">
            <v>2020</v>
          </cell>
          <cell r="D940" t="str">
            <v>Q3</v>
          </cell>
        </row>
        <row r="941">
          <cell r="A941">
            <v>44081</v>
          </cell>
          <cell r="B941">
            <v>42.31</v>
          </cell>
          <cell r="C941">
            <v>2020</v>
          </cell>
          <cell r="D941" t="str">
            <v>Q3</v>
          </cell>
        </row>
        <row r="942">
          <cell r="A942">
            <v>44082</v>
          </cell>
          <cell r="B942">
            <v>40.335000000000001</v>
          </cell>
          <cell r="C942">
            <v>2020</v>
          </cell>
          <cell r="D942" t="str">
            <v>Q3</v>
          </cell>
        </row>
        <row r="943">
          <cell r="A943">
            <v>44083</v>
          </cell>
          <cell r="B943">
            <v>41.47</v>
          </cell>
          <cell r="C943">
            <v>2020</v>
          </cell>
          <cell r="D943" t="str">
            <v>Q3</v>
          </cell>
        </row>
        <row r="944">
          <cell r="A944">
            <v>44084</v>
          </cell>
          <cell r="B944">
            <v>41.12</v>
          </cell>
          <cell r="C944">
            <v>2020</v>
          </cell>
          <cell r="D944" t="str">
            <v>Q3</v>
          </cell>
        </row>
        <row r="945">
          <cell r="A945">
            <v>44085</v>
          </cell>
          <cell r="B945">
            <v>40.39</v>
          </cell>
          <cell r="C945">
            <v>2020</v>
          </cell>
          <cell r="D945" t="str">
            <v>Q3</v>
          </cell>
        </row>
        <row r="946">
          <cell r="A946">
            <v>44088</v>
          </cell>
          <cell r="B946">
            <v>39.92</v>
          </cell>
          <cell r="C946">
            <v>2020</v>
          </cell>
          <cell r="D946" t="str">
            <v>Q3</v>
          </cell>
        </row>
        <row r="947">
          <cell r="A947">
            <v>44089</v>
          </cell>
          <cell r="B947">
            <v>40.54</v>
          </cell>
          <cell r="C947">
            <v>2020</v>
          </cell>
          <cell r="D947" t="str">
            <v>Q3</v>
          </cell>
        </row>
        <row r="948">
          <cell r="A948">
            <v>44090</v>
          </cell>
          <cell r="B948">
            <v>42.15</v>
          </cell>
          <cell r="C948">
            <v>2020</v>
          </cell>
          <cell r="D948" t="str">
            <v>Q3</v>
          </cell>
        </row>
        <row r="949">
          <cell r="A949">
            <v>44091</v>
          </cell>
          <cell r="B949">
            <v>43.494999999999997</v>
          </cell>
          <cell r="C949">
            <v>2020</v>
          </cell>
          <cell r="D949" t="str">
            <v>Q3</v>
          </cell>
        </row>
        <row r="950">
          <cell r="A950">
            <v>44092</v>
          </cell>
          <cell r="B950">
            <v>43.505000000000003</v>
          </cell>
          <cell r="C950">
            <v>2020</v>
          </cell>
          <cell r="D950" t="str">
            <v>Q3</v>
          </cell>
        </row>
        <row r="951">
          <cell r="A951">
            <v>44095</v>
          </cell>
          <cell r="B951">
            <v>41.445</v>
          </cell>
          <cell r="C951">
            <v>2020</v>
          </cell>
          <cell r="D951" t="str">
            <v>Q3</v>
          </cell>
        </row>
        <row r="952">
          <cell r="A952">
            <v>44096</v>
          </cell>
          <cell r="B952">
            <v>42.215000000000003</v>
          </cell>
          <cell r="C952">
            <v>2020</v>
          </cell>
          <cell r="D952" t="str">
            <v>Q3</v>
          </cell>
        </row>
        <row r="953">
          <cell r="A953">
            <v>44097</v>
          </cell>
          <cell r="B953">
            <v>42.64</v>
          </cell>
          <cell r="C953">
            <v>2020</v>
          </cell>
          <cell r="D953" t="str">
            <v>Q3</v>
          </cell>
        </row>
        <row r="954">
          <cell r="A954">
            <v>44098</v>
          </cell>
          <cell r="B954">
            <v>41.88</v>
          </cell>
          <cell r="C954">
            <v>2020</v>
          </cell>
          <cell r="D954" t="str">
            <v>Q3</v>
          </cell>
        </row>
        <row r="955">
          <cell r="A955">
            <v>44099</v>
          </cell>
          <cell r="B955">
            <v>41.744999999999997</v>
          </cell>
          <cell r="C955">
            <v>2020</v>
          </cell>
          <cell r="D955" t="str">
            <v>Q3</v>
          </cell>
        </row>
        <row r="956">
          <cell r="A956">
            <v>44102</v>
          </cell>
          <cell r="B956">
            <v>42.295000000000002</v>
          </cell>
          <cell r="C956">
            <v>2020</v>
          </cell>
          <cell r="D956" t="str">
            <v>Q3</v>
          </cell>
        </row>
        <row r="957">
          <cell r="A957">
            <v>44103</v>
          </cell>
          <cell r="B957">
            <v>41.25</v>
          </cell>
          <cell r="C957">
            <v>2020</v>
          </cell>
          <cell r="D957" t="str">
            <v>Q3</v>
          </cell>
        </row>
        <row r="958">
          <cell r="A958">
            <v>44104</v>
          </cell>
          <cell r="B958">
            <v>41.18</v>
          </cell>
          <cell r="C958">
            <v>2020</v>
          </cell>
          <cell r="D958" t="str">
            <v>Q3</v>
          </cell>
        </row>
        <row r="959">
          <cell r="A959">
            <v>44105</v>
          </cell>
          <cell r="B959">
            <v>40.17</v>
          </cell>
          <cell r="C959">
            <v>2020</v>
          </cell>
          <cell r="D959" t="str">
            <v>Q4</v>
          </cell>
        </row>
        <row r="960">
          <cell r="A960">
            <v>44106</v>
          </cell>
          <cell r="B960">
            <v>39.424999999999997</v>
          </cell>
          <cell r="C960">
            <v>2020</v>
          </cell>
          <cell r="D960" t="str">
            <v>Q4</v>
          </cell>
        </row>
        <row r="961">
          <cell r="A961">
            <v>44109</v>
          </cell>
          <cell r="B961">
            <v>40.909999999999997</v>
          </cell>
          <cell r="C961">
            <v>2020</v>
          </cell>
          <cell r="D961" t="str">
            <v>Q4</v>
          </cell>
        </row>
        <row r="962">
          <cell r="A962">
            <v>44110</v>
          </cell>
          <cell r="B962">
            <v>41.865000000000002</v>
          </cell>
          <cell r="C962">
            <v>2020</v>
          </cell>
          <cell r="D962" t="str">
            <v>Q4</v>
          </cell>
        </row>
        <row r="963">
          <cell r="A963">
            <v>44111</v>
          </cell>
          <cell r="B963">
            <v>41.115000000000002</v>
          </cell>
          <cell r="C963">
            <v>2020</v>
          </cell>
          <cell r="D963" t="str">
            <v>Q4</v>
          </cell>
        </row>
        <row r="964">
          <cell r="A964">
            <v>44112</v>
          </cell>
          <cell r="B964">
            <v>42.405000000000001</v>
          </cell>
          <cell r="C964">
            <v>2020</v>
          </cell>
          <cell r="D964" t="str">
            <v>Q4</v>
          </cell>
        </row>
        <row r="965">
          <cell r="A965">
            <v>44113</v>
          </cell>
          <cell r="B965">
            <v>42.655000000000001</v>
          </cell>
          <cell r="C965">
            <v>2020</v>
          </cell>
          <cell r="D965" t="str">
            <v>Q4</v>
          </cell>
        </row>
        <row r="966">
          <cell r="A966">
            <v>44116</v>
          </cell>
          <cell r="B966">
            <v>41.26</v>
          </cell>
          <cell r="C966">
            <v>2020</v>
          </cell>
          <cell r="D966" t="str">
            <v>Q4</v>
          </cell>
        </row>
        <row r="967">
          <cell r="A967">
            <v>44117</v>
          </cell>
          <cell r="B967">
            <v>42.05</v>
          </cell>
          <cell r="C967">
            <v>2020</v>
          </cell>
          <cell r="D967" t="str">
            <v>Q4</v>
          </cell>
        </row>
        <row r="968">
          <cell r="A968">
            <v>44118</v>
          </cell>
          <cell r="B968">
            <v>42.3</v>
          </cell>
          <cell r="C968">
            <v>2020</v>
          </cell>
          <cell r="D968" t="str">
            <v>Q4</v>
          </cell>
        </row>
        <row r="969">
          <cell r="A969">
            <v>44119</v>
          </cell>
          <cell r="B969">
            <v>41.664999999999999</v>
          </cell>
          <cell r="C969">
            <v>2020</v>
          </cell>
          <cell r="D969" t="str">
            <v>Q4</v>
          </cell>
        </row>
        <row r="970">
          <cell r="A970">
            <v>44120</v>
          </cell>
          <cell r="B970">
            <v>42.08</v>
          </cell>
          <cell r="C970">
            <v>2020</v>
          </cell>
          <cell r="D970" t="str">
            <v>Q4</v>
          </cell>
        </row>
        <row r="971">
          <cell r="A971">
            <v>44123</v>
          </cell>
          <cell r="B971">
            <v>42.344999999999999</v>
          </cell>
          <cell r="C971">
            <v>2020</v>
          </cell>
          <cell r="D971" t="str">
            <v>Q4</v>
          </cell>
        </row>
        <row r="972">
          <cell r="A972">
            <v>44124</v>
          </cell>
          <cell r="B972">
            <v>41.695</v>
          </cell>
          <cell r="C972">
            <v>2020</v>
          </cell>
          <cell r="D972" t="str">
            <v>Q4</v>
          </cell>
        </row>
        <row r="973">
          <cell r="A973">
            <v>44125</v>
          </cell>
          <cell r="B973">
            <v>40.950000000000003</v>
          </cell>
          <cell r="C973">
            <v>2020</v>
          </cell>
          <cell r="D973" t="str">
            <v>Q4</v>
          </cell>
        </row>
        <row r="974">
          <cell r="A974">
            <v>44126</v>
          </cell>
          <cell r="B974">
            <v>42.27</v>
          </cell>
          <cell r="C974">
            <v>2020</v>
          </cell>
          <cell r="D974" t="str">
            <v>Q4</v>
          </cell>
        </row>
        <row r="975">
          <cell r="A975">
            <v>44127</v>
          </cell>
          <cell r="B975">
            <v>41.914999999999999</v>
          </cell>
          <cell r="C975">
            <v>2020</v>
          </cell>
          <cell r="D975" t="str">
            <v>Q4</v>
          </cell>
        </row>
        <row r="976">
          <cell r="A976">
            <v>44130</v>
          </cell>
          <cell r="B976">
            <v>39.840000000000003</v>
          </cell>
          <cell r="C976">
            <v>2020</v>
          </cell>
          <cell r="D976" t="str">
            <v>Q4</v>
          </cell>
        </row>
        <row r="977">
          <cell r="A977">
            <v>44131</v>
          </cell>
          <cell r="B977">
            <v>40.619999999999997</v>
          </cell>
          <cell r="C977">
            <v>2020</v>
          </cell>
          <cell r="D977" t="str">
            <v>Q4</v>
          </cell>
        </row>
        <row r="978">
          <cell r="A978">
            <v>44132</v>
          </cell>
          <cell r="B978">
            <v>38.86</v>
          </cell>
          <cell r="C978">
            <v>2020</v>
          </cell>
          <cell r="D978" t="str">
            <v>Q4</v>
          </cell>
        </row>
        <row r="979">
          <cell r="A979">
            <v>44133</v>
          </cell>
          <cell r="B979">
            <v>37.244999999999997</v>
          </cell>
          <cell r="C979">
            <v>2020</v>
          </cell>
          <cell r="D979" t="str">
            <v>Q4</v>
          </cell>
        </row>
        <row r="980">
          <cell r="A980">
            <v>44134</v>
          </cell>
          <cell r="B980">
            <v>37.405000000000001</v>
          </cell>
          <cell r="C980">
            <v>2020</v>
          </cell>
          <cell r="D980" t="str">
            <v>Q4</v>
          </cell>
        </row>
        <row r="981">
          <cell r="A981">
            <v>44137</v>
          </cell>
          <cell r="B981">
            <v>37.61</v>
          </cell>
          <cell r="C981">
            <v>2020</v>
          </cell>
          <cell r="D981" t="str">
            <v>Q4</v>
          </cell>
        </row>
        <row r="982">
          <cell r="A982">
            <v>44138</v>
          </cell>
          <cell r="B982">
            <v>39.08</v>
          </cell>
          <cell r="C982">
            <v>2020</v>
          </cell>
          <cell r="D982" t="str">
            <v>Q4</v>
          </cell>
        </row>
        <row r="983">
          <cell r="A983">
            <v>44139</v>
          </cell>
          <cell r="B983">
            <v>40.115000000000002</v>
          </cell>
          <cell r="C983">
            <v>2020</v>
          </cell>
          <cell r="D983" t="str">
            <v>Q4</v>
          </cell>
        </row>
        <row r="984">
          <cell r="A984">
            <v>44140</v>
          </cell>
          <cell r="B984">
            <v>40.384999999999998</v>
          </cell>
          <cell r="C984">
            <v>2020</v>
          </cell>
          <cell r="D984" t="str">
            <v>Q4</v>
          </cell>
        </row>
        <row r="985">
          <cell r="A985">
            <v>44141</v>
          </cell>
          <cell r="B985">
            <v>39.31</v>
          </cell>
          <cell r="C985">
            <v>2020</v>
          </cell>
          <cell r="D985" t="str">
            <v>Q4</v>
          </cell>
        </row>
        <row r="986">
          <cell r="A986">
            <v>44144</v>
          </cell>
          <cell r="B986">
            <v>41.994999999999997</v>
          </cell>
          <cell r="C986">
            <v>2020</v>
          </cell>
          <cell r="D986" t="str">
            <v>Q4</v>
          </cell>
        </row>
        <row r="987">
          <cell r="A987">
            <v>44145</v>
          </cell>
          <cell r="B987">
            <v>42.645000000000003</v>
          </cell>
          <cell r="C987">
            <v>2020</v>
          </cell>
          <cell r="D987" t="str">
            <v>Q4</v>
          </cell>
        </row>
        <row r="988">
          <cell r="A988">
            <v>44146</v>
          </cell>
          <cell r="B988">
            <v>43.814999999999998</v>
          </cell>
          <cell r="C988">
            <v>2020</v>
          </cell>
          <cell r="D988" t="str">
            <v>Q4</v>
          </cell>
        </row>
        <row r="989">
          <cell r="A989">
            <v>44147</v>
          </cell>
          <cell r="B989">
            <v>43.314999999999998</v>
          </cell>
          <cell r="C989">
            <v>2020</v>
          </cell>
          <cell r="D989" t="str">
            <v>Q4</v>
          </cell>
        </row>
        <row r="990">
          <cell r="A990">
            <v>44148</v>
          </cell>
          <cell r="B990">
            <v>42.51</v>
          </cell>
          <cell r="C990">
            <v>2020</v>
          </cell>
          <cell r="D990" t="str">
            <v>Q4</v>
          </cell>
        </row>
        <row r="991">
          <cell r="A991">
            <v>44151</v>
          </cell>
          <cell r="B991">
            <v>43.844999999999999</v>
          </cell>
          <cell r="C991">
            <v>2020</v>
          </cell>
          <cell r="D991" t="str">
            <v>Q4</v>
          </cell>
        </row>
        <row r="992">
          <cell r="A992">
            <v>44152</v>
          </cell>
          <cell r="B992">
            <v>43.02</v>
          </cell>
          <cell r="C992">
            <v>2020</v>
          </cell>
          <cell r="D992" t="str">
            <v>Q4</v>
          </cell>
        </row>
        <row r="993">
          <cell r="A993">
            <v>44153</v>
          </cell>
          <cell r="B993">
            <v>43.83</v>
          </cell>
          <cell r="C993">
            <v>2020</v>
          </cell>
          <cell r="D993" t="str">
            <v>Q4</v>
          </cell>
        </row>
        <row r="994">
          <cell r="A994">
            <v>44154</v>
          </cell>
          <cell r="B994">
            <v>43.72</v>
          </cell>
          <cell r="C994">
            <v>2020</v>
          </cell>
          <cell r="D994" t="str">
            <v>Q4</v>
          </cell>
        </row>
        <row r="995">
          <cell r="A995">
            <v>44155</v>
          </cell>
          <cell r="B995">
            <v>44.185000000000002</v>
          </cell>
          <cell r="C995">
            <v>2020</v>
          </cell>
          <cell r="D995" t="str">
            <v>Q4</v>
          </cell>
        </row>
        <row r="996">
          <cell r="A996">
            <v>44158</v>
          </cell>
          <cell r="B996">
            <v>45.524999999999999</v>
          </cell>
          <cell r="C996">
            <v>2020</v>
          </cell>
          <cell r="D996" t="str">
            <v>Q4</v>
          </cell>
        </row>
        <row r="997">
          <cell r="A997">
            <v>44159</v>
          </cell>
          <cell r="B997">
            <v>47.255000000000003</v>
          </cell>
          <cell r="C997">
            <v>2020</v>
          </cell>
          <cell r="D997" t="str">
            <v>Q4</v>
          </cell>
        </row>
        <row r="998">
          <cell r="A998">
            <v>44160</v>
          </cell>
          <cell r="B998">
            <v>47.505000000000003</v>
          </cell>
          <cell r="C998">
            <v>2020</v>
          </cell>
          <cell r="D998" t="str">
            <v>Q4</v>
          </cell>
        </row>
        <row r="999">
          <cell r="A999">
            <v>44161</v>
          </cell>
          <cell r="B999">
            <v>47.115000000000002</v>
          </cell>
          <cell r="C999">
            <v>2020</v>
          </cell>
          <cell r="D999" t="str">
            <v>Q4</v>
          </cell>
        </row>
        <row r="1000">
          <cell r="A1000">
            <v>44162</v>
          </cell>
          <cell r="B1000">
            <v>47.534999999999997</v>
          </cell>
          <cell r="C1000">
            <v>2020</v>
          </cell>
          <cell r="D1000" t="str">
            <v>Q4</v>
          </cell>
        </row>
        <row r="1001">
          <cell r="A1001">
            <v>44165</v>
          </cell>
          <cell r="B1001">
            <v>47.075000000000003</v>
          </cell>
          <cell r="C1001">
            <v>2020</v>
          </cell>
          <cell r="D1001" t="str">
            <v>Q4</v>
          </cell>
        </row>
        <row r="1002">
          <cell r="A1002">
            <v>44166</v>
          </cell>
          <cell r="B1002">
            <v>47.905000000000001</v>
          </cell>
          <cell r="C1002">
            <v>2020</v>
          </cell>
          <cell r="D1002" t="str">
            <v>Q4</v>
          </cell>
        </row>
        <row r="1003">
          <cell r="A1003">
            <v>44167</v>
          </cell>
          <cell r="B1003">
            <v>48.625</v>
          </cell>
          <cell r="C1003">
            <v>2020</v>
          </cell>
          <cell r="D1003" t="str">
            <v>Q4</v>
          </cell>
        </row>
        <row r="1004">
          <cell r="A1004">
            <v>44168</v>
          </cell>
          <cell r="B1004">
            <v>49.14</v>
          </cell>
          <cell r="C1004">
            <v>2020</v>
          </cell>
          <cell r="D1004" t="str">
            <v>Q4</v>
          </cell>
        </row>
        <row r="1005">
          <cell r="A1005">
            <v>44169</v>
          </cell>
          <cell r="B1005">
            <v>49.92</v>
          </cell>
          <cell r="C1005">
            <v>2020</v>
          </cell>
          <cell r="D1005" t="str">
            <v>Q4</v>
          </cell>
        </row>
        <row r="1006">
          <cell r="A1006">
            <v>44172</v>
          </cell>
          <cell r="B1006">
            <v>49.774999999999999</v>
          </cell>
          <cell r="C1006">
            <v>2020</v>
          </cell>
          <cell r="D1006" t="str">
            <v>Q4</v>
          </cell>
        </row>
        <row r="1007">
          <cell r="A1007">
            <v>44173</v>
          </cell>
          <cell r="B1007">
            <v>49.825000000000003</v>
          </cell>
          <cell r="C1007">
            <v>2020</v>
          </cell>
          <cell r="D1007" t="str">
            <v>Q4</v>
          </cell>
        </row>
        <row r="1008">
          <cell r="A1008">
            <v>44174</v>
          </cell>
          <cell r="B1008">
            <v>49.78</v>
          </cell>
          <cell r="C1008">
            <v>2020</v>
          </cell>
          <cell r="D1008" t="str">
            <v>Q4</v>
          </cell>
        </row>
        <row r="1009">
          <cell r="A1009">
            <v>44175</v>
          </cell>
          <cell r="B1009">
            <v>51.835000000000001</v>
          </cell>
          <cell r="C1009">
            <v>2020</v>
          </cell>
          <cell r="D1009" t="str">
            <v>Q4</v>
          </cell>
        </row>
        <row r="1010">
          <cell r="A1010">
            <v>44176</v>
          </cell>
          <cell r="B1010">
            <v>51.024999999999999</v>
          </cell>
          <cell r="C1010">
            <v>2020</v>
          </cell>
          <cell r="D1010" t="str">
            <v>Q4</v>
          </cell>
        </row>
        <row r="1011">
          <cell r="A1011">
            <v>44179</v>
          </cell>
          <cell r="B1011">
            <v>50.53</v>
          </cell>
          <cell r="C1011">
            <v>2020</v>
          </cell>
          <cell r="D1011" t="str">
            <v>Q4</v>
          </cell>
        </row>
        <row r="1012">
          <cell r="A1012">
            <v>44180</v>
          </cell>
          <cell r="B1012">
            <v>51.625</v>
          </cell>
          <cell r="C1012">
            <v>2020</v>
          </cell>
          <cell r="D1012" t="str">
            <v>Q4</v>
          </cell>
        </row>
        <row r="1013">
          <cell r="A1013">
            <v>44181</v>
          </cell>
          <cell r="B1013">
            <v>51.32</v>
          </cell>
          <cell r="C1013">
            <v>2020</v>
          </cell>
          <cell r="D1013" t="str">
            <v>Q4</v>
          </cell>
        </row>
        <row r="1014">
          <cell r="A1014">
            <v>44182</v>
          </cell>
          <cell r="B1014">
            <v>51.935000000000002</v>
          </cell>
          <cell r="C1014">
            <v>2020</v>
          </cell>
          <cell r="D1014" t="str">
            <v>Q4</v>
          </cell>
        </row>
        <row r="1015">
          <cell r="A1015">
            <v>44183</v>
          </cell>
          <cell r="B1015">
            <v>52.875</v>
          </cell>
          <cell r="C1015">
            <v>2020</v>
          </cell>
          <cell r="D1015" t="str">
            <v>Q4</v>
          </cell>
        </row>
        <row r="1016">
          <cell r="A1016">
            <v>44186</v>
          </cell>
          <cell r="B1016">
            <v>50.88</v>
          </cell>
          <cell r="C1016">
            <v>2020</v>
          </cell>
          <cell r="D1016" t="str">
            <v>Q4</v>
          </cell>
        </row>
        <row r="1017">
          <cell r="A1017">
            <v>44187</v>
          </cell>
          <cell r="B1017">
            <v>51.015000000000001</v>
          </cell>
          <cell r="C1017">
            <v>2020</v>
          </cell>
          <cell r="D1017" t="str">
            <v>Q4</v>
          </cell>
        </row>
        <row r="1018">
          <cell r="A1018">
            <v>44188</v>
          </cell>
          <cell r="B1018">
            <v>52.06</v>
          </cell>
          <cell r="C1018">
            <v>2020</v>
          </cell>
          <cell r="D1018" t="str">
            <v>Q4</v>
          </cell>
        </row>
        <row r="1019">
          <cell r="A1019">
            <v>44189</v>
          </cell>
          <cell r="B1019">
            <v>51.36</v>
          </cell>
          <cell r="C1019">
            <v>2020</v>
          </cell>
          <cell r="D1019" t="str">
            <v>Q4</v>
          </cell>
        </row>
        <row r="1020">
          <cell r="A1020">
            <v>44194</v>
          </cell>
          <cell r="B1020">
            <v>51.42</v>
          </cell>
          <cell r="C1020">
            <v>2020</v>
          </cell>
          <cell r="D1020" t="str">
            <v>Q4</v>
          </cell>
        </row>
        <row r="1021">
          <cell r="A1021">
            <v>44195</v>
          </cell>
          <cell r="B1021">
            <v>51.305</v>
          </cell>
          <cell r="C1021">
            <v>2020</v>
          </cell>
          <cell r="D1021" t="str">
            <v>Q4</v>
          </cell>
        </row>
        <row r="1022">
          <cell r="A1022">
            <v>44196</v>
          </cell>
          <cell r="B1022">
            <v>51.664999999999999</v>
          </cell>
          <cell r="C1022">
            <v>2020</v>
          </cell>
          <cell r="D1022" t="str">
            <v>Q4</v>
          </cell>
        </row>
        <row r="1023">
          <cell r="A1023">
            <v>44200</v>
          </cell>
          <cell r="B1023">
            <v>51.024999999999999</v>
          </cell>
          <cell r="C1023">
            <v>2021</v>
          </cell>
          <cell r="D1023" t="str">
            <v>Q1</v>
          </cell>
        </row>
        <row r="1024">
          <cell r="A1024">
            <v>44201</v>
          </cell>
          <cell r="B1024">
            <v>53.344999999999999</v>
          </cell>
          <cell r="C1024">
            <v>2021</v>
          </cell>
          <cell r="D1024" t="str">
            <v>Q1</v>
          </cell>
        </row>
        <row r="1025">
          <cell r="A1025">
            <v>44202</v>
          </cell>
          <cell r="B1025">
            <v>54.765000000000001</v>
          </cell>
          <cell r="C1025">
            <v>2021</v>
          </cell>
          <cell r="D1025" t="str">
            <v>Q1</v>
          </cell>
        </row>
        <row r="1026">
          <cell r="A1026">
            <v>44203</v>
          </cell>
          <cell r="B1026">
            <v>54.58</v>
          </cell>
          <cell r="C1026">
            <v>2021</v>
          </cell>
          <cell r="D1026" t="str">
            <v>Q1</v>
          </cell>
        </row>
        <row r="1027">
          <cell r="A1027">
            <v>44204</v>
          </cell>
          <cell r="B1027">
            <v>55.7</v>
          </cell>
          <cell r="C1027">
            <v>2021</v>
          </cell>
          <cell r="D1027" t="str">
            <v>Q1</v>
          </cell>
        </row>
        <row r="1028">
          <cell r="A1028">
            <v>44207</v>
          </cell>
          <cell r="B1028">
            <v>55.314999999999998</v>
          </cell>
          <cell r="C1028">
            <v>2021</v>
          </cell>
          <cell r="D1028" t="str">
            <v>Q1</v>
          </cell>
        </row>
        <row r="1029">
          <cell r="A1029">
            <v>44208</v>
          </cell>
          <cell r="B1029">
            <v>56.414999999999999</v>
          </cell>
          <cell r="C1029">
            <v>2021</v>
          </cell>
          <cell r="D1029" t="str">
            <v>Q1</v>
          </cell>
        </row>
        <row r="1030">
          <cell r="A1030">
            <v>44209</v>
          </cell>
          <cell r="B1030">
            <v>56.18</v>
          </cell>
          <cell r="C1030">
            <v>2021</v>
          </cell>
          <cell r="D1030" t="str">
            <v>Q1</v>
          </cell>
        </row>
        <row r="1031">
          <cell r="A1031">
            <v>44210</v>
          </cell>
          <cell r="B1031">
            <v>55.61</v>
          </cell>
          <cell r="C1031">
            <v>2021</v>
          </cell>
          <cell r="D1031" t="str">
            <v>Q1</v>
          </cell>
        </row>
        <row r="1032">
          <cell r="A1032">
            <v>44211</v>
          </cell>
          <cell r="B1032">
            <v>55.125</v>
          </cell>
          <cell r="C1032">
            <v>2021</v>
          </cell>
          <cell r="D1032" t="str">
            <v>Q1</v>
          </cell>
        </row>
        <row r="1033">
          <cell r="A1033">
            <v>44214</v>
          </cell>
          <cell r="B1033">
            <v>55.034999999999997</v>
          </cell>
          <cell r="C1033">
            <v>2021</v>
          </cell>
          <cell r="D1033" t="str">
            <v>Q1</v>
          </cell>
        </row>
        <row r="1034">
          <cell r="A1034">
            <v>44215</v>
          </cell>
          <cell r="B1034">
            <v>56.034999999999997</v>
          </cell>
          <cell r="C1034">
            <v>2021</v>
          </cell>
          <cell r="D1034" t="str">
            <v>Q1</v>
          </cell>
        </row>
        <row r="1035">
          <cell r="A1035">
            <v>44216</v>
          </cell>
          <cell r="B1035">
            <v>56.44</v>
          </cell>
          <cell r="C1035">
            <v>2021</v>
          </cell>
          <cell r="D1035" t="str">
            <v>Q1</v>
          </cell>
        </row>
        <row r="1036">
          <cell r="A1036">
            <v>44217</v>
          </cell>
          <cell r="B1036">
            <v>56.164999999999999</v>
          </cell>
          <cell r="C1036">
            <v>2021</v>
          </cell>
          <cell r="D1036" t="str">
            <v>Q1</v>
          </cell>
        </row>
        <row r="1037">
          <cell r="A1037">
            <v>44218</v>
          </cell>
          <cell r="B1037">
            <v>55.674999999999997</v>
          </cell>
          <cell r="C1037">
            <v>2021</v>
          </cell>
          <cell r="D1037" t="str">
            <v>Q1</v>
          </cell>
        </row>
        <row r="1038">
          <cell r="A1038">
            <v>44221</v>
          </cell>
          <cell r="B1038">
            <v>55.55</v>
          </cell>
          <cell r="C1038">
            <v>2021</v>
          </cell>
          <cell r="D1038" t="str">
            <v>Q1</v>
          </cell>
        </row>
        <row r="1039">
          <cell r="A1039">
            <v>44222</v>
          </cell>
          <cell r="B1039">
            <v>55.774999999999999</v>
          </cell>
          <cell r="C1039">
            <v>2021</v>
          </cell>
          <cell r="D1039" t="str">
            <v>Q1</v>
          </cell>
        </row>
        <row r="1040">
          <cell r="A1040">
            <v>44223</v>
          </cell>
          <cell r="B1040">
            <v>55.975000000000001</v>
          </cell>
          <cell r="C1040">
            <v>2021</v>
          </cell>
          <cell r="D1040" t="str">
            <v>Q1</v>
          </cell>
        </row>
        <row r="1041">
          <cell r="A1041">
            <v>44224</v>
          </cell>
          <cell r="B1041">
            <v>55.484999999999999</v>
          </cell>
          <cell r="C1041">
            <v>2021</v>
          </cell>
          <cell r="D1041" t="str">
            <v>Q1</v>
          </cell>
        </row>
        <row r="1042">
          <cell r="A1042">
            <v>44225</v>
          </cell>
          <cell r="B1042">
            <v>55.814999999999998</v>
          </cell>
          <cell r="C1042">
            <v>2021</v>
          </cell>
          <cell r="D1042" t="str">
            <v>Q1</v>
          </cell>
        </row>
        <row r="1043">
          <cell r="A1043">
            <v>44228</v>
          </cell>
          <cell r="B1043">
            <v>56.564999999999998</v>
          </cell>
          <cell r="C1043">
            <v>2021</v>
          </cell>
          <cell r="D1043" t="str">
            <v>Q1</v>
          </cell>
        </row>
        <row r="1044">
          <cell r="A1044">
            <v>44229</v>
          </cell>
          <cell r="B1044">
            <v>58.484999999999999</v>
          </cell>
          <cell r="C1044">
            <v>2021</v>
          </cell>
          <cell r="D1044" t="str">
            <v>Q1</v>
          </cell>
        </row>
        <row r="1045">
          <cell r="A1045">
            <v>44230</v>
          </cell>
          <cell r="B1045">
            <v>59.24</v>
          </cell>
          <cell r="C1045">
            <v>2021</v>
          </cell>
          <cell r="D1045" t="str">
            <v>Q1</v>
          </cell>
        </row>
        <row r="1046">
          <cell r="A1046">
            <v>44231</v>
          </cell>
          <cell r="B1046">
            <v>59.24</v>
          </cell>
          <cell r="C1046">
            <v>2021</v>
          </cell>
          <cell r="D1046" t="str">
            <v>Q1</v>
          </cell>
        </row>
        <row r="1047">
          <cell r="A1047">
            <v>44232</v>
          </cell>
          <cell r="B1047">
            <v>60.26</v>
          </cell>
          <cell r="C1047">
            <v>2021</v>
          </cell>
          <cell r="D1047" t="str">
            <v>Q1</v>
          </cell>
        </row>
        <row r="1048">
          <cell r="A1048">
            <v>44235</v>
          </cell>
          <cell r="B1048">
            <v>60.3</v>
          </cell>
          <cell r="C1048">
            <v>2021</v>
          </cell>
          <cell r="D1048" t="str">
            <v>Q1</v>
          </cell>
        </row>
        <row r="1049">
          <cell r="A1049">
            <v>44236</v>
          </cell>
          <cell r="B1049">
            <v>60.734999999999999</v>
          </cell>
          <cell r="C1049">
            <v>2021</v>
          </cell>
          <cell r="D1049" t="str">
            <v>Q1</v>
          </cell>
        </row>
        <row r="1050">
          <cell r="A1050">
            <v>44237</v>
          </cell>
          <cell r="B1050">
            <v>61.375</v>
          </cell>
          <cell r="C1050">
            <v>2021</v>
          </cell>
          <cell r="D1050" t="str">
            <v>Q1</v>
          </cell>
        </row>
        <row r="1051">
          <cell r="A1051">
            <v>44238</v>
          </cell>
          <cell r="B1051">
            <v>61.58</v>
          </cell>
          <cell r="C1051">
            <v>2021</v>
          </cell>
          <cell r="D1051" t="str">
            <v>Q1</v>
          </cell>
        </row>
        <row r="1052">
          <cell r="A1052">
            <v>44239</v>
          </cell>
          <cell r="B1052">
            <v>62.24</v>
          </cell>
          <cell r="C1052">
            <v>2021</v>
          </cell>
          <cell r="D1052" t="str">
            <v>Q1</v>
          </cell>
        </row>
        <row r="1053">
          <cell r="A1053">
            <v>44242</v>
          </cell>
          <cell r="B1053">
            <v>64.209999999999994</v>
          </cell>
          <cell r="C1053">
            <v>2021</v>
          </cell>
          <cell r="D1053" t="str">
            <v>Q1</v>
          </cell>
        </row>
        <row r="1054">
          <cell r="A1054">
            <v>44243</v>
          </cell>
          <cell r="B1054">
            <v>63.884999999999998</v>
          </cell>
          <cell r="C1054">
            <v>2021</v>
          </cell>
          <cell r="D1054" t="str">
            <v>Q1</v>
          </cell>
        </row>
        <row r="1055">
          <cell r="A1055">
            <v>44244</v>
          </cell>
          <cell r="B1055">
            <v>64.739999999999995</v>
          </cell>
          <cell r="C1055">
            <v>2021</v>
          </cell>
          <cell r="D1055" t="str">
            <v>Q1</v>
          </cell>
        </row>
        <row r="1056">
          <cell r="A1056">
            <v>44245</v>
          </cell>
          <cell r="B1056">
            <v>64.7</v>
          </cell>
          <cell r="C1056">
            <v>2021</v>
          </cell>
          <cell r="D1056" t="str">
            <v>Q1</v>
          </cell>
        </row>
        <row r="1057">
          <cell r="A1057">
            <v>44246</v>
          </cell>
          <cell r="B1057">
            <v>63.674999999999997</v>
          </cell>
          <cell r="C1057">
            <v>2021</v>
          </cell>
          <cell r="D1057" t="str">
            <v>Q1</v>
          </cell>
        </row>
        <row r="1058">
          <cell r="A1058">
            <v>44249</v>
          </cell>
          <cell r="B1058">
            <v>64.224999999999994</v>
          </cell>
          <cell r="C1058">
            <v>2021</v>
          </cell>
          <cell r="D1058" t="str">
            <v>Q1</v>
          </cell>
        </row>
        <row r="1059">
          <cell r="A1059">
            <v>44250</v>
          </cell>
          <cell r="B1059">
            <v>65.165000000000006</v>
          </cell>
          <cell r="C1059">
            <v>2021</v>
          </cell>
          <cell r="D1059" t="str">
            <v>Q1</v>
          </cell>
        </row>
        <row r="1060">
          <cell r="A1060">
            <v>44251</v>
          </cell>
          <cell r="B1060">
            <v>66.754999999999995</v>
          </cell>
          <cell r="C1060">
            <v>2021</v>
          </cell>
          <cell r="D1060" t="str">
            <v>Q1</v>
          </cell>
        </row>
        <row r="1061">
          <cell r="A1061">
            <v>44252</v>
          </cell>
          <cell r="B1061">
            <v>67.11</v>
          </cell>
          <cell r="C1061">
            <v>2021</v>
          </cell>
          <cell r="D1061" t="str">
            <v>Q1</v>
          </cell>
        </row>
        <row r="1062">
          <cell r="A1062">
            <v>44253</v>
          </cell>
          <cell r="B1062">
            <v>66.02</v>
          </cell>
          <cell r="C1062">
            <v>2021</v>
          </cell>
          <cell r="D1062" t="str">
            <v>Q1</v>
          </cell>
        </row>
        <row r="1063">
          <cell r="A1063">
            <v>44256</v>
          </cell>
          <cell r="B1063">
            <v>65.8</v>
          </cell>
          <cell r="C1063">
            <v>2021</v>
          </cell>
          <cell r="D1063" t="str">
            <v>Q1</v>
          </cell>
        </row>
        <row r="1064">
          <cell r="A1064">
            <v>44257</v>
          </cell>
          <cell r="B1064">
            <v>64.099999999999994</v>
          </cell>
          <cell r="C1064">
            <v>2021</v>
          </cell>
          <cell r="D1064" t="str">
            <v>Q1</v>
          </cell>
        </row>
        <row r="1065">
          <cell r="A1065">
            <v>44258</v>
          </cell>
          <cell r="B1065">
            <v>64.900000000000006</v>
          </cell>
          <cell r="C1065">
            <v>2021</v>
          </cell>
          <cell r="D1065" t="str">
            <v>Q1</v>
          </cell>
        </row>
        <row r="1066">
          <cell r="A1066">
            <v>44259</v>
          </cell>
          <cell r="B1066">
            <v>67.78</v>
          </cell>
          <cell r="C1066">
            <v>2021</v>
          </cell>
          <cell r="D1066" t="str">
            <v>Q1</v>
          </cell>
        </row>
        <row r="1067">
          <cell r="A1067">
            <v>44260</v>
          </cell>
          <cell r="B1067">
            <v>69.430000000000007</v>
          </cell>
          <cell r="C1067">
            <v>2021</v>
          </cell>
          <cell r="D1067" t="str">
            <v>Q1</v>
          </cell>
        </row>
        <row r="1068">
          <cell r="A1068">
            <v>44263</v>
          </cell>
          <cell r="B1068">
            <v>68.325000000000003</v>
          </cell>
          <cell r="C1068">
            <v>2021</v>
          </cell>
          <cell r="D1068" t="str">
            <v>Q1</v>
          </cell>
        </row>
        <row r="1069">
          <cell r="A1069">
            <v>44264</v>
          </cell>
          <cell r="B1069">
            <v>66.844999999999999</v>
          </cell>
          <cell r="C1069">
            <v>2021</v>
          </cell>
          <cell r="D1069" t="str">
            <v>Q1</v>
          </cell>
        </row>
        <row r="1070">
          <cell r="A1070">
            <v>44265</v>
          </cell>
          <cell r="B1070">
            <v>66.62</v>
          </cell>
          <cell r="C1070">
            <v>2021</v>
          </cell>
          <cell r="D1070" t="str">
            <v>Q1</v>
          </cell>
        </row>
        <row r="1071">
          <cell r="A1071">
            <v>44266</v>
          </cell>
          <cell r="B1071">
            <v>68.885000000000005</v>
          </cell>
          <cell r="C1071">
            <v>2021</v>
          </cell>
          <cell r="D1071" t="str">
            <v>Q1</v>
          </cell>
        </row>
        <row r="1072">
          <cell r="A1072">
            <v>44267</v>
          </cell>
          <cell r="B1072">
            <v>68.88</v>
          </cell>
          <cell r="C1072">
            <v>2021</v>
          </cell>
          <cell r="D1072" t="str">
            <v>Q1</v>
          </cell>
        </row>
        <row r="1073">
          <cell r="A1073">
            <v>44270</v>
          </cell>
          <cell r="B1073">
            <v>68.41</v>
          </cell>
          <cell r="C1073">
            <v>2021</v>
          </cell>
          <cell r="D1073" t="str">
            <v>Q1</v>
          </cell>
        </row>
        <row r="1074">
          <cell r="A1074">
            <v>44271</v>
          </cell>
          <cell r="B1074">
            <v>67.635000000000005</v>
          </cell>
          <cell r="C1074">
            <v>2021</v>
          </cell>
          <cell r="D1074" t="str">
            <v>Q1</v>
          </cell>
        </row>
        <row r="1075">
          <cell r="A1075">
            <v>44272</v>
          </cell>
          <cell r="B1075">
            <v>67.239999999999995</v>
          </cell>
          <cell r="C1075">
            <v>2021</v>
          </cell>
          <cell r="D1075" t="str">
            <v>Q1</v>
          </cell>
        </row>
        <row r="1076">
          <cell r="A1076">
            <v>44273</v>
          </cell>
          <cell r="B1076">
            <v>64.534999999999997</v>
          </cell>
          <cell r="C1076">
            <v>2021</v>
          </cell>
          <cell r="D1076" t="str">
            <v>Q1</v>
          </cell>
        </row>
        <row r="1077">
          <cell r="A1077">
            <v>44274</v>
          </cell>
          <cell r="B1077">
            <v>63.36</v>
          </cell>
          <cell r="C1077">
            <v>2021</v>
          </cell>
          <cell r="D1077" t="str">
            <v>Q1</v>
          </cell>
        </row>
        <row r="1078">
          <cell r="A1078">
            <v>44277</v>
          </cell>
          <cell r="B1078">
            <v>63.7</v>
          </cell>
          <cell r="C1078">
            <v>2021</v>
          </cell>
          <cell r="D1078" t="str">
            <v>Q1</v>
          </cell>
        </row>
        <row r="1079">
          <cell r="A1079">
            <v>44278</v>
          </cell>
          <cell r="B1079">
            <v>61.64</v>
          </cell>
          <cell r="C1079">
            <v>2021</v>
          </cell>
          <cell r="D1079" t="str">
            <v>Q1</v>
          </cell>
        </row>
        <row r="1080">
          <cell r="A1080">
            <v>44279</v>
          </cell>
          <cell r="B1080">
            <v>63.67</v>
          </cell>
          <cell r="C1080">
            <v>2021</v>
          </cell>
          <cell r="D1080" t="str">
            <v>Q1</v>
          </cell>
        </row>
        <row r="1081">
          <cell r="A1081">
            <v>44280</v>
          </cell>
          <cell r="B1081">
            <v>61.585000000000001</v>
          </cell>
          <cell r="C1081">
            <v>2021</v>
          </cell>
          <cell r="D1081" t="str">
            <v>Q1</v>
          </cell>
        </row>
        <row r="1082">
          <cell r="A1082">
            <v>44281</v>
          </cell>
          <cell r="B1082">
            <v>63.83</v>
          </cell>
          <cell r="C1082">
            <v>2021</v>
          </cell>
          <cell r="D1082" t="str">
            <v>Q1</v>
          </cell>
        </row>
        <row r="1083">
          <cell r="A1083">
            <v>44284</v>
          </cell>
          <cell r="B1083">
            <v>62.86</v>
          </cell>
          <cell r="C1083">
            <v>2021</v>
          </cell>
          <cell r="D1083" t="str">
            <v>Q1</v>
          </cell>
        </row>
        <row r="1084">
          <cell r="A1084">
            <v>44285</v>
          </cell>
          <cell r="B1084">
            <v>62.994999999999997</v>
          </cell>
          <cell r="C1084">
            <v>2021</v>
          </cell>
          <cell r="D1084" t="str">
            <v>Q1</v>
          </cell>
        </row>
        <row r="1085">
          <cell r="A1085">
            <v>44286</v>
          </cell>
          <cell r="B1085">
            <v>62.685000000000002</v>
          </cell>
          <cell r="C1085">
            <v>2021</v>
          </cell>
          <cell r="D1085" t="str">
            <v>Q1</v>
          </cell>
        </row>
        <row r="1086">
          <cell r="A1086">
            <v>44287</v>
          </cell>
          <cell r="B1086">
            <v>61.62</v>
          </cell>
          <cell r="C1086">
            <v>2021</v>
          </cell>
          <cell r="D1086" t="str">
            <v>Q2</v>
          </cell>
        </row>
        <row r="1087">
          <cell r="A1087">
            <v>44292</v>
          </cell>
          <cell r="B1087">
            <v>61.53</v>
          </cell>
          <cell r="C1087">
            <v>2021</v>
          </cell>
          <cell r="D1087" t="str">
            <v>Q2</v>
          </cell>
        </row>
        <row r="1088">
          <cell r="A1088">
            <v>44293</v>
          </cell>
          <cell r="B1088">
            <v>60.29</v>
          </cell>
          <cell r="C1088">
            <v>2021</v>
          </cell>
          <cell r="D1088" t="str">
            <v>Q2</v>
          </cell>
        </row>
        <row r="1089">
          <cell r="A1089">
            <v>44294</v>
          </cell>
          <cell r="B1089">
            <v>61.18</v>
          </cell>
          <cell r="C1089">
            <v>2021</v>
          </cell>
          <cell r="D1089" t="str">
            <v>Q2</v>
          </cell>
        </row>
        <row r="1090">
          <cell r="A1090">
            <v>44295</v>
          </cell>
          <cell r="B1090">
            <v>61.435000000000002</v>
          </cell>
          <cell r="C1090">
            <v>2021</v>
          </cell>
          <cell r="D1090" t="str">
            <v>Q2</v>
          </cell>
        </row>
        <row r="1091">
          <cell r="A1091">
            <v>44298</v>
          </cell>
          <cell r="B1091">
            <v>62.04</v>
          </cell>
          <cell r="C1091">
            <v>2021</v>
          </cell>
          <cell r="D1091" t="str">
            <v>Q2</v>
          </cell>
        </row>
        <row r="1092">
          <cell r="A1092">
            <v>44299</v>
          </cell>
          <cell r="B1092">
            <v>62.344999999999999</v>
          </cell>
          <cell r="C1092">
            <v>2021</v>
          </cell>
          <cell r="D1092" t="str">
            <v>Q2</v>
          </cell>
        </row>
        <row r="1093">
          <cell r="A1093">
            <v>44300</v>
          </cell>
          <cell r="B1093">
            <v>65.08</v>
          </cell>
          <cell r="C1093">
            <v>2021</v>
          </cell>
          <cell r="D1093" t="str">
            <v>Q2</v>
          </cell>
        </row>
        <row r="1094">
          <cell r="A1094">
            <v>44301</v>
          </cell>
          <cell r="B1094">
            <v>65.05</v>
          </cell>
          <cell r="C1094">
            <v>2021</v>
          </cell>
          <cell r="D1094" t="str">
            <v>Q2</v>
          </cell>
        </row>
        <row r="1095">
          <cell r="A1095">
            <v>44302</v>
          </cell>
          <cell r="B1095">
            <v>65.25</v>
          </cell>
          <cell r="C1095">
            <v>2021</v>
          </cell>
          <cell r="D1095" t="str">
            <v>Q2</v>
          </cell>
        </row>
        <row r="1096">
          <cell r="A1096">
            <v>44305</v>
          </cell>
          <cell r="B1096">
            <v>65.72</v>
          </cell>
          <cell r="C1096">
            <v>2021</v>
          </cell>
          <cell r="D1096" t="str">
            <v>Q2</v>
          </cell>
        </row>
        <row r="1097">
          <cell r="A1097">
            <v>44306</v>
          </cell>
          <cell r="B1097">
            <v>63.975000000000001</v>
          </cell>
          <cell r="C1097">
            <v>2021</v>
          </cell>
          <cell r="D1097" t="str">
            <v>Q2</v>
          </cell>
        </row>
        <row r="1098">
          <cell r="A1098">
            <v>44307</v>
          </cell>
          <cell r="B1098">
            <v>64</v>
          </cell>
          <cell r="C1098">
            <v>2021</v>
          </cell>
          <cell r="D1098" t="str">
            <v>Q2</v>
          </cell>
        </row>
        <row r="1099">
          <cell r="A1099">
            <v>44308</v>
          </cell>
          <cell r="B1099">
            <v>64.644999999999996</v>
          </cell>
          <cell r="C1099">
            <v>2021</v>
          </cell>
          <cell r="D1099" t="str">
            <v>Q2</v>
          </cell>
        </row>
        <row r="1100">
          <cell r="A1100">
            <v>44309</v>
          </cell>
          <cell r="B1100">
            <v>65.16</v>
          </cell>
          <cell r="C1100">
            <v>2021</v>
          </cell>
          <cell r="D1100" t="str">
            <v>Q2</v>
          </cell>
        </row>
        <row r="1101">
          <cell r="A1101">
            <v>44312</v>
          </cell>
          <cell r="B1101">
            <v>65.14</v>
          </cell>
          <cell r="C1101">
            <v>2021</v>
          </cell>
          <cell r="D1101" t="str">
            <v>Q2</v>
          </cell>
        </row>
        <row r="1102">
          <cell r="A1102">
            <v>44313</v>
          </cell>
          <cell r="B1102">
            <v>65.36</v>
          </cell>
          <cell r="C1102">
            <v>2021</v>
          </cell>
          <cell r="D1102" t="str">
            <v>Q2</v>
          </cell>
        </row>
        <row r="1103">
          <cell r="A1103">
            <v>44314</v>
          </cell>
          <cell r="B1103">
            <v>67.03</v>
          </cell>
          <cell r="C1103">
            <v>2021</v>
          </cell>
          <cell r="D1103" t="str">
            <v>Q2</v>
          </cell>
        </row>
        <row r="1104">
          <cell r="A1104">
            <v>44315</v>
          </cell>
          <cell r="B1104">
            <v>67.45</v>
          </cell>
          <cell r="C1104">
            <v>2021</v>
          </cell>
          <cell r="D1104" t="str">
            <v>Q2</v>
          </cell>
        </row>
        <row r="1105">
          <cell r="A1105">
            <v>44316</v>
          </cell>
          <cell r="B1105">
            <v>67.135000000000005</v>
          </cell>
          <cell r="C1105">
            <v>2021</v>
          </cell>
          <cell r="D1105" t="str">
            <v>Q2</v>
          </cell>
        </row>
        <row r="1106">
          <cell r="A1106">
            <v>44320</v>
          </cell>
          <cell r="B1106">
            <v>68.650000000000006</v>
          </cell>
          <cell r="C1106">
            <v>2021</v>
          </cell>
          <cell r="D1106" t="str">
            <v>Q2</v>
          </cell>
        </row>
        <row r="1107">
          <cell r="A1107">
            <v>44321</v>
          </cell>
          <cell r="B1107">
            <v>69.644999999999996</v>
          </cell>
          <cell r="C1107">
            <v>2021</v>
          </cell>
          <cell r="D1107" t="str">
            <v>Q2</v>
          </cell>
        </row>
        <row r="1108">
          <cell r="A1108">
            <v>44322</v>
          </cell>
          <cell r="B1108">
            <v>68.489999999999995</v>
          </cell>
          <cell r="C1108">
            <v>2021</v>
          </cell>
          <cell r="D1108" t="str">
            <v>Q2</v>
          </cell>
        </row>
        <row r="1109">
          <cell r="A1109">
            <v>44323</v>
          </cell>
          <cell r="B1109">
            <v>68.105000000000004</v>
          </cell>
          <cell r="C1109">
            <v>2021</v>
          </cell>
          <cell r="D1109" t="str">
            <v>Q2</v>
          </cell>
        </row>
        <row r="1110">
          <cell r="A1110">
            <v>44326</v>
          </cell>
          <cell r="B1110">
            <v>67.87</v>
          </cell>
          <cell r="C1110">
            <v>2021</v>
          </cell>
          <cell r="D1110" t="str">
            <v>Q2</v>
          </cell>
        </row>
        <row r="1111">
          <cell r="A1111">
            <v>44327</v>
          </cell>
          <cell r="B1111">
            <v>68.16</v>
          </cell>
          <cell r="C1111">
            <v>2021</v>
          </cell>
          <cell r="D1111" t="str">
            <v>Q2</v>
          </cell>
        </row>
        <row r="1112">
          <cell r="A1112">
            <v>44328</v>
          </cell>
          <cell r="B1112">
            <v>69.37</v>
          </cell>
          <cell r="C1112">
            <v>2021</v>
          </cell>
          <cell r="D1112" t="str">
            <v>Q2</v>
          </cell>
        </row>
        <row r="1113">
          <cell r="A1113">
            <v>44329</v>
          </cell>
          <cell r="B1113">
            <v>67.275000000000006</v>
          </cell>
          <cell r="C1113">
            <v>2021</v>
          </cell>
          <cell r="D1113" t="str">
            <v>Q2</v>
          </cell>
        </row>
        <row r="1114">
          <cell r="A1114">
            <v>44330</v>
          </cell>
          <cell r="B1114">
            <v>68.510000000000005</v>
          </cell>
          <cell r="C1114">
            <v>2021</v>
          </cell>
          <cell r="D1114" t="str">
            <v>Q2</v>
          </cell>
        </row>
        <row r="1115">
          <cell r="A1115">
            <v>44333</v>
          </cell>
          <cell r="B1115">
            <v>68.900000000000006</v>
          </cell>
          <cell r="C1115">
            <v>2021</v>
          </cell>
          <cell r="D1115" t="str">
            <v>Q2</v>
          </cell>
        </row>
        <row r="1116">
          <cell r="A1116">
            <v>44334</v>
          </cell>
          <cell r="B1116">
            <v>68.91</v>
          </cell>
          <cell r="C1116">
            <v>2021</v>
          </cell>
          <cell r="D1116" t="str">
            <v>Q2</v>
          </cell>
        </row>
        <row r="1117">
          <cell r="A1117">
            <v>44335</v>
          </cell>
          <cell r="B1117">
            <v>65.97</v>
          </cell>
          <cell r="C1117">
            <v>2021</v>
          </cell>
          <cell r="D1117" t="str">
            <v>Q2</v>
          </cell>
        </row>
        <row r="1118">
          <cell r="A1118">
            <v>44336</v>
          </cell>
          <cell r="B1118">
            <v>65.805000000000007</v>
          </cell>
          <cell r="C1118">
            <v>2021</v>
          </cell>
          <cell r="D1118" t="str">
            <v>Q2</v>
          </cell>
        </row>
        <row r="1119">
          <cell r="A1119">
            <v>44337</v>
          </cell>
          <cell r="B1119">
            <v>66.47</v>
          </cell>
          <cell r="C1119">
            <v>2021</v>
          </cell>
          <cell r="D1119" t="str">
            <v>Q2</v>
          </cell>
        </row>
        <row r="1120">
          <cell r="A1120">
            <v>44340</v>
          </cell>
          <cell r="B1120">
            <v>67.814999999999998</v>
          </cell>
          <cell r="C1120">
            <v>2021</v>
          </cell>
          <cell r="D1120" t="str">
            <v>Q2</v>
          </cell>
        </row>
        <row r="1121">
          <cell r="A1121">
            <v>44341</v>
          </cell>
          <cell r="B1121">
            <v>68.165000000000006</v>
          </cell>
          <cell r="C1121">
            <v>2021</v>
          </cell>
          <cell r="D1121" t="str">
            <v>Q2</v>
          </cell>
        </row>
        <row r="1122">
          <cell r="A1122">
            <v>44342</v>
          </cell>
          <cell r="B1122">
            <v>68.385000000000005</v>
          </cell>
          <cell r="C1122">
            <v>2021</v>
          </cell>
          <cell r="D1122" t="str">
            <v>Q2</v>
          </cell>
        </row>
        <row r="1123">
          <cell r="A1123">
            <v>44343</v>
          </cell>
          <cell r="B1123">
            <v>68.515000000000001</v>
          </cell>
          <cell r="C1123">
            <v>2021</v>
          </cell>
          <cell r="D1123" t="str">
            <v>Q2</v>
          </cell>
        </row>
        <row r="1124">
          <cell r="A1124">
            <v>44344</v>
          </cell>
          <cell r="B1124">
            <v>68.8</v>
          </cell>
          <cell r="C1124">
            <v>2021</v>
          </cell>
          <cell r="D1124" t="str">
            <v>Q2</v>
          </cell>
        </row>
        <row r="1125">
          <cell r="A1125">
            <v>44348</v>
          </cell>
          <cell r="B1125">
            <v>69.194999999999993</v>
          </cell>
          <cell r="C1125">
            <v>2021</v>
          </cell>
          <cell r="D1125" t="str">
            <v>Q2</v>
          </cell>
        </row>
        <row r="1126">
          <cell r="A1126">
            <v>44349</v>
          </cell>
          <cell r="B1126">
            <v>69.314999999999998</v>
          </cell>
          <cell r="C1126">
            <v>2021</v>
          </cell>
          <cell r="D1126" t="str">
            <v>Q2</v>
          </cell>
        </row>
        <row r="1127">
          <cell r="A1127">
            <v>44350</v>
          </cell>
          <cell r="B1127">
            <v>69.334999999999994</v>
          </cell>
          <cell r="C1127">
            <v>2021</v>
          </cell>
          <cell r="D1127" t="str">
            <v>Q2</v>
          </cell>
        </row>
        <row r="1128">
          <cell r="A1128">
            <v>44351</v>
          </cell>
          <cell r="B1128">
            <v>70.025000000000006</v>
          </cell>
          <cell r="C1128">
            <v>2021</v>
          </cell>
          <cell r="D1128" t="str">
            <v>Q2</v>
          </cell>
        </row>
        <row r="1129">
          <cell r="A1129">
            <v>44354</v>
          </cell>
          <cell r="B1129">
            <v>69.795000000000002</v>
          </cell>
          <cell r="C1129">
            <v>2021</v>
          </cell>
          <cell r="D1129" t="str">
            <v>Q2</v>
          </cell>
        </row>
        <row r="1130">
          <cell r="A1130">
            <v>44355</v>
          </cell>
          <cell r="B1130">
            <v>69.935000000000002</v>
          </cell>
          <cell r="C1130">
            <v>2021</v>
          </cell>
          <cell r="D1130" t="str">
            <v>Q2</v>
          </cell>
        </row>
        <row r="1131">
          <cell r="A1131">
            <v>44356</v>
          </cell>
          <cell r="B1131">
            <v>70.435000000000002</v>
          </cell>
          <cell r="C1131">
            <v>2021</v>
          </cell>
          <cell r="D1131" t="str">
            <v>Q2</v>
          </cell>
        </row>
        <row r="1132">
          <cell r="A1132">
            <v>44357</v>
          </cell>
          <cell r="B1132">
            <v>70.635000000000005</v>
          </cell>
          <cell r="C1132">
            <v>2021</v>
          </cell>
          <cell r="D1132" t="str">
            <v>Q2</v>
          </cell>
        </row>
        <row r="1133">
          <cell r="A1133">
            <v>44358</v>
          </cell>
          <cell r="B1133">
            <v>70.97</v>
          </cell>
          <cell r="C1133">
            <v>2021</v>
          </cell>
          <cell r="D1133" t="str">
            <v>Q2</v>
          </cell>
        </row>
        <row r="1134">
          <cell r="A1134">
            <v>44361</v>
          </cell>
          <cell r="B1134">
            <v>71.680000000000007</v>
          </cell>
          <cell r="C1134">
            <v>2021</v>
          </cell>
          <cell r="D1134" t="str">
            <v>Q2</v>
          </cell>
        </row>
        <row r="1135">
          <cell r="A1135">
            <v>44362</v>
          </cell>
          <cell r="B1135">
            <v>72.275000000000006</v>
          </cell>
          <cell r="C1135">
            <v>2021</v>
          </cell>
          <cell r="D1135" t="str">
            <v>Q2</v>
          </cell>
        </row>
        <row r="1136">
          <cell r="A1136">
            <v>44363</v>
          </cell>
          <cell r="B1136">
            <v>73.38</v>
          </cell>
          <cell r="C1136">
            <v>2021</v>
          </cell>
          <cell r="D1136" t="str">
            <v>Q2</v>
          </cell>
        </row>
        <row r="1137">
          <cell r="A1137">
            <v>44364</v>
          </cell>
          <cell r="B1137">
            <v>72.004999999999995</v>
          </cell>
          <cell r="C1137">
            <v>2021</v>
          </cell>
          <cell r="D1137" t="str">
            <v>Q2</v>
          </cell>
        </row>
        <row r="1138">
          <cell r="A1138">
            <v>44365</v>
          </cell>
          <cell r="B1138">
            <v>72.144999999999996</v>
          </cell>
          <cell r="C1138">
            <v>2021</v>
          </cell>
          <cell r="D1138" t="str">
            <v>Q2</v>
          </cell>
        </row>
        <row r="1139">
          <cell r="A1139">
            <v>44368</v>
          </cell>
          <cell r="B1139">
            <v>73.08</v>
          </cell>
          <cell r="C1139">
            <v>2021</v>
          </cell>
          <cell r="D1139" t="str">
            <v>Q2</v>
          </cell>
        </row>
        <row r="1140">
          <cell r="A1140">
            <v>44369</v>
          </cell>
          <cell r="B1140">
            <v>73.87</v>
          </cell>
          <cell r="C1140">
            <v>2021</v>
          </cell>
          <cell r="D1140" t="str">
            <v>Q2</v>
          </cell>
        </row>
        <row r="1141">
          <cell r="A1141">
            <v>44370</v>
          </cell>
          <cell r="B1141">
            <v>74.655000000000001</v>
          </cell>
          <cell r="C1141">
            <v>2021</v>
          </cell>
          <cell r="D1141" t="str">
            <v>Q2</v>
          </cell>
        </row>
        <row r="1142">
          <cell r="A1142">
            <v>44371</v>
          </cell>
          <cell r="B1142">
            <v>74.875</v>
          </cell>
          <cell r="C1142">
            <v>2021</v>
          </cell>
          <cell r="D1142" t="str">
            <v>Q2</v>
          </cell>
        </row>
        <row r="1143">
          <cell r="A1143">
            <v>44372</v>
          </cell>
          <cell r="B1143">
            <v>75.37</v>
          </cell>
          <cell r="C1143">
            <v>2021</v>
          </cell>
          <cell r="D1143" t="str">
            <v>Q2</v>
          </cell>
        </row>
        <row r="1144">
          <cell r="A1144">
            <v>44375</v>
          </cell>
          <cell r="B1144">
            <v>74.48</v>
          </cell>
          <cell r="C1144">
            <v>2021</v>
          </cell>
          <cell r="D1144" t="str">
            <v>Q2</v>
          </cell>
        </row>
        <row r="1145">
          <cell r="A1145">
            <v>44376</v>
          </cell>
          <cell r="B1145">
            <v>74.61</v>
          </cell>
          <cell r="C1145">
            <v>2021</v>
          </cell>
          <cell r="D1145" t="str">
            <v>Q2</v>
          </cell>
        </row>
        <row r="1146">
          <cell r="A1146">
            <v>44377</v>
          </cell>
          <cell r="B1146">
            <v>76.73</v>
          </cell>
          <cell r="C1146">
            <v>2021</v>
          </cell>
          <cell r="D1146" t="str">
            <v>Q2</v>
          </cell>
        </row>
        <row r="1147">
          <cell r="A1147">
            <v>44378</v>
          </cell>
          <cell r="B1147">
            <v>76.430000000000007</v>
          </cell>
          <cell r="C1147">
            <v>2021</v>
          </cell>
          <cell r="D1147" t="str">
            <v>Q3</v>
          </cell>
        </row>
        <row r="1148">
          <cell r="A1148">
            <v>44379</v>
          </cell>
          <cell r="B1148">
            <v>77.180000000000007</v>
          </cell>
          <cell r="C1148">
            <v>2021</v>
          </cell>
          <cell r="D1148" t="str">
            <v>Q3</v>
          </cell>
        </row>
        <row r="1149">
          <cell r="A1149">
            <v>44382</v>
          </cell>
          <cell r="B1149">
            <v>77.754999999999995</v>
          </cell>
          <cell r="C1149">
            <v>2021</v>
          </cell>
          <cell r="D1149" t="str">
            <v>Q3</v>
          </cell>
        </row>
        <row r="1150">
          <cell r="A1150">
            <v>44383</v>
          </cell>
          <cell r="B1150">
            <v>75.97</v>
          </cell>
          <cell r="C1150">
            <v>2021</v>
          </cell>
          <cell r="D1150" t="str">
            <v>Q3</v>
          </cell>
        </row>
        <row r="1151">
          <cell r="A1151">
            <v>44384</v>
          </cell>
          <cell r="B1151">
            <v>73.944999999999993</v>
          </cell>
          <cell r="C1151">
            <v>2021</v>
          </cell>
          <cell r="D1151" t="str">
            <v>Q3</v>
          </cell>
        </row>
        <row r="1152">
          <cell r="A1152">
            <v>44385</v>
          </cell>
          <cell r="B1152">
            <v>74.605000000000004</v>
          </cell>
          <cell r="C1152">
            <v>2021</v>
          </cell>
          <cell r="D1152" t="str">
            <v>Q3</v>
          </cell>
        </row>
        <row r="1153">
          <cell r="A1153">
            <v>44386</v>
          </cell>
          <cell r="B1153">
            <v>77.114999999999995</v>
          </cell>
          <cell r="C1153">
            <v>2021</v>
          </cell>
          <cell r="D1153" t="str">
            <v>Q3</v>
          </cell>
        </row>
        <row r="1154">
          <cell r="A1154">
            <v>44389</v>
          </cell>
          <cell r="B1154">
            <v>76.61</v>
          </cell>
          <cell r="C1154">
            <v>2021</v>
          </cell>
          <cell r="D1154" t="str">
            <v>Q3</v>
          </cell>
        </row>
        <row r="1155">
          <cell r="A1155">
            <v>44390</v>
          </cell>
          <cell r="B1155">
            <v>76.66</v>
          </cell>
          <cell r="C1155">
            <v>2021</v>
          </cell>
          <cell r="D1155" t="str">
            <v>Q3</v>
          </cell>
        </row>
        <row r="1156">
          <cell r="A1156">
            <v>44391</v>
          </cell>
          <cell r="B1156">
            <v>76.665000000000006</v>
          </cell>
          <cell r="C1156">
            <v>2021</v>
          </cell>
          <cell r="D1156" t="str">
            <v>Q3</v>
          </cell>
        </row>
        <row r="1157">
          <cell r="A1157">
            <v>44392</v>
          </cell>
          <cell r="B1157">
            <v>75.2</v>
          </cell>
          <cell r="C1157">
            <v>2021</v>
          </cell>
          <cell r="D1157" t="str">
            <v>Q3</v>
          </cell>
        </row>
        <row r="1158">
          <cell r="A1158">
            <v>44393</v>
          </cell>
          <cell r="B1158">
            <v>74.415000000000006</v>
          </cell>
          <cell r="C1158">
            <v>2021</v>
          </cell>
          <cell r="D1158" t="str">
            <v>Q3</v>
          </cell>
        </row>
        <row r="1159">
          <cell r="A1159">
            <v>44396</v>
          </cell>
          <cell r="B1159">
            <v>69.92</v>
          </cell>
          <cell r="C1159">
            <v>2021</v>
          </cell>
          <cell r="D1159" t="str">
            <v>Q3</v>
          </cell>
        </row>
        <row r="1160">
          <cell r="A1160">
            <v>44397</v>
          </cell>
          <cell r="B1160">
            <v>69.8</v>
          </cell>
          <cell r="C1160">
            <v>2021</v>
          </cell>
          <cell r="D1160" t="str">
            <v>Q3</v>
          </cell>
        </row>
        <row r="1161">
          <cell r="A1161">
            <v>44398</v>
          </cell>
          <cell r="B1161">
            <v>72.215000000000003</v>
          </cell>
          <cell r="C1161">
            <v>2021</v>
          </cell>
          <cell r="D1161" t="str">
            <v>Q3</v>
          </cell>
        </row>
        <row r="1162">
          <cell r="A1162">
            <v>44399</v>
          </cell>
          <cell r="B1162">
            <v>73.504999999999995</v>
          </cell>
          <cell r="C1162">
            <v>2021</v>
          </cell>
          <cell r="D1162" t="str">
            <v>Q3</v>
          </cell>
        </row>
        <row r="1163">
          <cell r="A1163">
            <v>44400</v>
          </cell>
          <cell r="B1163">
            <v>74.454999999999998</v>
          </cell>
          <cell r="C1163">
            <v>2021</v>
          </cell>
          <cell r="D1163" t="str">
            <v>Q3</v>
          </cell>
        </row>
        <row r="1164">
          <cell r="A1164">
            <v>44403</v>
          </cell>
          <cell r="B1164">
            <v>74.239999999999995</v>
          </cell>
          <cell r="C1164">
            <v>2021</v>
          </cell>
          <cell r="D1164" t="str">
            <v>Q3</v>
          </cell>
        </row>
        <row r="1165">
          <cell r="A1165">
            <v>44404</v>
          </cell>
          <cell r="B1165">
            <v>74.715000000000003</v>
          </cell>
          <cell r="C1165">
            <v>2021</v>
          </cell>
          <cell r="D1165" t="str">
            <v>Q3</v>
          </cell>
        </row>
        <row r="1166">
          <cell r="A1166">
            <v>44405</v>
          </cell>
          <cell r="B1166">
            <v>74.814999999999998</v>
          </cell>
          <cell r="C1166">
            <v>2021</v>
          </cell>
          <cell r="D1166" t="str">
            <v>Q3</v>
          </cell>
        </row>
        <row r="1167">
          <cell r="A1167">
            <v>44406</v>
          </cell>
          <cell r="B1167">
            <v>75.599999999999994</v>
          </cell>
          <cell r="C1167">
            <v>2021</v>
          </cell>
          <cell r="D1167" t="str">
            <v>Q3</v>
          </cell>
        </row>
        <row r="1168">
          <cell r="A1168">
            <v>44407</v>
          </cell>
          <cell r="B1168">
            <v>76.364999999999995</v>
          </cell>
          <cell r="C1168">
            <v>2021</v>
          </cell>
          <cell r="D1168" t="str">
            <v>Q3</v>
          </cell>
        </row>
        <row r="1169">
          <cell r="A1169">
            <v>44410</v>
          </cell>
          <cell r="B1169">
            <v>73.825000000000003</v>
          </cell>
          <cell r="C1169">
            <v>2021</v>
          </cell>
          <cell r="D1169" t="str">
            <v>Q3</v>
          </cell>
        </row>
        <row r="1170">
          <cell r="A1170">
            <v>44411</v>
          </cell>
          <cell r="B1170">
            <v>73</v>
          </cell>
          <cell r="C1170">
            <v>2021</v>
          </cell>
          <cell r="D1170" t="str">
            <v>Q3</v>
          </cell>
        </row>
        <row r="1171">
          <cell r="A1171">
            <v>44412</v>
          </cell>
          <cell r="B1171">
            <v>71.795000000000002</v>
          </cell>
          <cell r="C1171">
            <v>2021</v>
          </cell>
          <cell r="D1171" t="str">
            <v>Q3</v>
          </cell>
        </row>
        <row r="1172">
          <cell r="A1172">
            <v>44413</v>
          </cell>
          <cell r="B1172">
            <v>72.305000000000007</v>
          </cell>
          <cell r="C1172">
            <v>2021</v>
          </cell>
          <cell r="D1172" t="str">
            <v>Q3</v>
          </cell>
        </row>
        <row r="1173">
          <cell r="A1173">
            <v>44414</v>
          </cell>
          <cell r="B1173">
            <v>71.7</v>
          </cell>
          <cell r="C1173">
            <v>2021</v>
          </cell>
          <cell r="D1173" t="str">
            <v>Q3</v>
          </cell>
        </row>
        <row r="1174">
          <cell r="A1174">
            <v>44417</v>
          </cell>
          <cell r="B1174">
            <v>69.435000000000002</v>
          </cell>
          <cell r="C1174">
            <v>2021</v>
          </cell>
          <cell r="D1174" t="str">
            <v>Q3</v>
          </cell>
        </row>
        <row r="1175">
          <cell r="A1175">
            <v>44418</v>
          </cell>
          <cell r="B1175">
            <v>71.319999999999993</v>
          </cell>
          <cell r="C1175">
            <v>2021</v>
          </cell>
          <cell r="D1175" t="str">
            <v>Q3</v>
          </cell>
        </row>
        <row r="1176">
          <cell r="A1176">
            <v>44419</v>
          </cell>
          <cell r="B1176">
            <v>70.745000000000005</v>
          </cell>
          <cell r="C1176">
            <v>2021</v>
          </cell>
          <cell r="D1176" t="str">
            <v>Q3</v>
          </cell>
        </row>
        <row r="1177">
          <cell r="A1177">
            <v>44420</v>
          </cell>
          <cell r="B1177">
            <v>71.525000000000006</v>
          </cell>
          <cell r="C1177">
            <v>2021</v>
          </cell>
          <cell r="D1177" t="str">
            <v>Q3</v>
          </cell>
        </row>
        <row r="1178">
          <cell r="A1178">
            <v>44421</v>
          </cell>
          <cell r="B1178">
            <v>71.385000000000005</v>
          </cell>
          <cell r="C1178">
            <v>2021</v>
          </cell>
          <cell r="D1178" t="str">
            <v>Q3</v>
          </cell>
        </row>
        <row r="1179">
          <cell r="A1179">
            <v>44424</v>
          </cell>
          <cell r="B1179">
            <v>70.069999999999993</v>
          </cell>
          <cell r="C1179">
            <v>2021</v>
          </cell>
          <cell r="D1179" t="str">
            <v>Q3</v>
          </cell>
        </row>
        <row r="1180">
          <cell r="A1180">
            <v>44425</v>
          </cell>
          <cell r="B1180">
            <v>70.135000000000005</v>
          </cell>
          <cell r="C1180">
            <v>2021</v>
          </cell>
          <cell r="D1180" t="str">
            <v>Q3</v>
          </cell>
        </row>
        <row r="1181">
          <cell r="A1181">
            <v>44426</v>
          </cell>
          <cell r="B1181">
            <v>69.5</v>
          </cell>
          <cell r="C1181">
            <v>2021</v>
          </cell>
          <cell r="D1181" t="str">
            <v>Q3</v>
          </cell>
        </row>
        <row r="1182">
          <cell r="A1182">
            <v>44427</v>
          </cell>
          <cell r="B1182">
            <v>66.465000000000003</v>
          </cell>
          <cell r="C1182">
            <v>2021</v>
          </cell>
          <cell r="D1182" t="str">
            <v>Q3</v>
          </cell>
        </row>
        <row r="1183">
          <cell r="A1183">
            <v>44428</v>
          </cell>
          <cell r="B1183">
            <v>66.42</v>
          </cell>
          <cell r="C1183">
            <v>2021</v>
          </cell>
          <cell r="D1183" t="str">
            <v>Q3</v>
          </cell>
        </row>
        <row r="1184">
          <cell r="A1184">
            <v>44431</v>
          </cell>
          <cell r="B1184">
            <v>69.084999999999994</v>
          </cell>
          <cell r="C1184">
            <v>2021</v>
          </cell>
          <cell r="D1184" t="str">
            <v>Q3</v>
          </cell>
        </row>
        <row r="1185">
          <cell r="A1185">
            <v>44432</v>
          </cell>
          <cell r="B1185">
            <v>70.930000000000007</v>
          </cell>
          <cell r="C1185">
            <v>2021</v>
          </cell>
          <cell r="D1185" t="str">
            <v>Q3</v>
          </cell>
        </row>
        <row r="1186">
          <cell r="A1186">
            <v>44433</v>
          </cell>
          <cell r="B1186">
            <v>71.465000000000003</v>
          </cell>
          <cell r="C1186">
            <v>2021</v>
          </cell>
          <cell r="D1186" t="str">
            <v>Q3</v>
          </cell>
        </row>
        <row r="1187">
          <cell r="A1187">
            <v>44434</v>
          </cell>
          <cell r="B1187">
            <v>70.81</v>
          </cell>
          <cell r="C1187">
            <v>2021</v>
          </cell>
          <cell r="D1187" t="str">
            <v>Q3</v>
          </cell>
        </row>
        <row r="1188">
          <cell r="A1188">
            <v>44435</v>
          </cell>
          <cell r="B1188">
            <v>71.905000000000001</v>
          </cell>
          <cell r="C1188">
            <v>2021</v>
          </cell>
          <cell r="D1188" t="str">
            <v>Q3</v>
          </cell>
        </row>
        <row r="1189">
          <cell r="A1189">
            <v>44439</v>
          </cell>
          <cell r="B1189">
            <v>73.19</v>
          </cell>
          <cell r="C1189">
            <v>2021</v>
          </cell>
          <cell r="D1189" t="str">
            <v>Q3</v>
          </cell>
        </row>
        <row r="1190">
          <cell r="A1190">
            <v>44440</v>
          </cell>
          <cell r="B1190">
            <v>71.209999999999994</v>
          </cell>
          <cell r="C1190">
            <v>2021</v>
          </cell>
          <cell r="D1190" t="str">
            <v>Q3</v>
          </cell>
        </row>
        <row r="1191">
          <cell r="A1191">
            <v>44441</v>
          </cell>
          <cell r="B1191">
            <v>73.709999999999994</v>
          </cell>
          <cell r="C1191">
            <v>2021</v>
          </cell>
          <cell r="D1191" t="str">
            <v>Q3</v>
          </cell>
        </row>
        <row r="1192">
          <cell r="A1192">
            <v>44442</v>
          </cell>
          <cell r="B1192">
            <v>73.25</v>
          </cell>
          <cell r="C1192">
            <v>2021</v>
          </cell>
          <cell r="D1192" t="str">
            <v>Q3</v>
          </cell>
        </row>
        <row r="1193">
          <cell r="A1193">
            <v>44445</v>
          </cell>
          <cell r="B1193">
            <v>72.39</v>
          </cell>
          <cell r="C1193">
            <v>2021</v>
          </cell>
          <cell r="D1193" t="str">
            <v>Q3</v>
          </cell>
        </row>
        <row r="1194">
          <cell r="A1194">
            <v>44446</v>
          </cell>
          <cell r="B1194">
            <v>71.405000000000001</v>
          </cell>
          <cell r="C1194">
            <v>2021</v>
          </cell>
          <cell r="D1194" t="str">
            <v>Q3</v>
          </cell>
        </row>
        <row r="1195">
          <cell r="A1195">
            <v>44447</v>
          </cell>
          <cell r="B1195">
            <v>72.144999999999996</v>
          </cell>
          <cell r="C1195">
            <v>2021</v>
          </cell>
          <cell r="D1195" t="str">
            <v>Q3</v>
          </cell>
        </row>
        <row r="1196">
          <cell r="A1196">
            <v>44448</v>
          </cell>
          <cell r="B1196">
            <v>72.06</v>
          </cell>
          <cell r="C1196">
            <v>2021</v>
          </cell>
          <cell r="D1196" t="str">
            <v>Q3</v>
          </cell>
        </row>
        <row r="1197">
          <cell r="A1197">
            <v>44449</v>
          </cell>
          <cell r="B1197">
            <v>71.984999999999999</v>
          </cell>
          <cell r="C1197">
            <v>2021</v>
          </cell>
          <cell r="D1197" t="str">
            <v>Q3</v>
          </cell>
        </row>
        <row r="1198">
          <cell r="A1198">
            <v>44452</v>
          </cell>
          <cell r="B1198">
            <v>72.644999999999996</v>
          </cell>
          <cell r="C1198">
            <v>2021</v>
          </cell>
          <cell r="D1198" t="str">
            <v>Q3</v>
          </cell>
        </row>
        <row r="1199">
          <cell r="A1199">
            <v>44453</v>
          </cell>
          <cell r="B1199">
            <v>72.905000000000001</v>
          </cell>
          <cell r="C1199">
            <v>2021</v>
          </cell>
          <cell r="D1199" t="str">
            <v>Q3</v>
          </cell>
        </row>
        <row r="1200">
          <cell r="A1200">
            <v>44454</v>
          </cell>
          <cell r="B1200">
            <v>74.745000000000005</v>
          </cell>
          <cell r="C1200">
            <v>2021</v>
          </cell>
          <cell r="D1200" t="str">
            <v>Q3</v>
          </cell>
        </row>
        <row r="1201">
          <cell r="A1201">
            <v>44455</v>
          </cell>
          <cell r="B1201">
            <v>74.08</v>
          </cell>
          <cell r="C1201">
            <v>2021</v>
          </cell>
          <cell r="D1201" t="str">
            <v>Q3</v>
          </cell>
        </row>
        <row r="1202">
          <cell r="A1202">
            <v>44456</v>
          </cell>
          <cell r="B1202">
            <v>73.894999999999996</v>
          </cell>
          <cell r="C1202">
            <v>2021</v>
          </cell>
          <cell r="D1202" t="str">
            <v>Q3</v>
          </cell>
        </row>
        <row r="1203">
          <cell r="A1203">
            <v>44459</v>
          </cell>
          <cell r="B1203">
            <v>73.48</v>
          </cell>
          <cell r="C1203">
            <v>2021</v>
          </cell>
          <cell r="D1203" t="str">
            <v>Q3</v>
          </cell>
        </row>
        <row r="1204">
          <cell r="A1204">
            <v>44460</v>
          </cell>
          <cell r="B1204">
            <v>73.28</v>
          </cell>
          <cell r="C1204">
            <v>2021</v>
          </cell>
          <cell r="D1204" t="str">
            <v>Q3</v>
          </cell>
        </row>
        <row r="1205">
          <cell r="A1205">
            <v>44461</v>
          </cell>
          <cell r="B1205">
            <v>73.834999999999994</v>
          </cell>
          <cell r="C1205">
            <v>2021</v>
          </cell>
          <cell r="D1205" t="str">
            <v>Q3</v>
          </cell>
        </row>
        <row r="1206">
          <cell r="A1206">
            <v>44462</v>
          </cell>
          <cell r="B1206">
            <v>74.915000000000006</v>
          </cell>
          <cell r="C1206">
            <v>2021</v>
          </cell>
          <cell r="D1206" t="str">
            <v>Q3</v>
          </cell>
        </row>
        <row r="1207">
          <cell r="A1207">
            <v>44463</v>
          </cell>
          <cell r="B1207">
            <v>76</v>
          </cell>
          <cell r="C1207">
            <v>2021</v>
          </cell>
          <cell r="D1207" t="str">
            <v>Q3</v>
          </cell>
        </row>
        <row r="1208">
          <cell r="A1208">
            <v>44466</v>
          </cell>
          <cell r="B1208">
            <v>77.775000000000006</v>
          </cell>
          <cell r="C1208">
            <v>2021</v>
          </cell>
          <cell r="D1208" t="str">
            <v>Q3</v>
          </cell>
        </row>
        <row r="1209">
          <cell r="A1209">
            <v>44467</v>
          </cell>
          <cell r="B1209">
            <v>77.22</v>
          </cell>
          <cell r="C1209">
            <v>2021</v>
          </cell>
          <cell r="D1209" t="str">
            <v>Q3</v>
          </cell>
        </row>
        <row r="1210">
          <cell r="A1210">
            <v>44468</v>
          </cell>
          <cell r="B1210">
            <v>76.83</v>
          </cell>
          <cell r="C1210">
            <v>2021</v>
          </cell>
          <cell r="D1210" t="str">
            <v>Q3</v>
          </cell>
        </row>
        <row r="1211">
          <cell r="A1211">
            <v>44469</v>
          </cell>
          <cell r="B1211">
            <v>76.694999999999993</v>
          </cell>
          <cell r="C1211">
            <v>2021</v>
          </cell>
          <cell r="D1211" t="str">
            <v>Q3</v>
          </cell>
        </row>
        <row r="1212">
          <cell r="A1212">
            <v>44470</v>
          </cell>
          <cell r="B1212">
            <v>77.55</v>
          </cell>
          <cell r="C1212">
            <v>2021</v>
          </cell>
          <cell r="D1212" t="str">
            <v>Q4</v>
          </cell>
        </row>
        <row r="1213">
          <cell r="A1213">
            <v>44473</v>
          </cell>
          <cell r="B1213">
            <v>80.33</v>
          </cell>
          <cell r="C1213">
            <v>2021</v>
          </cell>
          <cell r="D1213" t="str">
            <v>Q4</v>
          </cell>
        </row>
        <row r="1214">
          <cell r="A1214">
            <v>44474</v>
          </cell>
          <cell r="B1214">
            <v>81.724999999999994</v>
          </cell>
          <cell r="C1214">
            <v>2021</v>
          </cell>
          <cell r="D1214" t="str">
            <v>Q4</v>
          </cell>
        </row>
        <row r="1215">
          <cell r="A1215">
            <v>44475</v>
          </cell>
          <cell r="B1215">
            <v>80.224999999999994</v>
          </cell>
          <cell r="C1215">
            <v>2021</v>
          </cell>
          <cell r="D1215" t="str">
            <v>Q4</v>
          </cell>
        </row>
        <row r="1216">
          <cell r="A1216">
            <v>44476</v>
          </cell>
          <cell r="B1216">
            <v>81.084999999999994</v>
          </cell>
          <cell r="C1216">
            <v>2021</v>
          </cell>
          <cell r="D1216" t="str">
            <v>Q4</v>
          </cell>
        </row>
        <row r="1217">
          <cell r="A1217">
            <v>44477</v>
          </cell>
          <cell r="B1217">
            <v>81.954999999999998</v>
          </cell>
          <cell r="C1217">
            <v>2021</v>
          </cell>
          <cell r="D1217" t="str">
            <v>Q4</v>
          </cell>
        </row>
        <row r="1218">
          <cell r="A1218">
            <v>44480</v>
          </cell>
          <cell r="B1218">
            <v>83.24</v>
          </cell>
          <cell r="C1218">
            <v>2021</v>
          </cell>
          <cell r="D1218" t="str">
            <v>Q4</v>
          </cell>
        </row>
        <row r="1219">
          <cell r="A1219">
            <v>44481</v>
          </cell>
          <cell r="B1219">
            <v>82.644999999999996</v>
          </cell>
          <cell r="C1219">
            <v>2021</v>
          </cell>
          <cell r="D1219" t="str">
            <v>Q4</v>
          </cell>
        </row>
        <row r="1220">
          <cell r="A1220">
            <v>44482</v>
          </cell>
          <cell r="B1220">
            <v>82.47</v>
          </cell>
          <cell r="C1220">
            <v>2021</v>
          </cell>
          <cell r="D1220" t="str">
            <v>Q4</v>
          </cell>
        </row>
        <row r="1221">
          <cell r="A1221">
            <v>44483</v>
          </cell>
          <cell r="B1221">
            <v>82.495000000000005</v>
          </cell>
          <cell r="C1221">
            <v>2021</v>
          </cell>
          <cell r="D1221" t="str">
            <v>Q4</v>
          </cell>
        </row>
        <row r="1222">
          <cell r="A1222">
            <v>44484</v>
          </cell>
          <cell r="B1222">
            <v>83.734999999999999</v>
          </cell>
          <cell r="C1222">
            <v>2021</v>
          </cell>
          <cell r="D1222" t="str">
            <v>Q4</v>
          </cell>
        </row>
        <row r="1223">
          <cell r="A1223">
            <v>44487</v>
          </cell>
          <cell r="B1223">
            <v>83.305000000000007</v>
          </cell>
          <cell r="C1223">
            <v>2021</v>
          </cell>
          <cell r="D1223" t="str">
            <v>Q4</v>
          </cell>
        </row>
        <row r="1224">
          <cell r="A1224">
            <v>44488</v>
          </cell>
          <cell r="B1224">
            <v>83.91</v>
          </cell>
          <cell r="C1224">
            <v>2021</v>
          </cell>
          <cell r="D1224" t="str">
            <v>Q4</v>
          </cell>
        </row>
        <row r="1225">
          <cell r="A1225">
            <v>44489</v>
          </cell>
          <cell r="B1225">
            <v>84.314999999999998</v>
          </cell>
          <cell r="C1225">
            <v>2021</v>
          </cell>
          <cell r="D1225" t="str">
            <v>Q4</v>
          </cell>
        </row>
        <row r="1226">
          <cell r="A1226">
            <v>44490</v>
          </cell>
          <cell r="B1226">
            <v>82.85</v>
          </cell>
          <cell r="C1226">
            <v>2021</v>
          </cell>
          <cell r="D1226" t="str">
            <v>Q4</v>
          </cell>
        </row>
        <row r="1227">
          <cell r="A1227">
            <v>44491</v>
          </cell>
          <cell r="B1227">
            <v>84.084999999999994</v>
          </cell>
          <cell r="C1227">
            <v>2021</v>
          </cell>
          <cell r="D1227" t="str">
            <v>Q4</v>
          </cell>
        </row>
        <row r="1228">
          <cell r="A1228">
            <v>44494</v>
          </cell>
          <cell r="B1228">
            <v>84.435000000000002</v>
          </cell>
          <cell r="C1228">
            <v>2021</v>
          </cell>
          <cell r="D1228" t="str">
            <v>Q4</v>
          </cell>
        </row>
        <row r="1229">
          <cell r="A1229">
            <v>44495</v>
          </cell>
          <cell r="B1229">
            <v>84.12</v>
          </cell>
          <cell r="C1229">
            <v>2021</v>
          </cell>
          <cell r="D1229" t="str">
            <v>Q4</v>
          </cell>
        </row>
        <row r="1230">
          <cell r="A1230">
            <v>44496</v>
          </cell>
          <cell r="B1230">
            <v>83.31</v>
          </cell>
          <cell r="C1230">
            <v>2021</v>
          </cell>
          <cell r="D1230" t="str">
            <v>Q4</v>
          </cell>
        </row>
        <row r="1231">
          <cell r="A1231">
            <v>44497</v>
          </cell>
          <cell r="B1231">
            <v>81.95</v>
          </cell>
          <cell r="C1231">
            <v>2021</v>
          </cell>
          <cell r="D1231" t="str">
            <v>Q4</v>
          </cell>
        </row>
        <row r="1232">
          <cell r="A1232">
            <v>44498</v>
          </cell>
          <cell r="B1232">
            <v>82.43</v>
          </cell>
          <cell r="C1232">
            <v>2021</v>
          </cell>
          <cell r="D1232" t="str">
            <v>Q4</v>
          </cell>
        </row>
        <row r="1233">
          <cell r="A1233">
            <v>44501</v>
          </cell>
          <cell r="B1233">
            <v>83.284999999999997</v>
          </cell>
          <cell r="C1233">
            <v>2021</v>
          </cell>
          <cell r="D1233" t="str">
            <v>Q4</v>
          </cell>
        </row>
        <row r="1234">
          <cell r="A1234">
            <v>44502</v>
          </cell>
          <cell r="B1234">
            <v>83.18</v>
          </cell>
          <cell r="C1234">
            <v>2021</v>
          </cell>
          <cell r="D1234" t="str">
            <v>Q4</v>
          </cell>
        </row>
        <row r="1235">
          <cell r="A1235">
            <v>44503</v>
          </cell>
          <cell r="B1235">
            <v>80.680000000000007</v>
          </cell>
          <cell r="C1235">
            <v>2021</v>
          </cell>
          <cell r="D1235" t="str">
            <v>Q4</v>
          </cell>
        </row>
        <row r="1236">
          <cell r="A1236">
            <v>44504</v>
          </cell>
          <cell r="B1236">
            <v>80.42</v>
          </cell>
          <cell r="C1236">
            <v>2021</v>
          </cell>
          <cell r="D1236" t="str">
            <v>Q4</v>
          </cell>
        </row>
        <row r="1237">
          <cell r="A1237">
            <v>44505</v>
          </cell>
          <cell r="B1237">
            <v>81.325000000000003</v>
          </cell>
          <cell r="C1237">
            <v>2021</v>
          </cell>
          <cell r="D1237" t="str">
            <v>Q4</v>
          </cell>
        </row>
        <row r="1238">
          <cell r="A1238">
            <v>44508</v>
          </cell>
          <cell r="B1238">
            <v>82.28</v>
          </cell>
          <cell r="C1238">
            <v>2021</v>
          </cell>
          <cell r="D1238" t="str">
            <v>Q4</v>
          </cell>
        </row>
        <row r="1239">
          <cell r="A1239">
            <v>44509</v>
          </cell>
          <cell r="B1239">
            <v>83.075000000000003</v>
          </cell>
          <cell r="C1239">
            <v>2021</v>
          </cell>
          <cell r="D1239" t="str">
            <v>Q4</v>
          </cell>
        </row>
        <row r="1240">
          <cell r="A1240">
            <v>44510</v>
          </cell>
          <cell r="B1240">
            <v>83.36</v>
          </cell>
          <cell r="C1240">
            <v>2021</v>
          </cell>
          <cell r="D1240" t="str">
            <v>Q4</v>
          </cell>
        </row>
        <row r="1241">
          <cell r="A1241">
            <v>44511</v>
          </cell>
          <cell r="B1241">
            <v>82.305000000000007</v>
          </cell>
          <cell r="C1241">
            <v>2021</v>
          </cell>
          <cell r="D1241" t="str">
            <v>Q4</v>
          </cell>
        </row>
        <row r="1242">
          <cell r="A1242">
            <v>44512</v>
          </cell>
          <cell r="B1242">
            <v>82.1</v>
          </cell>
          <cell r="C1242">
            <v>2021</v>
          </cell>
          <cell r="D1242" t="str">
            <v>Q4</v>
          </cell>
        </row>
        <row r="1243">
          <cell r="A1243">
            <v>44515</v>
          </cell>
          <cell r="B1243">
            <v>80.64</v>
          </cell>
          <cell r="C1243">
            <v>2021</v>
          </cell>
          <cell r="D1243" t="str">
            <v>Q4</v>
          </cell>
        </row>
        <row r="1244">
          <cell r="A1244">
            <v>44516</v>
          </cell>
          <cell r="B1244">
            <v>82.68</v>
          </cell>
          <cell r="C1244">
            <v>2021</v>
          </cell>
          <cell r="D1244" t="str">
            <v>Q4</v>
          </cell>
        </row>
        <row r="1245">
          <cell r="A1245">
            <v>44517</v>
          </cell>
          <cell r="B1245">
            <v>82.375</v>
          </cell>
          <cell r="C1245">
            <v>2021</v>
          </cell>
          <cell r="D1245" t="str">
            <v>Q4</v>
          </cell>
        </row>
        <row r="1246">
          <cell r="A1246">
            <v>44518</v>
          </cell>
          <cell r="B1246">
            <v>82.09</v>
          </cell>
          <cell r="C1246">
            <v>2021</v>
          </cell>
          <cell r="D1246" t="str">
            <v>Q4</v>
          </cell>
        </row>
        <row r="1247">
          <cell r="A1247">
            <v>44519</v>
          </cell>
          <cell r="B1247">
            <v>79.885000000000005</v>
          </cell>
          <cell r="C1247">
            <v>2021</v>
          </cell>
          <cell r="D1247" t="str">
            <v>Q4</v>
          </cell>
        </row>
        <row r="1248">
          <cell r="A1248">
            <v>44522</v>
          </cell>
          <cell r="B1248">
            <v>81.004999999999995</v>
          </cell>
          <cell r="C1248">
            <v>2021</v>
          </cell>
          <cell r="D1248" t="str">
            <v>Q4</v>
          </cell>
        </row>
        <row r="1249">
          <cell r="A1249">
            <v>44523</v>
          </cell>
          <cell r="B1249">
            <v>82.76</v>
          </cell>
          <cell r="C1249">
            <v>2021</v>
          </cell>
          <cell r="D1249" t="str">
            <v>Q4</v>
          </cell>
        </row>
        <row r="1250">
          <cell r="A1250">
            <v>44524</v>
          </cell>
          <cell r="B1250">
            <v>83.105000000000004</v>
          </cell>
          <cell r="C1250">
            <v>2021</v>
          </cell>
          <cell r="D1250" t="str">
            <v>Q4</v>
          </cell>
        </row>
        <row r="1251">
          <cell r="A1251">
            <v>44525</v>
          </cell>
          <cell r="B1251">
            <v>82.21</v>
          </cell>
          <cell r="C1251">
            <v>2021</v>
          </cell>
          <cell r="D1251" t="str">
            <v>Q4</v>
          </cell>
        </row>
        <row r="1252">
          <cell r="A1252">
            <v>44526</v>
          </cell>
          <cell r="B1252">
            <v>73.265000000000001</v>
          </cell>
          <cell r="C1252">
            <v>2021</v>
          </cell>
          <cell r="D1252" t="str">
            <v>Q4</v>
          </cell>
        </row>
        <row r="1253">
          <cell r="A1253">
            <v>44529</v>
          </cell>
          <cell r="B1253">
            <v>74.935000000000002</v>
          </cell>
          <cell r="C1253">
            <v>2021</v>
          </cell>
          <cell r="D1253" t="str">
            <v>Q4</v>
          </cell>
        </row>
        <row r="1254">
          <cell r="A1254">
            <v>44530</v>
          </cell>
          <cell r="B1254">
            <v>70.924999999999997</v>
          </cell>
          <cell r="C1254">
            <v>2021</v>
          </cell>
          <cell r="D1254" t="str">
            <v>Q4</v>
          </cell>
        </row>
        <row r="1255">
          <cell r="A1255">
            <v>44531</v>
          </cell>
          <cell r="B1255">
            <v>71.814999999999998</v>
          </cell>
          <cell r="C1255">
            <v>2021</v>
          </cell>
          <cell r="D1255" t="str">
            <v>Q4</v>
          </cell>
        </row>
        <row r="1256">
          <cell r="A1256">
            <v>44532</v>
          </cell>
          <cell r="B1256">
            <v>70.62</v>
          </cell>
          <cell r="C1256">
            <v>2021</v>
          </cell>
          <cell r="D1256" t="str">
            <v>Q4</v>
          </cell>
        </row>
        <row r="1257">
          <cell r="A1257">
            <v>44533</v>
          </cell>
          <cell r="B1257">
            <v>71.930000000000007</v>
          </cell>
          <cell r="C1257">
            <v>2021</v>
          </cell>
          <cell r="D1257" t="str">
            <v>Q4</v>
          </cell>
        </row>
        <row r="1258">
          <cell r="A1258">
            <v>44536</v>
          </cell>
          <cell r="B1258">
            <v>72.144999999999996</v>
          </cell>
          <cell r="C1258">
            <v>2021</v>
          </cell>
          <cell r="D1258" t="str">
            <v>Q4</v>
          </cell>
        </row>
        <row r="1259">
          <cell r="A1259">
            <v>44537</v>
          </cell>
          <cell r="B1259">
            <v>75.790000000000006</v>
          </cell>
          <cell r="C1259">
            <v>2021</v>
          </cell>
          <cell r="D1259" t="str">
            <v>Q4</v>
          </cell>
        </row>
        <row r="1260">
          <cell r="A1260">
            <v>44538</v>
          </cell>
          <cell r="B1260">
            <v>75.694999999999993</v>
          </cell>
          <cell r="C1260">
            <v>2021</v>
          </cell>
          <cell r="D1260" t="str">
            <v>Q4</v>
          </cell>
        </row>
        <row r="1261">
          <cell r="A1261">
            <v>44539</v>
          </cell>
          <cell r="B1261">
            <v>75.254999999999995</v>
          </cell>
          <cell r="C1261">
            <v>2021</v>
          </cell>
          <cell r="D1261" t="str">
            <v>Q4</v>
          </cell>
        </row>
        <row r="1262">
          <cell r="A1262">
            <v>44540</v>
          </cell>
          <cell r="B1262">
            <v>74.364999999999995</v>
          </cell>
          <cell r="C1262">
            <v>2021</v>
          </cell>
          <cell r="D1262" t="str">
            <v>Q4</v>
          </cell>
        </row>
        <row r="1263">
          <cell r="A1263">
            <v>44543</v>
          </cell>
          <cell r="B1263">
            <v>74.275000000000006</v>
          </cell>
          <cell r="C1263">
            <v>2021</v>
          </cell>
          <cell r="D1263" t="str">
            <v>Q4</v>
          </cell>
        </row>
        <row r="1264">
          <cell r="A1264">
            <v>44544</v>
          </cell>
          <cell r="B1264">
            <v>73.37</v>
          </cell>
          <cell r="C1264">
            <v>2021</v>
          </cell>
          <cell r="D1264" t="str">
            <v>Q4</v>
          </cell>
        </row>
        <row r="1265">
          <cell r="A1265">
            <v>44545</v>
          </cell>
          <cell r="B1265">
            <v>72.88</v>
          </cell>
          <cell r="C1265">
            <v>2021</v>
          </cell>
          <cell r="D1265" t="str">
            <v>Q4</v>
          </cell>
        </row>
        <row r="1266">
          <cell r="A1266">
            <v>44546</v>
          </cell>
          <cell r="B1266">
            <v>74.739999999999995</v>
          </cell>
          <cell r="C1266">
            <v>2021</v>
          </cell>
          <cell r="D1266" t="str">
            <v>Q4</v>
          </cell>
        </row>
        <row r="1267">
          <cell r="A1267">
            <v>44547</v>
          </cell>
          <cell r="B1267">
            <v>72.995000000000005</v>
          </cell>
          <cell r="C1267">
            <v>2021</v>
          </cell>
          <cell r="D1267" t="str">
            <v>Q4</v>
          </cell>
        </row>
        <row r="1268">
          <cell r="A1268">
            <v>44550</v>
          </cell>
          <cell r="B1268">
            <v>69.08</v>
          </cell>
          <cell r="C1268">
            <v>2021</v>
          </cell>
          <cell r="D1268" t="str">
            <v>Q4</v>
          </cell>
        </row>
        <row r="1269">
          <cell r="A1269">
            <v>44551</v>
          </cell>
          <cell r="B1269">
            <v>72.72</v>
          </cell>
          <cell r="C1269">
            <v>2021</v>
          </cell>
          <cell r="D1269" t="str">
            <v>Q4</v>
          </cell>
        </row>
        <row r="1270">
          <cell r="A1270">
            <v>44552</v>
          </cell>
          <cell r="B1270">
            <v>74.13</v>
          </cell>
          <cell r="C1270">
            <v>2021</v>
          </cell>
          <cell r="D1270" t="str">
            <v>Q4</v>
          </cell>
        </row>
        <row r="1271">
          <cell r="A1271">
            <v>44553</v>
          </cell>
          <cell r="B1271">
            <v>75.7</v>
          </cell>
          <cell r="C1271">
            <v>2021</v>
          </cell>
          <cell r="D1271" t="str">
            <v>Q4</v>
          </cell>
        </row>
        <row r="1272">
          <cell r="A1272">
            <v>44554</v>
          </cell>
          <cell r="B1272">
            <v>75.435000000000002</v>
          </cell>
          <cell r="C1272">
            <v>2021</v>
          </cell>
          <cell r="D1272" t="str">
            <v>Q4</v>
          </cell>
        </row>
        <row r="1273">
          <cell r="A1273">
            <v>44559</v>
          </cell>
          <cell r="B1273">
            <v>77.474999999999994</v>
          </cell>
          <cell r="C1273">
            <v>2021</v>
          </cell>
          <cell r="D1273" t="str">
            <v>Q4</v>
          </cell>
        </row>
        <row r="1274">
          <cell r="A1274">
            <v>44560</v>
          </cell>
          <cell r="B1274">
            <v>78.325000000000003</v>
          </cell>
          <cell r="C1274">
            <v>2021</v>
          </cell>
          <cell r="D1274" t="str">
            <v>Q4</v>
          </cell>
        </row>
        <row r="1275">
          <cell r="A1275">
            <v>44561</v>
          </cell>
          <cell r="B1275">
            <v>77.069999999999993</v>
          </cell>
          <cell r="C1275">
            <v>2021</v>
          </cell>
          <cell r="D1275" t="str">
            <v>Q4</v>
          </cell>
        </row>
        <row r="1276">
          <cell r="A1276">
            <v>44565</v>
          </cell>
          <cell r="B1276">
            <v>79.004999999999995</v>
          </cell>
          <cell r="C1276">
            <v>2022</v>
          </cell>
          <cell r="D1276" t="str">
            <v>Q1</v>
          </cell>
        </row>
        <row r="1277">
          <cell r="A1277">
            <v>44566</v>
          </cell>
          <cell r="B1277">
            <v>80.849999999999994</v>
          </cell>
          <cell r="C1277">
            <v>2022</v>
          </cell>
          <cell r="D1277" t="str">
            <v>Q1</v>
          </cell>
        </row>
        <row r="1278">
          <cell r="A1278">
            <v>44567</v>
          </cell>
          <cell r="B1278">
            <v>82.26</v>
          </cell>
          <cell r="C1278">
            <v>2022</v>
          </cell>
          <cell r="D1278" t="str">
            <v>Q1</v>
          </cell>
        </row>
        <row r="1279">
          <cell r="A1279">
            <v>44568</v>
          </cell>
          <cell r="B1279">
            <v>82.265000000000001</v>
          </cell>
          <cell r="C1279">
            <v>2022</v>
          </cell>
          <cell r="D1279" t="str">
            <v>Q1</v>
          </cell>
        </row>
        <row r="1280">
          <cell r="A1280">
            <v>44571</v>
          </cell>
          <cell r="B1280">
            <v>82.23</v>
          </cell>
          <cell r="C1280">
            <v>2022</v>
          </cell>
          <cell r="D1280" t="str">
            <v>Q1</v>
          </cell>
        </row>
        <row r="1281">
          <cell r="A1281">
            <v>44572</v>
          </cell>
          <cell r="B1281">
            <v>84.55</v>
          </cell>
          <cell r="C1281">
            <v>2022</v>
          </cell>
          <cell r="D1281" t="str">
            <v>Q1</v>
          </cell>
        </row>
        <row r="1282">
          <cell r="A1282">
            <v>44573</v>
          </cell>
          <cell r="B1282">
            <v>86.534999999999997</v>
          </cell>
          <cell r="C1282">
            <v>2022</v>
          </cell>
          <cell r="D1282" t="str">
            <v>Q1</v>
          </cell>
        </row>
        <row r="1283">
          <cell r="A1283">
            <v>44574</v>
          </cell>
          <cell r="B1283">
            <v>86.194999999999993</v>
          </cell>
          <cell r="C1283">
            <v>2022</v>
          </cell>
          <cell r="D1283" t="str">
            <v>Q1</v>
          </cell>
        </row>
        <row r="1284">
          <cell r="A1284">
            <v>44575</v>
          </cell>
          <cell r="B1284">
            <v>86.944999999999993</v>
          </cell>
          <cell r="C1284">
            <v>2022</v>
          </cell>
          <cell r="D1284" t="str">
            <v>Q1</v>
          </cell>
        </row>
        <row r="1285">
          <cell r="A1285">
            <v>44578</v>
          </cell>
          <cell r="B1285">
            <v>87.73</v>
          </cell>
          <cell r="C1285">
            <v>2022</v>
          </cell>
          <cell r="D1285" t="str">
            <v>Q1</v>
          </cell>
        </row>
        <row r="1286">
          <cell r="A1286">
            <v>44579</v>
          </cell>
          <cell r="B1286">
            <v>88.495000000000005</v>
          </cell>
          <cell r="C1286">
            <v>2022</v>
          </cell>
          <cell r="D1286" t="str">
            <v>Q1</v>
          </cell>
        </row>
        <row r="1287">
          <cell r="A1287">
            <v>44580</v>
          </cell>
          <cell r="B1287">
            <v>90.515000000000001</v>
          </cell>
          <cell r="C1287">
            <v>2022</v>
          </cell>
          <cell r="D1287" t="str">
            <v>Q1</v>
          </cell>
        </row>
        <row r="1288">
          <cell r="A1288">
            <v>44581</v>
          </cell>
          <cell r="B1288">
            <v>90.9</v>
          </cell>
          <cell r="C1288">
            <v>2022</v>
          </cell>
          <cell r="D1288" t="str">
            <v>Q1</v>
          </cell>
        </row>
        <row r="1289">
          <cell r="A1289">
            <v>44582</v>
          </cell>
          <cell r="B1289">
            <v>89.704999999999998</v>
          </cell>
          <cell r="C1289">
            <v>2022</v>
          </cell>
          <cell r="D1289" t="str">
            <v>Q1</v>
          </cell>
        </row>
        <row r="1290">
          <cell r="A1290">
            <v>44585</v>
          </cell>
          <cell r="B1290">
            <v>87.51</v>
          </cell>
          <cell r="C1290">
            <v>2022</v>
          </cell>
          <cell r="D1290" t="str">
            <v>Q1</v>
          </cell>
        </row>
        <row r="1291">
          <cell r="A1291">
            <v>44586</v>
          </cell>
          <cell r="B1291">
            <v>89.465000000000003</v>
          </cell>
          <cell r="C1291">
            <v>2022</v>
          </cell>
          <cell r="D1291" t="str">
            <v>Q1</v>
          </cell>
        </row>
        <row r="1292">
          <cell r="A1292">
            <v>44587</v>
          </cell>
          <cell r="B1292">
            <v>92.025000000000006</v>
          </cell>
          <cell r="C1292">
            <v>2022</v>
          </cell>
          <cell r="D1292" t="str">
            <v>Q1</v>
          </cell>
        </row>
        <row r="1293">
          <cell r="A1293">
            <v>44588</v>
          </cell>
          <cell r="B1293">
            <v>91.284999999999997</v>
          </cell>
          <cell r="C1293">
            <v>2022</v>
          </cell>
          <cell r="D1293" t="str">
            <v>Q1</v>
          </cell>
        </row>
        <row r="1294">
          <cell r="A1294">
            <v>44589</v>
          </cell>
          <cell r="B1294">
            <v>92.87</v>
          </cell>
          <cell r="C1294">
            <v>2022</v>
          </cell>
          <cell r="D1294" t="str">
            <v>Q1</v>
          </cell>
        </row>
        <row r="1295">
          <cell r="A1295">
            <v>44592</v>
          </cell>
          <cell r="B1295">
            <v>92.484999999999999</v>
          </cell>
          <cell r="C1295">
            <v>2022</v>
          </cell>
          <cell r="D1295" t="str">
            <v>Q1</v>
          </cell>
        </row>
        <row r="1296">
          <cell r="A1296">
            <v>44593</v>
          </cell>
          <cell r="B1296">
            <v>93.254999999999995</v>
          </cell>
          <cell r="C1296">
            <v>2022</v>
          </cell>
          <cell r="D1296" t="str">
            <v>Q1</v>
          </cell>
        </row>
        <row r="1297">
          <cell r="A1297">
            <v>44594</v>
          </cell>
          <cell r="B1297">
            <v>92.034999999999997</v>
          </cell>
          <cell r="C1297">
            <v>2022</v>
          </cell>
          <cell r="D1297" t="str">
            <v>Q1</v>
          </cell>
        </row>
        <row r="1298">
          <cell r="A1298">
            <v>44595</v>
          </cell>
          <cell r="B1298">
            <v>93.385000000000005</v>
          </cell>
          <cell r="C1298">
            <v>2022</v>
          </cell>
          <cell r="D1298" t="str">
            <v>Q1</v>
          </cell>
        </row>
        <row r="1299">
          <cell r="A1299">
            <v>44596</v>
          </cell>
          <cell r="B1299">
            <v>97.625</v>
          </cell>
          <cell r="C1299">
            <v>2022</v>
          </cell>
          <cell r="D1299" t="str">
            <v>Q1</v>
          </cell>
        </row>
        <row r="1300">
          <cell r="A1300">
            <v>44599</v>
          </cell>
          <cell r="B1300">
            <v>98.224999999999994</v>
          </cell>
          <cell r="C1300">
            <v>2022</v>
          </cell>
          <cell r="D1300" t="str">
            <v>Q1</v>
          </cell>
        </row>
        <row r="1301">
          <cell r="A1301">
            <v>44600</v>
          </cell>
          <cell r="B1301">
            <v>95.454999999999998</v>
          </cell>
          <cell r="C1301">
            <v>2022</v>
          </cell>
          <cell r="D1301" t="str">
            <v>Q1</v>
          </cell>
        </row>
        <row r="1302">
          <cell r="A1302">
            <v>44601</v>
          </cell>
          <cell r="B1302">
            <v>96.78</v>
          </cell>
          <cell r="C1302">
            <v>2022</v>
          </cell>
          <cell r="D1302" t="str">
            <v>Q1</v>
          </cell>
        </row>
        <row r="1303">
          <cell r="A1303">
            <v>44602</v>
          </cell>
          <cell r="B1303">
            <v>97.38</v>
          </cell>
          <cell r="C1303">
            <v>2022</v>
          </cell>
          <cell r="D1303" t="str">
            <v>Q1</v>
          </cell>
        </row>
        <row r="1304">
          <cell r="A1304">
            <v>44603</v>
          </cell>
          <cell r="B1304">
            <v>97.944999999999993</v>
          </cell>
          <cell r="C1304">
            <v>2022</v>
          </cell>
          <cell r="D1304" t="str">
            <v>Q1</v>
          </cell>
        </row>
        <row r="1305">
          <cell r="A1305">
            <v>44606</v>
          </cell>
          <cell r="B1305">
            <v>99.525000000000006</v>
          </cell>
          <cell r="C1305">
            <v>2022</v>
          </cell>
          <cell r="D1305" t="str">
            <v>Q1</v>
          </cell>
        </row>
        <row r="1306">
          <cell r="A1306">
            <v>44607</v>
          </cell>
          <cell r="B1306">
            <v>97.674999999999997</v>
          </cell>
          <cell r="C1306">
            <v>2022</v>
          </cell>
          <cell r="D1306" t="str">
            <v>Q1</v>
          </cell>
        </row>
        <row r="1307">
          <cell r="A1307">
            <v>44608</v>
          </cell>
          <cell r="B1307">
            <v>100.91500000000001</v>
          </cell>
          <cell r="C1307">
            <v>2022</v>
          </cell>
          <cell r="D1307" t="str">
            <v>Q1</v>
          </cell>
        </row>
        <row r="1308">
          <cell r="A1308">
            <v>44609</v>
          </cell>
          <cell r="B1308">
            <v>97.114999999999995</v>
          </cell>
          <cell r="C1308">
            <v>2022</v>
          </cell>
          <cell r="D1308" t="str">
            <v>Q1</v>
          </cell>
        </row>
        <row r="1309">
          <cell r="A1309">
            <v>44610</v>
          </cell>
          <cell r="B1309">
            <v>97.34</v>
          </cell>
          <cell r="C1309">
            <v>2022</v>
          </cell>
          <cell r="D1309" t="str">
            <v>Q1</v>
          </cell>
        </row>
        <row r="1310">
          <cell r="A1310">
            <v>44613</v>
          </cell>
          <cell r="B1310">
            <v>99.19</v>
          </cell>
          <cell r="C1310">
            <v>2022</v>
          </cell>
          <cell r="D1310" t="str">
            <v>Q1</v>
          </cell>
        </row>
        <row r="1311">
          <cell r="A1311">
            <v>44614</v>
          </cell>
          <cell r="B1311">
            <v>100.34</v>
          </cell>
          <cell r="C1311">
            <v>2022</v>
          </cell>
          <cell r="D1311" t="str">
            <v>Q1</v>
          </cell>
        </row>
        <row r="1312">
          <cell r="A1312">
            <v>44615</v>
          </cell>
          <cell r="B1312">
            <v>100.47</v>
          </cell>
          <cell r="C1312">
            <v>2022</v>
          </cell>
          <cell r="D1312" t="str">
            <v>Q1</v>
          </cell>
        </row>
        <row r="1313">
          <cell r="A1313">
            <v>44616</v>
          </cell>
          <cell r="B1313">
            <v>106.5</v>
          </cell>
          <cell r="C1313">
            <v>2022</v>
          </cell>
          <cell r="D1313" t="str">
            <v>Q1</v>
          </cell>
        </row>
        <row r="1314">
          <cell r="A1314">
            <v>44617</v>
          </cell>
          <cell r="B1314">
            <v>99.484999999999999</v>
          </cell>
          <cell r="C1314">
            <v>2022</v>
          </cell>
          <cell r="D1314" t="str">
            <v>Q1</v>
          </cell>
        </row>
        <row r="1315">
          <cell r="A1315">
            <v>44620</v>
          </cell>
          <cell r="B1315">
            <v>103.33499999999999</v>
          </cell>
          <cell r="C1315">
            <v>2022</v>
          </cell>
          <cell r="D1315" t="str">
            <v>Q1</v>
          </cell>
        </row>
        <row r="1316">
          <cell r="A1316">
            <v>44621</v>
          </cell>
          <cell r="B1316">
            <v>112.895</v>
          </cell>
          <cell r="C1316">
            <v>2022</v>
          </cell>
          <cell r="D1316" t="str">
            <v>Q1</v>
          </cell>
        </row>
        <row r="1317">
          <cell r="A1317">
            <v>44622</v>
          </cell>
          <cell r="B1317">
            <v>117.26</v>
          </cell>
          <cell r="C1317">
            <v>2022</v>
          </cell>
          <cell r="D1317" t="str">
            <v>Q1</v>
          </cell>
        </row>
        <row r="1318">
          <cell r="A1318">
            <v>44623</v>
          </cell>
          <cell r="B1318">
            <v>119.795</v>
          </cell>
          <cell r="C1318">
            <v>2022</v>
          </cell>
          <cell r="D1318" t="str">
            <v>Q1</v>
          </cell>
        </row>
        <row r="1319">
          <cell r="A1319">
            <v>44624</v>
          </cell>
          <cell r="B1319">
            <v>119.97</v>
          </cell>
          <cell r="C1319">
            <v>2022</v>
          </cell>
          <cell r="D1319" t="str">
            <v>Q1</v>
          </cell>
        </row>
        <row r="1320">
          <cell r="A1320">
            <v>44627</v>
          </cell>
          <cell r="B1320">
            <v>130.005</v>
          </cell>
          <cell r="C1320">
            <v>2022</v>
          </cell>
          <cell r="D1320" t="str">
            <v>Q1</v>
          </cell>
        </row>
        <row r="1321">
          <cell r="A1321">
            <v>44628</v>
          </cell>
          <cell r="B1321">
            <v>137.66499999999999</v>
          </cell>
          <cell r="C1321">
            <v>2022</v>
          </cell>
          <cell r="D1321" t="str">
            <v>Q1</v>
          </cell>
        </row>
        <row r="1322">
          <cell r="A1322">
            <v>44629</v>
          </cell>
          <cell r="B1322">
            <v>129.55500000000001</v>
          </cell>
          <cell r="C1322">
            <v>2022</v>
          </cell>
          <cell r="D1322" t="str">
            <v>Q1</v>
          </cell>
        </row>
        <row r="1323">
          <cell r="A1323">
            <v>44630</v>
          </cell>
          <cell r="B1323">
            <v>121.285</v>
          </cell>
          <cell r="C1323">
            <v>2022</v>
          </cell>
          <cell r="D1323" t="str">
            <v>Q1</v>
          </cell>
        </row>
        <row r="1324">
          <cell r="A1324">
            <v>44631</v>
          </cell>
          <cell r="B1324">
            <v>118.88500000000001</v>
          </cell>
          <cell r="C1324">
            <v>2022</v>
          </cell>
          <cell r="D1324" t="str">
            <v>Q1</v>
          </cell>
        </row>
        <row r="1325">
          <cell r="A1325">
            <v>44634</v>
          </cell>
          <cell r="B1325">
            <v>111.455</v>
          </cell>
          <cell r="C1325">
            <v>2022</v>
          </cell>
          <cell r="D1325" t="str">
            <v>Q1</v>
          </cell>
        </row>
        <row r="1326">
          <cell r="A1326">
            <v>44635</v>
          </cell>
          <cell r="B1326">
            <v>107.88500000000001</v>
          </cell>
          <cell r="C1326">
            <v>2022</v>
          </cell>
          <cell r="D1326" t="str">
            <v>Q1</v>
          </cell>
        </row>
        <row r="1327">
          <cell r="A1327">
            <v>44636</v>
          </cell>
          <cell r="B1327">
            <v>106.075</v>
          </cell>
          <cell r="C1327">
            <v>2022</v>
          </cell>
          <cell r="D1327" t="str">
            <v>Q1</v>
          </cell>
        </row>
        <row r="1328">
          <cell r="A1328">
            <v>44637</v>
          </cell>
          <cell r="B1328">
            <v>113.565</v>
          </cell>
          <cell r="C1328">
            <v>2022</v>
          </cell>
          <cell r="D1328" t="str">
            <v>Q1</v>
          </cell>
        </row>
        <row r="1329">
          <cell r="A1329">
            <v>44638</v>
          </cell>
          <cell r="B1329">
            <v>113.52500000000001</v>
          </cell>
          <cell r="C1329">
            <v>2022</v>
          </cell>
          <cell r="D1329" t="str">
            <v>Q1</v>
          </cell>
        </row>
        <row r="1330">
          <cell r="A1330">
            <v>44641</v>
          </cell>
          <cell r="B1330">
            <v>120.43</v>
          </cell>
          <cell r="C1330">
            <v>2022</v>
          </cell>
          <cell r="D1330" t="str">
            <v>Q1</v>
          </cell>
        </row>
        <row r="1331">
          <cell r="A1331">
            <v>44642</v>
          </cell>
          <cell r="B1331">
            <v>120.325</v>
          </cell>
          <cell r="C1331">
            <v>2022</v>
          </cell>
          <cell r="D1331" t="str">
            <v>Q1</v>
          </cell>
        </row>
        <row r="1332">
          <cell r="A1332">
            <v>44643</v>
          </cell>
          <cell r="B1332">
            <v>126.61499999999999</v>
          </cell>
          <cell r="C1332">
            <v>2022</v>
          </cell>
          <cell r="D1332" t="str">
            <v>Q1</v>
          </cell>
        </row>
        <row r="1333">
          <cell r="A1333">
            <v>44644</v>
          </cell>
          <cell r="B1333">
            <v>123.86499999999999</v>
          </cell>
          <cell r="C1333">
            <v>2022</v>
          </cell>
          <cell r="D1333" t="str">
            <v>Q1</v>
          </cell>
        </row>
        <row r="1334">
          <cell r="A1334">
            <v>44645</v>
          </cell>
          <cell r="B1334">
            <v>124.2</v>
          </cell>
          <cell r="C1334">
            <v>2022</v>
          </cell>
          <cell r="D1334" t="str">
            <v>Q1</v>
          </cell>
        </row>
        <row r="1335">
          <cell r="A1335">
            <v>44648</v>
          </cell>
          <cell r="B1335">
            <v>117.015</v>
          </cell>
          <cell r="C1335">
            <v>2022</v>
          </cell>
          <cell r="D1335" t="str">
            <v>Q1</v>
          </cell>
        </row>
        <row r="1336">
          <cell r="A1336">
            <v>44649</v>
          </cell>
          <cell r="B1336">
            <v>112.035</v>
          </cell>
          <cell r="C1336">
            <v>2022</v>
          </cell>
          <cell r="D1336" t="str">
            <v>Q1</v>
          </cell>
        </row>
        <row r="1337">
          <cell r="A1337">
            <v>44650</v>
          </cell>
          <cell r="B1337">
            <v>115.43</v>
          </cell>
          <cell r="C1337">
            <v>2022</v>
          </cell>
          <cell r="D1337" t="str">
            <v>Q1</v>
          </cell>
        </row>
        <row r="1338">
          <cell r="A1338">
            <v>44651</v>
          </cell>
          <cell r="B1338">
            <v>110.29</v>
          </cell>
          <cell r="C1338">
            <v>2022</v>
          </cell>
          <cell r="D1338" t="str">
            <v>Q1</v>
          </cell>
        </row>
        <row r="1339">
          <cell r="A1339">
            <v>44652</v>
          </cell>
          <cell r="B1339">
            <v>107.015</v>
          </cell>
          <cell r="C1339">
            <v>2022</v>
          </cell>
          <cell r="D1339" t="str">
            <v>Q2</v>
          </cell>
        </row>
        <row r="1340">
          <cell r="A1340">
            <v>44655</v>
          </cell>
          <cell r="B1340">
            <v>108.435</v>
          </cell>
          <cell r="C1340">
            <v>2022</v>
          </cell>
          <cell r="D1340" t="str">
            <v>Q2</v>
          </cell>
        </row>
        <row r="1341">
          <cell r="A1341">
            <v>44656</v>
          </cell>
          <cell r="B1341">
            <v>107.185</v>
          </cell>
          <cell r="C1341">
            <v>2022</v>
          </cell>
          <cell r="D1341" t="str">
            <v>Q2</v>
          </cell>
        </row>
        <row r="1342">
          <cell r="A1342">
            <v>44657</v>
          </cell>
          <cell r="B1342">
            <v>104.34</v>
          </cell>
          <cell r="C1342">
            <v>2022</v>
          </cell>
          <cell r="D1342" t="str">
            <v>Q2</v>
          </cell>
        </row>
        <row r="1343">
          <cell r="A1343">
            <v>44658</v>
          </cell>
          <cell r="B1343">
            <v>98.844999999999999</v>
          </cell>
          <cell r="C1343">
            <v>2022</v>
          </cell>
          <cell r="D1343" t="str">
            <v>Q2</v>
          </cell>
        </row>
        <row r="1344">
          <cell r="A1344">
            <v>44659</v>
          </cell>
          <cell r="B1344">
            <v>99.965000000000003</v>
          </cell>
          <cell r="C1344">
            <v>2022</v>
          </cell>
          <cell r="D1344" t="str">
            <v>Q2</v>
          </cell>
        </row>
        <row r="1345">
          <cell r="A1345">
            <v>44662</v>
          </cell>
          <cell r="B1345">
            <v>98.43</v>
          </cell>
          <cell r="C1345">
            <v>2022</v>
          </cell>
          <cell r="D1345" t="str">
            <v>Q2</v>
          </cell>
        </row>
        <row r="1346">
          <cell r="A1346">
            <v>44663</v>
          </cell>
          <cell r="B1346">
            <v>104.91500000000001</v>
          </cell>
          <cell r="C1346">
            <v>2022</v>
          </cell>
          <cell r="D1346" t="str">
            <v>Q2</v>
          </cell>
        </row>
        <row r="1347">
          <cell r="A1347">
            <v>44664</v>
          </cell>
          <cell r="B1347">
            <v>106.495</v>
          </cell>
          <cell r="C1347">
            <v>2022</v>
          </cell>
          <cell r="D1347" t="str">
            <v>Q2</v>
          </cell>
        </row>
        <row r="1348">
          <cell r="A1348">
            <v>44665</v>
          </cell>
          <cell r="B1348">
            <v>106.89</v>
          </cell>
          <cell r="C1348">
            <v>2022</v>
          </cell>
          <cell r="D1348" t="str">
            <v>Q2</v>
          </cell>
        </row>
        <row r="1349">
          <cell r="A1349">
            <v>44670</v>
          </cell>
          <cell r="B1349">
            <v>105.765</v>
          </cell>
          <cell r="C1349">
            <v>2022</v>
          </cell>
          <cell r="D1349" t="str">
            <v>Q2</v>
          </cell>
        </row>
        <row r="1350">
          <cell r="A1350">
            <v>44671</v>
          </cell>
          <cell r="B1350">
            <v>105.53</v>
          </cell>
          <cell r="C1350">
            <v>2022</v>
          </cell>
          <cell r="D1350" t="str">
            <v>Q2</v>
          </cell>
        </row>
        <row r="1351">
          <cell r="A1351">
            <v>44672</v>
          </cell>
          <cell r="B1351">
            <v>106.325</v>
          </cell>
          <cell r="C1351">
            <v>2022</v>
          </cell>
          <cell r="D1351" t="str">
            <v>Q2</v>
          </cell>
        </row>
        <row r="1352">
          <cell r="A1352">
            <v>44673</v>
          </cell>
          <cell r="B1352">
            <v>105.505</v>
          </cell>
          <cell r="C1352">
            <v>2022</v>
          </cell>
          <cell r="D1352" t="str">
            <v>Q2</v>
          </cell>
        </row>
        <row r="1353">
          <cell r="A1353">
            <v>44676</v>
          </cell>
          <cell r="B1353">
            <v>97.69</v>
          </cell>
          <cell r="C1353">
            <v>2022</v>
          </cell>
          <cell r="D1353" t="str">
            <v>Q2</v>
          </cell>
        </row>
        <row r="1354">
          <cell r="A1354">
            <v>44677</v>
          </cell>
          <cell r="B1354">
            <v>102.19499999999999</v>
          </cell>
          <cell r="C1354">
            <v>2022</v>
          </cell>
          <cell r="D1354" t="str">
            <v>Q2</v>
          </cell>
        </row>
        <row r="1355">
          <cell r="A1355">
            <v>44678</v>
          </cell>
          <cell r="B1355">
            <v>102.88500000000001</v>
          </cell>
          <cell r="C1355">
            <v>2022</v>
          </cell>
          <cell r="D1355" t="str">
            <v>Q2</v>
          </cell>
        </row>
        <row r="1356">
          <cell r="A1356">
            <v>44679</v>
          </cell>
          <cell r="B1356">
            <v>105.705</v>
          </cell>
          <cell r="C1356">
            <v>2022</v>
          </cell>
          <cell r="D1356" t="str">
            <v>Q2</v>
          </cell>
        </row>
        <row r="1357">
          <cell r="A1357">
            <v>44680</v>
          </cell>
          <cell r="B1357">
            <v>108.15</v>
          </cell>
          <cell r="C1357">
            <v>2022</v>
          </cell>
          <cell r="D1357" t="str">
            <v>Q2</v>
          </cell>
        </row>
        <row r="1358">
          <cell r="A1358">
            <v>44684</v>
          </cell>
          <cell r="B1358">
            <v>106.02500000000001</v>
          </cell>
          <cell r="C1358">
            <v>2022</v>
          </cell>
          <cell r="D1358" t="str">
            <v>Q2</v>
          </cell>
        </row>
        <row r="1359">
          <cell r="A1359">
            <v>44685</v>
          </cell>
          <cell r="B1359">
            <v>108.81</v>
          </cell>
          <cell r="C1359">
            <v>2022</v>
          </cell>
          <cell r="D1359" t="str">
            <v>Q2</v>
          </cell>
        </row>
        <row r="1360">
          <cell r="A1360">
            <v>44686</v>
          </cell>
          <cell r="B1360">
            <v>112.16</v>
          </cell>
          <cell r="C1360">
            <v>2022</v>
          </cell>
          <cell r="D1360" t="str">
            <v>Q2</v>
          </cell>
        </row>
        <row r="1361">
          <cell r="A1361">
            <v>44687</v>
          </cell>
          <cell r="B1361">
            <v>114.23</v>
          </cell>
          <cell r="C1361">
            <v>2022</v>
          </cell>
          <cell r="D1361" t="str">
            <v>Q2</v>
          </cell>
        </row>
        <row r="1362">
          <cell r="A1362">
            <v>44690</v>
          </cell>
          <cell r="B1362">
            <v>106.785</v>
          </cell>
          <cell r="C1362">
            <v>2022</v>
          </cell>
          <cell r="D1362" t="str">
            <v>Q2</v>
          </cell>
        </row>
        <row r="1363">
          <cell r="A1363">
            <v>44691</v>
          </cell>
          <cell r="B1363">
            <v>103.97499999999999</v>
          </cell>
          <cell r="C1363">
            <v>2022</v>
          </cell>
          <cell r="D1363" t="str">
            <v>Q2</v>
          </cell>
        </row>
        <row r="1364">
          <cell r="A1364">
            <v>44692</v>
          </cell>
          <cell r="B1364">
            <v>107.645</v>
          </cell>
          <cell r="C1364">
            <v>2022</v>
          </cell>
          <cell r="D1364" t="str">
            <v>Q2</v>
          </cell>
        </row>
        <row r="1365">
          <cell r="A1365">
            <v>44693</v>
          </cell>
          <cell r="B1365">
            <v>108.81</v>
          </cell>
          <cell r="C1365">
            <v>2022</v>
          </cell>
          <cell r="D1365" t="str">
            <v>Q2</v>
          </cell>
        </row>
        <row r="1366">
          <cell r="A1366">
            <v>44694</v>
          </cell>
          <cell r="B1366">
            <v>111.33</v>
          </cell>
          <cell r="C1366">
            <v>2022</v>
          </cell>
          <cell r="D1366" t="str">
            <v>Q2</v>
          </cell>
        </row>
        <row r="1367">
          <cell r="A1367">
            <v>44697</v>
          </cell>
          <cell r="B1367">
            <v>113.07</v>
          </cell>
          <cell r="C1367">
            <v>2022</v>
          </cell>
          <cell r="D1367" t="str">
            <v>Q2</v>
          </cell>
        </row>
        <row r="1368">
          <cell r="A1368">
            <v>44698</v>
          </cell>
          <cell r="B1368">
            <v>116.25</v>
          </cell>
          <cell r="C1368">
            <v>2022</v>
          </cell>
          <cell r="D1368" t="str">
            <v>Q2</v>
          </cell>
        </row>
        <row r="1369">
          <cell r="A1369">
            <v>44699</v>
          </cell>
          <cell r="B1369">
            <v>111.27500000000001</v>
          </cell>
          <cell r="C1369">
            <v>2022</v>
          </cell>
          <cell r="D1369" t="str">
            <v>Q2</v>
          </cell>
        </row>
        <row r="1370">
          <cell r="A1370">
            <v>44700</v>
          </cell>
          <cell r="B1370">
            <v>111.435</v>
          </cell>
          <cell r="C1370">
            <v>2022</v>
          </cell>
          <cell r="D1370" t="str">
            <v>Q2</v>
          </cell>
        </row>
        <row r="1371">
          <cell r="A1371">
            <v>44701</v>
          </cell>
          <cell r="B1371">
            <v>113.87</v>
          </cell>
          <cell r="C1371">
            <v>2022</v>
          </cell>
          <cell r="D1371" t="str">
            <v>Q2</v>
          </cell>
        </row>
        <row r="1372">
          <cell r="A1372">
            <v>44704</v>
          </cell>
          <cell r="B1372">
            <v>115.46</v>
          </cell>
          <cell r="C1372">
            <v>2022</v>
          </cell>
          <cell r="D1372" t="str">
            <v>Q2</v>
          </cell>
        </row>
        <row r="1373">
          <cell r="A1373">
            <v>44705</v>
          </cell>
          <cell r="B1373">
            <v>115.59</v>
          </cell>
          <cell r="C1373">
            <v>2022</v>
          </cell>
          <cell r="D1373" t="str">
            <v>Q2</v>
          </cell>
        </row>
        <row r="1374">
          <cell r="A1374">
            <v>44706</v>
          </cell>
          <cell r="B1374">
            <v>115.58499999999999</v>
          </cell>
          <cell r="C1374">
            <v>2022</v>
          </cell>
          <cell r="D1374" t="str">
            <v>Q2</v>
          </cell>
        </row>
        <row r="1375">
          <cell r="A1375">
            <v>44707</v>
          </cell>
          <cell r="B1375">
            <v>118.83</v>
          </cell>
          <cell r="C1375">
            <v>2022</v>
          </cell>
          <cell r="D1375" t="str">
            <v>Q2</v>
          </cell>
        </row>
        <row r="1376">
          <cell r="A1376">
            <v>44708</v>
          </cell>
          <cell r="B1376">
            <v>119.44</v>
          </cell>
          <cell r="C1376">
            <v>2022</v>
          </cell>
          <cell r="D1376" t="str">
            <v>Q2</v>
          </cell>
        </row>
        <row r="1377">
          <cell r="A1377">
            <v>44711</v>
          </cell>
          <cell r="B1377">
            <v>122.05</v>
          </cell>
          <cell r="C1377">
            <v>2022</v>
          </cell>
          <cell r="D1377" t="str">
            <v>Q2</v>
          </cell>
        </row>
        <row r="1378">
          <cell r="A1378">
            <v>44712</v>
          </cell>
          <cell r="B1378">
            <v>124.17</v>
          </cell>
          <cell r="C1378">
            <v>2022</v>
          </cell>
          <cell r="D1378" t="str">
            <v>Q2</v>
          </cell>
        </row>
        <row r="1379">
          <cell r="A1379">
            <v>44713</v>
          </cell>
          <cell r="B1379">
            <v>122.83499999999999</v>
          </cell>
          <cell r="C1379">
            <v>2022</v>
          </cell>
          <cell r="D1379" t="str">
            <v>Q2</v>
          </cell>
        </row>
        <row r="1380">
          <cell r="A1380">
            <v>44718</v>
          </cell>
          <cell r="B1380">
            <v>124.47499999999999</v>
          </cell>
          <cell r="C1380">
            <v>2022</v>
          </cell>
          <cell r="D1380" t="str">
            <v>Q2</v>
          </cell>
        </row>
        <row r="1381">
          <cell r="A1381">
            <v>44719</v>
          </cell>
          <cell r="B1381">
            <v>126.045</v>
          </cell>
          <cell r="C1381">
            <v>2022</v>
          </cell>
          <cell r="D1381" t="str">
            <v>Q2</v>
          </cell>
        </row>
        <row r="1382">
          <cell r="A1382">
            <v>44720</v>
          </cell>
          <cell r="B1382">
            <v>128.215</v>
          </cell>
          <cell r="C1382">
            <v>2022</v>
          </cell>
          <cell r="D1382" t="str">
            <v>Q2</v>
          </cell>
        </row>
        <row r="1383">
          <cell r="A1383">
            <v>44721</v>
          </cell>
          <cell r="B1383">
            <v>129.14500000000001</v>
          </cell>
          <cell r="C1383">
            <v>2022</v>
          </cell>
          <cell r="D1383" t="str">
            <v>Q2</v>
          </cell>
        </row>
        <row r="1384">
          <cell r="A1384">
            <v>44722</v>
          </cell>
          <cell r="B1384">
            <v>127.405</v>
          </cell>
          <cell r="C1384">
            <v>2022</v>
          </cell>
          <cell r="D1384" t="str">
            <v>Q2</v>
          </cell>
        </row>
        <row r="1385">
          <cell r="A1385">
            <v>44725</v>
          </cell>
          <cell r="B1385">
            <v>127.985</v>
          </cell>
          <cell r="C1385">
            <v>2022</v>
          </cell>
          <cell r="D1385" t="str">
            <v>Q2</v>
          </cell>
        </row>
        <row r="1386">
          <cell r="A1386">
            <v>44726</v>
          </cell>
          <cell r="B1386">
            <v>132.07</v>
          </cell>
          <cell r="C1386">
            <v>2022</v>
          </cell>
          <cell r="D1386" t="str">
            <v>Q2</v>
          </cell>
        </row>
        <row r="1387">
          <cell r="A1387">
            <v>44727</v>
          </cell>
          <cell r="B1387">
            <v>128.18</v>
          </cell>
          <cell r="C1387">
            <v>2022</v>
          </cell>
          <cell r="D1387" t="str">
            <v>Q2</v>
          </cell>
        </row>
        <row r="1388">
          <cell r="A1388">
            <v>44728</v>
          </cell>
          <cell r="B1388">
            <v>124.27500000000001</v>
          </cell>
          <cell r="C1388">
            <v>2022</v>
          </cell>
          <cell r="D1388" t="str">
            <v>Q2</v>
          </cell>
        </row>
        <row r="1389">
          <cell r="A1389">
            <v>44729</v>
          </cell>
          <cell r="B1389">
            <v>120.795</v>
          </cell>
          <cell r="C1389">
            <v>2022</v>
          </cell>
          <cell r="D1389" t="str">
            <v>Q2</v>
          </cell>
        </row>
        <row r="1390">
          <cell r="A1390">
            <v>44732</v>
          </cell>
          <cell r="B1390">
            <v>119.755</v>
          </cell>
          <cell r="C1390">
            <v>2022</v>
          </cell>
          <cell r="D1390" t="str">
            <v>Q2</v>
          </cell>
        </row>
        <row r="1391">
          <cell r="A1391">
            <v>44733</v>
          </cell>
          <cell r="B1391">
            <v>120.55</v>
          </cell>
          <cell r="C1391">
            <v>2022</v>
          </cell>
          <cell r="D1391" t="str">
            <v>Q2</v>
          </cell>
        </row>
        <row r="1392">
          <cell r="A1392">
            <v>44734</v>
          </cell>
          <cell r="B1392">
            <v>116.59</v>
          </cell>
          <cell r="C1392">
            <v>2022</v>
          </cell>
          <cell r="D1392" t="str">
            <v>Q2</v>
          </cell>
        </row>
        <row r="1393">
          <cell r="A1393">
            <v>44735</v>
          </cell>
          <cell r="B1393">
            <v>117.34</v>
          </cell>
          <cell r="C1393">
            <v>2022</v>
          </cell>
          <cell r="D1393" t="str">
            <v>Q2</v>
          </cell>
        </row>
        <row r="1394">
          <cell r="A1394">
            <v>44736</v>
          </cell>
          <cell r="B1394">
            <v>119.965</v>
          </cell>
          <cell r="C1394">
            <v>2022</v>
          </cell>
          <cell r="D1394" t="str">
            <v>Q2</v>
          </cell>
        </row>
        <row r="1395">
          <cell r="A1395">
            <v>44739</v>
          </cell>
          <cell r="B1395">
            <v>120.655</v>
          </cell>
          <cell r="C1395">
            <v>2022</v>
          </cell>
          <cell r="D1395" t="str">
            <v>Q2</v>
          </cell>
        </row>
        <row r="1396">
          <cell r="A1396">
            <v>44740</v>
          </cell>
          <cell r="B1396">
            <v>122.875</v>
          </cell>
          <cell r="C1396">
            <v>2022</v>
          </cell>
          <cell r="D1396" t="str">
            <v>Q2</v>
          </cell>
        </row>
        <row r="1397">
          <cell r="A1397">
            <v>44741</v>
          </cell>
          <cell r="B1397">
            <v>124.61</v>
          </cell>
          <cell r="C1397">
            <v>2022</v>
          </cell>
          <cell r="D1397" t="str">
            <v>Q2</v>
          </cell>
        </row>
        <row r="1398">
          <cell r="A1398">
            <v>44742</v>
          </cell>
          <cell r="B1398">
            <v>120.47499999999999</v>
          </cell>
          <cell r="C1398">
            <v>2022</v>
          </cell>
          <cell r="D1398" t="str">
            <v>Q2</v>
          </cell>
        </row>
        <row r="1399">
          <cell r="A1399">
            <v>44743</v>
          </cell>
          <cell r="B1399">
            <v>121.52</v>
          </cell>
          <cell r="C1399">
            <v>2022</v>
          </cell>
          <cell r="D1399" t="str">
            <v>Q3</v>
          </cell>
        </row>
        <row r="1400">
          <cell r="A1400">
            <v>44746</v>
          </cell>
          <cell r="B1400">
            <v>124.85</v>
          </cell>
          <cell r="C1400">
            <v>2022</v>
          </cell>
          <cell r="D1400" t="str">
            <v>Q3</v>
          </cell>
        </row>
        <row r="1401">
          <cell r="A1401">
            <v>44747</v>
          </cell>
          <cell r="B1401">
            <v>113.44</v>
          </cell>
          <cell r="C1401">
            <v>2022</v>
          </cell>
          <cell r="D1401" t="str">
            <v>Q3</v>
          </cell>
        </row>
        <row r="1402">
          <cell r="A1402">
            <v>44748</v>
          </cell>
          <cell r="B1402">
            <v>109.995</v>
          </cell>
          <cell r="C1402">
            <v>2022</v>
          </cell>
          <cell r="D1402" t="str">
            <v>Q3</v>
          </cell>
        </row>
        <row r="1403">
          <cell r="A1403">
            <v>44749</v>
          </cell>
          <cell r="B1403">
            <v>114.66500000000001</v>
          </cell>
          <cell r="C1403">
            <v>2022</v>
          </cell>
          <cell r="D1403" t="str">
            <v>Q3</v>
          </cell>
        </row>
        <row r="1404">
          <cell r="A1404">
            <v>44750</v>
          </cell>
          <cell r="B1404">
            <v>115.855</v>
          </cell>
          <cell r="C1404">
            <v>2022</v>
          </cell>
          <cell r="D1404" t="str">
            <v>Q3</v>
          </cell>
        </row>
        <row r="1405">
          <cell r="A1405">
            <v>44753</v>
          </cell>
          <cell r="B1405">
            <v>114.59</v>
          </cell>
          <cell r="C1405">
            <v>2022</v>
          </cell>
          <cell r="D1405" t="str">
            <v>Q3</v>
          </cell>
        </row>
        <row r="1406">
          <cell r="A1406">
            <v>44754</v>
          </cell>
          <cell r="B1406">
            <v>108.825</v>
          </cell>
          <cell r="C1406">
            <v>2022</v>
          </cell>
          <cell r="D1406" t="str">
            <v>Q3</v>
          </cell>
        </row>
        <row r="1407">
          <cell r="A1407">
            <v>44755</v>
          </cell>
          <cell r="B1407">
            <v>108.575</v>
          </cell>
          <cell r="C1407">
            <v>2022</v>
          </cell>
          <cell r="D1407" t="str">
            <v>Q3</v>
          </cell>
        </row>
        <row r="1408">
          <cell r="A1408">
            <v>44756</v>
          </cell>
          <cell r="B1408">
            <v>105.985</v>
          </cell>
          <cell r="C1408">
            <v>2022</v>
          </cell>
          <cell r="D1408" t="str">
            <v>Q3</v>
          </cell>
        </row>
        <row r="1409">
          <cell r="A1409">
            <v>44757</v>
          </cell>
          <cell r="B1409">
            <v>111.16500000000001</v>
          </cell>
          <cell r="C1409">
            <v>2022</v>
          </cell>
          <cell r="D1409" t="str">
            <v>Q3</v>
          </cell>
        </row>
        <row r="1410">
          <cell r="A1410">
            <v>44760</v>
          </cell>
          <cell r="B1410">
            <v>115.005</v>
          </cell>
          <cell r="C1410">
            <v>2022</v>
          </cell>
          <cell r="D1410" t="str">
            <v>Q3</v>
          </cell>
        </row>
        <row r="1411">
          <cell r="A1411">
            <v>44761</v>
          </cell>
          <cell r="B1411">
            <v>113.36499999999999</v>
          </cell>
          <cell r="C1411">
            <v>2022</v>
          </cell>
          <cell r="D1411" t="str">
            <v>Q3</v>
          </cell>
        </row>
        <row r="1412">
          <cell r="A1412">
            <v>44762</v>
          </cell>
          <cell r="B1412">
            <v>113.54</v>
          </cell>
          <cell r="C1412">
            <v>2022</v>
          </cell>
          <cell r="D1412" t="str">
            <v>Q3</v>
          </cell>
        </row>
        <row r="1413">
          <cell r="A1413">
            <v>44763</v>
          </cell>
          <cell r="B1413">
            <v>110.93</v>
          </cell>
          <cell r="C1413">
            <v>2022</v>
          </cell>
          <cell r="D1413" t="str">
            <v>Q3</v>
          </cell>
        </row>
        <row r="1414">
          <cell r="A1414">
            <v>44764</v>
          </cell>
          <cell r="B1414">
            <v>109.97499999999999</v>
          </cell>
          <cell r="C1414">
            <v>2022</v>
          </cell>
          <cell r="D1414" t="str">
            <v>Q3</v>
          </cell>
        </row>
        <row r="1415">
          <cell r="A1415">
            <v>44767</v>
          </cell>
          <cell r="B1415">
            <v>108.61499999999999</v>
          </cell>
          <cell r="C1415">
            <v>2022</v>
          </cell>
          <cell r="D1415" t="str">
            <v>Q3</v>
          </cell>
        </row>
        <row r="1416">
          <cell r="A1416">
            <v>44768</v>
          </cell>
          <cell r="B1416">
            <v>109.395</v>
          </cell>
          <cell r="C1416">
            <v>2022</v>
          </cell>
          <cell r="D1416" t="str">
            <v>Q3</v>
          </cell>
        </row>
        <row r="1417">
          <cell r="A1417">
            <v>44769</v>
          </cell>
          <cell r="B1417">
            <v>110.52500000000001</v>
          </cell>
          <cell r="C1417">
            <v>2022</v>
          </cell>
          <cell r="D1417" t="str">
            <v>Q3</v>
          </cell>
        </row>
        <row r="1418">
          <cell r="A1418">
            <v>44770</v>
          </cell>
          <cell r="B1418">
            <v>111.8</v>
          </cell>
          <cell r="C1418">
            <v>2022</v>
          </cell>
          <cell r="D1418" t="str">
            <v>Q3</v>
          </cell>
        </row>
        <row r="1419">
          <cell r="A1419">
            <v>44771</v>
          </cell>
          <cell r="B1419">
            <v>114.13</v>
          </cell>
          <cell r="C1419">
            <v>2022</v>
          </cell>
          <cell r="D1419" t="str">
            <v>Q3</v>
          </cell>
        </row>
        <row r="1420">
          <cell r="A1420">
            <v>44774</v>
          </cell>
          <cell r="B1420">
            <v>106.82</v>
          </cell>
          <cell r="C1420">
            <v>2022</v>
          </cell>
          <cell r="D1420" t="str">
            <v>Q3</v>
          </cell>
        </row>
        <row r="1421">
          <cell r="A1421">
            <v>44775</v>
          </cell>
          <cell r="B1421">
            <v>106.205</v>
          </cell>
          <cell r="C1421">
            <v>2022</v>
          </cell>
          <cell r="D1421" t="str">
            <v>Q3</v>
          </cell>
        </row>
        <row r="1422">
          <cell r="A1422">
            <v>44776</v>
          </cell>
          <cell r="B1422">
            <v>103.36499999999999</v>
          </cell>
          <cell r="C1422">
            <v>2022</v>
          </cell>
          <cell r="D1422" t="str">
            <v>Q3</v>
          </cell>
        </row>
        <row r="1423">
          <cell r="A1423">
            <v>44777</v>
          </cell>
          <cell r="B1423">
            <v>98.18</v>
          </cell>
          <cell r="C1423">
            <v>2022</v>
          </cell>
          <cell r="D1423" t="str">
            <v>Q3</v>
          </cell>
        </row>
        <row r="1424">
          <cell r="A1424">
            <v>44778</v>
          </cell>
          <cell r="B1424">
            <v>101.175</v>
          </cell>
          <cell r="C1424">
            <v>2022</v>
          </cell>
          <cell r="D1424" t="str">
            <v>Q3</v>
          </cell>
        </row>
        <row r="1425">
          <cell r="A1425">
            <v>44781</v>
          </cell>
          <cell r="B1425">
            <v>103.535</v>
          </cell>
          <cell r="C1425">
            <v>2022</v>
          </cell>
          <cell r="D1425" t="str">
            <v>Q3</v>
          </cell>
        </row>
        <row r="1426">
          <cell r="A1426">
            <v>44782</v>
          </cell>
          <cell r="B1426">
            <v>103.88</v>
          </cell>
          <cell r="C1426">
            <v>2022</v>
          </cell>
          <cell r="D1426" t="str">
            <v>Q3</v>
          </cell>
        </row>
        <row r="1427">
          <cell r="A1427">
            <v>44783</v>
          </cell>
          <cell r="B1427">
            <v>100.33</v>
          </cell>
          <cell r="C1427">
            <v>2022</v>
          </cell>
          <cell r="D1427" t="str">
            <v>Q3</v>
          </cell>
        </row>
        <row r="1428">
          <cell r="A1428">
            <v>44784</v>
          </cell>
          <cell r="B1428">
            <v>104.59</v>
          </cell>
          <cell r="C1428">
            <v>2022</v>
          </cell>
          <cell r="D1428" t="str">
            <v>Q3</v>
          </cell>
        </row>
        <row r="1429">
          <cell r="A1429">
            <v>44785</v>
          </cell>
          <cell r="B1429">
            <v>102.995</v>
          </cell>
          <cell r="C1429">
            <v>2022</v>
          </cell>
          <cell r="D1429" t="str">
            <v>Q3</v>
          </cell>
        </row>
        <row r="1430">
          <cell r="A1430">
            <v>44788</v>
          </cell>
          <cell r="B1430">
            <v>97.495000000000005</v>
          </cell>
          <cell r="C1430">
            <v>2022</v>
          </cell>
          <cell r="D1430" t="str">
            <v>Q3</v>
          </cell>
        </row>
        <row r="1431">
          <cell r="A1431">
            <v>44789</v>
          </cell>
          <cell r="B1431">
            <v>96.194999999999993</v>
          </cell>
          <cell r="C1431">
            <v>2022</v>
          </cell>
          <cell r="D1431" t="str">
            <v>Q3</v>
          </cell>
        </row>
        <row r="1432">
          <cell r="A1432">
            <v>44790</v>
          </cell>
          <cell r="B1432">
            <v>93.29</v>
          </cell>
          <cell r="C1432">
            <v>2022</v>
          </cell>
          <cell r="D1432" t="str">
            <v>Q3</v>
          </cell>
        </row>
        <row r="1433">
          <cell r="A1433">
            <v>44791</v>
          </cell>
          <cell r="B1433">
            <v>96.28</v>
          </cell>
          <cell r="C1433">
            <v>2022</v>
          </cell>
          <cell r="D1433" t="str">
            <v>Q3</v>
          </cell>
        </row>
        <row r="1434">
          <cell r="A1434">
            <v>44792</v>
          </cell>
          <cell r="B1434">
            <v>97.025000000000006</v>
          </cell>
          <cell r="C1434">
            <v>2022</v>
          </cell>
          <cell r="D1434" t="str">
            <v>Q3</v>
          </cell>
        </row>
        <row r="1435">
          <cell r="A1435">
            <v>44795</v>
          </cell>
          <cell r="B1435">
            <v>93.775000000000006</v>
          </cell>
          <cell r="C1435">
            <v>2022</v>
          </cell>
          <cell r="D1435" t="str">
            <v>Q3</v>
          </cell>
        </row>
        <row r="1436">
          <cell r="A1436">
            <v>44796</v>
          </cell>
          <cell r="B1436">
            <v>98.344999999999999</v>
          </cell>
          <cell r="C1436">
            <v>2022</v>
          </cell>
          <cell r="D1436" t="str">
            <v>Q3</v>
          </cell>
        </row>
        <row r="1437">
          <cell r="A1437">
            <v>44797</v>
          </cell>
          <cell r="B1437">
            <v>98.74</v>
          </cell>
          <cell r="C1437">
            <v>2022</v>
          </cell>
          <cell r="D1437" t="str">
            <v>Q3</v>
          </cell>
        </row>
        <row r="1438">
          <cell r="A1438">
            <v>44798</v>
          </cell>
          <cell r="B1438">
            <v>99.965000000000003</v>
          </cell>
          <cell r="C1438">
            <v>2022</v>
          </cell>
          <cell r="D1438" t="str">
            <v>Q3</v>
          </cell>
        </row>
        <row r="1439">
          <cell r="A1439">
            <v>44799</v>
          </cell>
          <cell r="B1439">
            <v>98.64</v>
          </cell>
          <cell r="C1439">
            <v>2022</v>
          </cell>
          <cell r="D1439" t="str">
            <v>Q3</v>
          </cell>
        </row>
        <row r="1440">
          <cell r="A1440">
            <v>44803</v>
          </cell>
          <cell r="B1440">
            <v>99.665000000000006</v>
          </cell>
          <cell r="C1440">
            <v>2022</v>
          </cell>
          <cell r="D1440" t="str">
            <v>Q3</v>
          </cell>
        </row>
        <row r="1441">
          <cell r="A1441">
            <v>44804</v>
          </cell>
          <cell r="B1441">
            <v>96.68</v>
          </cell>
          <cell r="C1441">
            <v>2022</v>
          </cell>
          <cell r="D1441" t="str">
            <v>Q3</v>
          </cell>
        </row>
        <row r="1442">
          <cell r="A1442">
            <v>44805</v>
          </cell>
          <cell r="B1442">
            <v>92.54</v>
          </cell>
          <cell r="C1442">
            <v>2022</v>
          </cell>
          <cell r="D1442" t="str">
            <v>Q3</v>
          </cell>
        </row>
        <row r="1443">
          <cell r="A1443">
            <v>44806</v>
          </cell>
          <cell r="B1443">
            <v>94.06</v>
          </cell>
          <cell r="C1443">
            <v>2022</v>
          </cell>
          <cell r="D1443" t="str">
            <v>Q3</v>
          </cell>
        </row>
        <row r="1444">
          <cell r="A1444">
            <v>44809</v>
          </cell>
          <cell r="B1444">
            <v>94.52</v>
          </cell>
          <cell r="C1444">
            <v>2022</v>
          </cell>
          <cell r="D1444" t="str">
            <v>Q3</v>
          </cell>
        </row>
        <row r="1445">
          <cell r="A1445">
            <v>44810</v>
          </cell>
          <cell r="B1445">
            <v>92.11</v>
          </cell>
          <cell r="C1445">
            <v>2022</v>
          </cell>
          <cell r="D1445" t="str">
            <v>Q3</v>
          </cell>
        </row>
        <row r="1446">
          <cell r="A1446">
            <v>44811</v>
          </cell>
          <cell r="B1446">
            <v>88.14</v>
          </cell>
          <cell r="C1446">
            <v>2022</v>
          </cell>
          <cell r="D1446" t="str">
            <v>Q3</v>
          </cell>
        </row>
        <row r="1447">
          <cell r="A1447">
            <v>44812</v>
          </cell>
          <cell r="B1447">
            <v>87.704999999999998</v>
          </cell>
          <cell r="C1447">
            <v>2022</v>
          </cell>
          <cell r="D1447" t="str">
            <v>Q3</v>
          </cell>
        </row>
        <row r="1448">
          <cell r="A1448">
            <v>44813</v>
          </cell>
          <cell r="B1448">
            <v>90.555000000000007</v>
          </cell>
          <cell r="C1448">
            <v>2022</v>
          </cell>
          <cell r="D1448" t="str">
            <v>Q3</v>
          </cell>
        </row>
        <row r="1449">
          <cell r="A1449">
            <v>44816</v>
          </cell>
          <cell r="B1449">
            <v>93.064999999999998</v>
          </cell>
          <cell r="C1449">
            <v>2022</v>
          </cell>
          <cell r="D1449" t="str">
            <v>Q3</v>
          </cell>
        </row>
        <row r="1450">
          <cell r="A1450">
            <v>44817</v>
          </cell>
          <cell r="B1450">
            <v>91.375</v>
          </cell>
          <cell r="C1450">
            <v>2022</v>
          </cell>
          <cell r="D1450" t="str">
            <v>Q3</v>
          </cell>
        </row>
        <row r="1451">
          <cell r="A1451">
            <v>44818</v>
          </cell>
          <cell r="B1451">
            <v>93.06</v>
          </cell>
          <cell r="C1451">
            <v>2022</v>
          </cell>
          <cell r="D1451" t="str">
            <v>Q3</v>
          </cell>
        </row>
        <row r="1452">
          <cell r="A1452">
            <v>44819</v>
          </cell>
          <cell r="B1452">
            <v>89.42</v>
          </cell>
          <cell r="C1452">
            <v>2022</v>
          </cell>
          <cell r="D1452" t="str">
            <v>Q3</v>
          </cell>
        </row>
        <row r="1453">
          <cell r="A1453">
            <v>44820</v>
          </cell>
          <cell r="B1453">
            <v>91.15</v>
          </cell>
          <cell r="C1453">
            <v>2022</v>
          </cell>
          <cell r="D1453" t="str">
            <v>Q3</v>
          </cell>
        </row>
        <row r="1454">
          <cell r="A1454">
            <v>44824</v>
          </cell>
          <cell r="B1454">
            <v>89.224999999999994</v>
          </cell>
          <cell r="C1454">
            <v>2022</v>
          </cell>
          <cell r="D1454" t="str">
            <v>Q3</v>
          </cell>
        </row>
        <row r="1455">
          <cell r="A1455">
            <v>44825</v>
          </cell>
          <cell r="B1455">
            <v>88.1</v>
          </cell>
          <cell r="C1455">
            <v>2022</v>
          </cell>
          <cell r="D1455" t="str">
            <v>Q3</v>
          </cell>
        </row>
        <row r="1456">
          <cell r="A1456">
            <v>44826</v>
          </cell>
          <cell r="B1456">
            <v>89.394999999999996</v>
          </cell>
          <cell r="C1456">
            <v>2022</v>
          </cell>
          <cell r="D1456" t="str">
            <v>Q3</v>
          </cell>
        </row>
        <row r="1457">
          <cell r="A1457">
            <v>44827</v>
          </cell>
          <cell r="B1457">
            <v>85.295000000000002</v>
          </cell>
          <cell r="C1457">
            <v>2022</v>
          </cell>
          <cell r="D1457" t="str">
            <v>Q3</v>
          </cell>
        </row>
        <row r="1458">
          <cell r="A1458">
            <v>44830</v>
          </cell>
          <cell r="B1458">
            <v>84.584999999999994</v>
          </cell>
          <cell r="C1458">
            <v>2022</v>
          </cell>
          <cell r="D1458" t="str">
            <v>Q3</v>
          </cell>
        </row>
        <row r="1459">
          <cell r="A1459">
            <v>44831</v>
          </cell>
          <cell r="B1459">
            <v>86.58</v>
          </cell>
          <cell r="C1459">
            <v>2022</v>
          </cell>
          <cell r="D1459" t="str">
            <v>Q3</v>
          </cell>
        </row>
        <row r="1460">
          <cell r="A1460">
            <v>44832</v>
          </cell>
          <cell r="B1460">
            <v>88.545000000000002</v>
          </cell>
          <cell r="C1460">
            <v>2022</v>
          </cell>
          <cell r="D1460" t="str">
            <v>Q3</v>
          </cell>
        </row>
        <row r="1461">
          <cell r="A1461">
            <v>44833</v>
          </cell>
          <cell r="B1461">
            <v>89.97</v>
          </cell>
          <cell r="C1461">
            <v>2022</v>
          </cell>
          <cell r="D1461" t="str">
            <v>Q3</v>
          </cell>
        </row>
        <row r="1462">
          <cell r="A1462">
            <v>44834</v>
          </cell>
          <cell r="B1462">
            <v>87.625</v>
          </cell>
          <cell r="C1462">
            <v>2022</v>
          </cell>
          <cell r="D1462" t="str">
            <v>Q3</v>
          </cell>
        </row>
        <row r="1463">
          <cell r="A1463">
            <v>44837</v>
          </cell>
          <cell r="B1463">
            <v>90</v>
          </cell>
          <cell r="C1463">
            <v>2022</v>
          </cell>
          <cell r="D1463" t="str">
            <v>Q4</v>
          </cell>
        </row>
        <row r="1464">
          <cell r="A1464">
            <v>44838</v>
          </cell>
          <cell r="B1464">
            <v>93.64</v>
          </cell>
          <cell r="C1464">
            <v>2022</v>
          </cell>
          <cell r="D1464" t="str">
            <v>Q4</v>
          </cell>
        </row>
        <row r="1465">
          <cell r="A1465">
            <v>44839</v>
          </cell>
          <cell r="B1465">
            <v>95.26</v>
          </cell>
          <cell r="C1465">
            <v>2022</v>
          </cell>
          <cell r="D1465" t="str">
            <v>Q4</v>
          </cell>
        </row>
        <row r="1466">
          <cell r="A1466">
            <v>44840</v>
          </cell>
          <cell r="B1466">
            <v>95.805000000000007</v>
          </cell>
          <cell r="C1466">
            <v>2022</v>
          </cell>
          <cell r="D1466" t="str">
            <v>Q4</v>
          </cell>
        </row>
        <row r="1467">
          <cell r="A1467">
            <v>44841</v>
          </cell>
          <cell r="B1467">
            <v>98.64</v>
          </cell>
          <cell r="C1467">
            <v>2022</v>
          </cell>
          <cell r="D1467" t="str">
            <v>Q4</v>
          </cell>
        </row>
        <row r="1468">
          <cell r="A1468">
            <v>44844</v>
          </cell>
          <cell r="B1468">
            <v>98.555000000000007</v>
          </cell>
          <cell r="C1468">
            <v>2022</v>
          </cell>
          <cell r="D1468" t="str">
            <v>Q4</v>
          </cell>
        </row>
        <row r="1469">
          <cell r="A1469">
            <v>44845</v>
          </cell>
          <cell r="B1469">
            <v>95.31</v>
          </cell>
          <cell r="C1469">
            <v>2022</v>
          </cell>
          <cell r="D1469" t="str">
            <v>Q4</v>
          </cell>
        </row>
        <row r="1470">
          <cell r="A1470">
            <v>44846</v>
          </cell>
          <cell r="B1470">
            <v>93.15</v>
          </cell>
          <cell r="C1470">
            <v>2022</v>
          </cell>
          <cell r="D1470" t="str">
            <v>Q4</v>
          </cell>
        </row>
        <row r="1471">
          <cell r="A1471">
            <v>44847</v>
          </cell>
          <cell r="B1471">
            <v>94.1</v>
          </cell>
          <cell r="C1471">
            <v>2022</v>
          </cell>
          <cell r="D1471" t="str">
            <v>Q4</v>
          </cell>
        </row>
        <row r="1472">
          <cell r="A1472">
            <v>44848</v>
          </cell>
          <cell r="B1472">
            <v>92.924999999999997</v>
          </cell>
          <cell r="C1472">
            <v>2022</v>
          </cell>
          <cell r="D1472" t="str">
            <v>Q4</v>
          </cell>
        </row>
        <row r="1473">
          <cell r="A1473">
            <v>44851</v>
          </cell>
          <cell r="B1473">
            <v>91.41</v>
          </cell>
          <cell r="C1473">
            <v>2022</v>
          </cell>
          <cell r="D1473" t="str">
            <v>Q4</v>
          </cell>
        </row>
        <row r="1474">
          <cell r="A1474">
            <v>44852</v>
          </cell>
          <cell r="B1474">
            <v>88.06</v>
          </cell>
          <cell r="C1474">
            <v>2022</v>
          </cell>
          <cell r="D1474" t="str">
            <v>Q4</v>
          </cell>
        </row>
        <row r="1475">
          <cell r="A1475">
            <v>44853</v>
          </cell>
          <cell r="B1475">
            <v>89.91</v>
          </cell>
          <cell r="C1475">
            <v>2022</v>
          </cell>
          <cell r="D1475" t="str">
            <v>Q4</v>
          </cell>
        </row>
        <row r="1476">
          <cell r="A1476">
            <v>44854</v>
          </cell>
          <cell r="B1476">
            <v>92.66</v>
          </cell>
          <cell r="C1476">
            <v>2022</v>
          </cell>
          <cell r="D1476" t="str">
            <v>Q4</v>
          </cell>
        </row>
        <row r="1477">
          <cell r="A1477">
            <v>44855</v>
          </cell>
          <cell r="B1477">
            <v>91.35</v>
          </cell>
          <cell r="C1477">
            <v>2022</v>
          </cell>
          <cell r="D1477" t="str">
            <v>Q4</v>
          </cell>
        </row>
        <row r="1478">
          <cell r="A1478">
            <v>44858</v>
          </cell>
          <cell r="B1478">
            <v>91.504999999999995</v>
          </cell>
          <cell r="C1478">
            <v>2022</v>
          </cell>
          <cell r="D1478" t="str">
            <v>Q4</v>
          </cell>
        </row>
        <row r="1479">
          <cell r="A1479">
            <v>44859</v>
          </cell>
          <cell r="B1479">
            <v>91.655000000000001</v>
          </cell>
          <cell r="C1479">
            <v>2022</v>
          </cell>
          <cell r="D1479" t="str">
            <v>Q4</v>
          </cell>
        </row>
        <row r="1480">
          <cell r="A1480">
            <v>44860</v>
          </cell>
          <cell r="B1480">
            <v>93.984999999999999</v>
          </cell>
          <cell r="C1480">
            <v>2022</v>
          </cell>
          <cell r="D1480" t="str">
            <v>Q4</v>
          </cell>
        </row>
        <row r="1481">
          <cell r="A1481">
            <v>44861</v>
          </cell>
          <cell r="B1481">
            <v>95.25</v>
          </cell>
          <cell r="C1481">
            <v>2022</v>
          </cell>
          <cell r="D1481" t="str">
            <v>Q4</v>
          </cell>
        </row>
        <row r="1482">
          <cell r="A1482">
            <v>44862</v>
          </cell>
          <cell r="B1482">
            <v>94.04</v>
          </cell>
          <cell r="C1482">
            <v>2022</v>
          </cell>
          <cell r="D1482" t="str">
            <v>Q4</v>
          </cell>
        </row>
        <row r="1483">
          <cell r="A1483">
            <v>44865</v>
          </cell>
          <cell r="B1483">
            <v>92.77</v>
          </cell>
          <cell r="C1483">
            <v>2022</v>
          </cell>
          <cell r="D1483" t="str">
            <v>Q4</v>
          </cell>
        </row>
        <row r="1484">
          <cell r="A1484">
            <v>44866</v>
          </cell>
          <cell r="B1484">
            <v>94.92</v>
          </cell>
          <cell r="C1484">
            <v>2022</v>
          </cell>
          <cell r="D1484" t="str">
            <v>Q4</v>
          </cell>
        </row>
        <row r="1485">
          <cell r="A1485">
            <v>44867</v>
          </cell>
          <cell r="B1485">
            <v>97.045000000000002</v>
          </cell>
          <cell r="C1485">
            <v>2022</v>
          </cell>
          <cell r="D1485" t="str">
            <v>Q4</v>
          </cell>
        </row>
        <row r="1486">
          <cell r="A1486">
            <v>44868</v>
          </cell>
          <cell r="B1486">
            <v>95.84</v>
          </cell>
          <cell r="C1486">
            <v>2022</v>
          </cell>
          <cell r="D1486" t="str">
            <v>Q4</v>
          </cell>
        </row>
        <row r="1487">
          <cell r="A1487">
            <v>44869</v>
          </cell>
          <cell r="B1487">
            <v>98.765000000000001</v>
          </cell>
          <cell r="C1487">
            <v>2022</v>
          </cell>
          <cell r="D1487" t="str">
            <v>Q4</v>
          </cell>
        </row>
        <row r="1488">
          <cell r="A1488">
            <v>44872</v>
          </cell>
          <cell r="B1488">
            <v>101.88</v>
          </cell>
          <cell r="C1488">
            <v>2022</v>
          </cell>
          <cell r="D1488" t="str">
            <v>Q4</v>
          </cell>
        </row>
        <row r="1489">
          <cell r="A1489">
            <v>44873</v>
          </cell>
          <cell r="B1489">
            <v>99.055000000000007</v>
          </cell>
          <cell r="C1489">
            <v>2022</v>
          </cell>
          <cell r="D1489" t="str">
            <v>Q4</v>
          </cell>
        </row>
        <row r="1490">
          <cell r="A1490">
            <v>44874</v>
          </cell>
          <cell r="B1490">
            <v>94.954999999999998</v>
          </cell>
          <cell r="C1490">
            <v>2022</v>
          </cell>
          <cell r="D1490" t="str">
            <v>Q4</v>
          </cell>
        </row>
        <row r="1491">
          <cell r="A1491">
            <v>44875</v>
          </cell>
          <cell r="B1491">
            <v>94.504999999999995</v>
          </cell>
          <cell r="C1491">
            <v>2022</v>
          </cell>
          <cell r="D1491" t="str">
            <v>Q4</v>
          </cell>
        </row>
        <row r="1492">
          <cell r="A1492">
            <v>44876</v>
          </cell>
          <cell r="B1492">
            <v>96.91</v>
          </cell>
          <cell r="C1492">
            <v>2022</v>
          </cell>
          <cell r="D1492" t="str">
            <v>Q4</v>
          </cell>
        </row>
        <row r="1493">
          <cell r="A1493">
            <v>44879</v>
          </cell>
          <cell r="B1493">
            <v>95.6</v>
          </cell>
          <cell r="C1493">
            <v>2022</v>
          </cell>
          <cell r="D1493" t="str">
            <v>Q4</v>
          </cell>
        </row>
        <row r="1494">
          <cell r="A1494">
            <v>44880</v>
          </cell>
          <cell r="B1494">
            <v>93.995000000000005</v>
          </cell>
          <cell r="C1494">
            <v>2022</v>
          </cell>
          <cell r="D1494" t="str">
            <v>Q4</v>
          </cell>
        </row>
        <row r="1495">
          <cell r="A1495">
            <v>44881</v>
          </cell>
          <cell r="B1495">
            <v>92.614999999999995</v>
          </cell>
          <cell r="C1495">
            <v>2022</v>
          </cell>
          <cell r="D1495" t="str">
            <v>Q4</v>
          </cell>
        </row>
        <row r="1496">
          <cell r="A1496">
            <v>44882</v>
          </cell>
          <cell r="B1496">
            <v>91.25</v>
          </cell>
          <cell r="C1496">
            <v>2022</v>
          </cell>
          <cell r="D1496" t="str">
            <v>Q4</v>
          </cell>
        </row>
        <row r="1497">
          <cell r="A1497">
            <v>44883</v>
          </cell>
          <cell r="B1497">
            <v>88.11</v>
          </cell>
          <cell r="C1497">
            <v>2022</v>
          </cell>
          <cell r="D1497" t="str">
            <v>Q4</v>
          </cell>
        </row>
        <row r="1498">
          <cell r="A1498">
            <v>44886</v>
          </cell>
          <cell r="B1498">
            <v>83.16</v>
          </cell>
          <cell r="C1498">
            <v>2022</v>
          </cell>
          <cell r="D1498" t="str">
            <v>Q4</v>
          </cell>
        </row>
        <row r="1499">
          <cell r="A1499">
            <v>44887</v>
          </cell>
          <cell r="B1499">
            <v>89.165000000000006</v>
          </cell>
          <cell r="C1499">
            <v>2022</v>
          </cell>
          <cell r="D1499" t="str">
            <v>Q4</v>
          </cell>
        </row>
        <row r="1500">
          <cell r="A1500">
            <v>44888</v>
          </cell>
          <cell r="B1500">
            <v>85.234999999999999</v>
          </cell>
          <cell r="C1500">
            <v>2022</v>
          </cell>
          <cell r="D1500" t="str">
            <v>Q4</v>
          </cell>
        </row>
        <row r="1501">
          <cell r="A1501">
            <v>44889</v>
          </cell>
          <cell r="B1501">
            <v>85.55</v>
          </cell>
          <cell r="C1501">
            <v>2022</v>
          </cell>
          <cell r="D1501" t="str">
            <v>Q4</v>
          </cell>
        </row>
        <row r="1502">
          <cell r="A1502">
            <v>44890</v>
          </cell>
          <cell r="B1502">
            <v>85.51</v>
          </cell>
          <cell r="C1502">
            <v>2022</v>
          </cell>
          <cell r="D1502" t="str">
            <v>Q4</v>
          </cell>
        </row>
        <row r="1503">
          <cell r="A1503">
            <v>44893</v>
          </cell>
          <cell r="B1503">
            <v>82.62</v>
          </cell>
          <cell r="C1503">
            <v>2022</v>
          </cell>
          <cell r="D1503" t="str">
            <v>Q4</v>
          </cell>
        </row>
        <row r="1504">
          <cell r="A1504">
            <v>44894</v>
          </cell>
          <cell r="B1504">
            <v>83.564999999999998</v>
          </cell>
          <cell r="C1504">
            <v>2022</v>
          </cell>
          <cell r="D1504" t="str">
            <v>Q4</v>
          </cell>
        </row>
        <row r="1505">
          <cell r="A1505">
            <v>44895</v>
          </cell>
          <cell r="B1505">
            <v>86.594999999999999</v>
          </cell>
          <cell r="C1505">
            <v>2022</v>
          </cell>
          <cell r="D1505" t="str">
            <v>Q4</v>
          </cell>
        </row>
        <row r="1506">
          <cell r="A1506">
            <v>44896</v>
          </cell>
          <cell r="B1506">
            <v>89.17</v>
          </cell>
          <cell r="C1506">
            <v>2022</v>
          </cell>
          <cell r="D1506" t="str">
            <v>Q4</v>
          </cell>
        </row>
        <row r="1507">
          <cell r="A1507">
            <v>44897</v>
          </cell>
          <cell r="B1507">
            <v>87.05</v>
          </cell>
          <cell r="C1507">
            <v>2022</v>
          </cell>
          <cell r="D1507" t="str">
            <v>Q4</v>
          </cell>
        </row>
        <row r="1508">
          <cell r="A1508">
            <v>44900</v>
          </cell>
          <cell r="B1508">
            <v>85.59</v>
          </cell>
          <cell r="C1508">
            <v>2022</v>
          </cell>
          <cell r="D1508" t="str">
            <v>Q4</v>
          </cell>
        </row>
        <row r="1509">
          <cell r="A1509">
            <v>44901</v>
          </cell>
          <cell r="B1509">
            <v>80.680000000000007</v>
          </cell>
          <cell r="C1509">
            <v>2022</v>
          </cell>
          <cell r="D1509" t="str">
            <v>Q4</v>
          </cell>
        </row>
        <row r="1510">
          <cell r="A1510">
            <v>44902</v>
          </cell>
          <cell r="B1510">
            <v>79.204999999999998</v>
          </cell>
          <cell r="C1510">
            <v>2022</v>
          </cell>
          <cell r="D1510" t="str">
            <v>Q4</v>
          </cell>
        </row>
        <row r="1511">
          <cell r="A1511">
            <v>44903</v>
          </cell>
          <cell r="B1511">
            <v>76.48</v>
          </cell>
          <cell r="C1511">
            <v>2022</v>
          </cell>
          <cell r="D1511" t="str">
            <v>Q4</v>
          </cell>
        </row>
        <row r="1512">
          <cell r="A1512">
            <v>44904</v>
          </cell>
          <cell r="B1512">
            <v>77.540000000000006</v>
          </cell>
          <cell r="C1512">
            <v>2022</v>
          </cell>
          <cell r="D1512" t="str">
            <v>Q4</v>
          </cell>
        </row>
        <row r="1513">
          <cell r="A1513">
            <v>44907</v>
          </cell>
          <cell r="B1513">
            <v>78.67</v>
          </cell>
          <cell r="C1513">
            <v>2022</v>
          </cell>
          <cell r="D1513" t="str">
            <v>Q4</v>
          </cell>
        </row>
        <row r="1514">
          <cell r="A1514">
            <v>44908</v>
          </cell>
          <cell r="B1514">
            <v>80.84</v>
          </cell>
          <cell r="C1514">
            <v>2022</v>
          </cell>
          <cell r="D1514" t="str">
            <v>Q4</v>
          </cell>
        </row>
        <row r="1515">
          <cell r="A1515">
            <v>44909</v>
          </cell>
          <cell r="B1515">
            <v>83.515000000000001</v>
          </cell>
          <cell r="C1515">
            <v>2022</v>
          </cell>
          <cell r="D1515" t="str">
            <v>Q4</v>
          </cell>
        </row>
        <row r="1516">
          <cell r="A1516">
            <v>44910</v>
          </cell>
          <cell r="B1516">
            <v>81.734999999999999</v>
          </cell>
          <cell r="C1516">
            <v>2022</v>
          </cell>
          <cell r="D1516" t="str">
            <v>Q4</v>
          </cell>
        </row>
        <row r="1517">
          <cell r="A1517">
            <v>44911</v>
          </cell>
          <cell r="B1517">
            <v>79.034999999999997</v>
          </cell>
          <cell r="C1517">
            <v>2022</v>
          </cell>
          <cell r="D1517" t="str">
            <v>Q4</v>
          </cell>
        </row>
        <row r="1518">
          <cell r="A1518">
            <v>44914</v>
          </cell>
          <cell r="B1518">
            <v>79.73</v>
          </cell>
          <cell r="C1518">
            <v>2022</v>
          </cell>
          <cell r="D1518" t="str">
            <v>Q4</v>
          </cell>
        </row>
        <row r="1519">
          <cell r="A1519">
            <v>44915</v>
          </cell>
          <cell r="B1519">
            <v>78.844999999999999</v>
          </cell>
          <cell r="C1519">
            <v>2022</v>
          </cell>
          <cell r="D1519" t="str">
            <v>Q4</v>
          </cell>
        </row>
        <row r="1520">
          <cell r="A1520">
            <v>44916</v>
          </cell>
          <cell r="B1520">
            <v>80.204999999999998</v>
          </cell>
          <cell r="C1520">
            <v>2022</v>
          </cell>
          <cell r="D1520" t="str">
            <v>Q4</v>
          </cell>
        </row>
        <row r="1521">
          <cell r="A1521">
            <v>44917</v>
          </cell>
          <cell r="B1521">
            <v>80.75</v>
          </cell>
          <cell r="C1521">
            <v>2022</v>
          </cell>
          <cell r="D1521" t="str">
            <v>Q4</v>
          </cell>
        </row>
        <row r="1522">
          <cell r="A1522">
            <v>44918</v>
          </cell>
          <cell r="B1522">
            <v>80.915000000000006</v>
          </cell>
          <cell r="C1522">
            <v>2022</v>
          </cell>
          <cell r="D1522" t="str">
            <v>Q4</v>
          </cell>
        </row>
        <row r="1523">
          <cell r="A1523">
            <v>44923</v>
          </cell>
          <cell r="B1523">
            <v>81.09</v>
          </cell>
          <cell r="C1523">
            <v>2022</v>
          </cell>
          <cell r="D1523" t="str">
            <v>Q4</v>
          </cell>
        </row>
        <row r="1524">
          <cell r="A1524">
            <v>44924</v>
          </cell>
          <cell r="B1524">
            <v>80.790000000000006</v>
          </cell>
          <cell r="C1524">
            <v>2022</v>
          </cell>
          <cell r="D1524" t="str">
            <v>Q4</v>
          </cell>
        </row>
        <row r="1525">
          <cell r="A1525">
            <v>44925</v>
          </cell>
          <cell r="B1525">
            <v>81.344999999999999</v>
          </cell>
          <cell r="C1525">
            <v>2022</v>
          </cell>
          <cell r="D1525" t="str">
            <v>Q4</v>
          </cell>
        </row>
        <row r="1526">
          <cell r="A1526">
            <v>44929</v>
          </cell>
          <cell r="B1526">
            <v>81.144999999999996</v>
          </cell>
          <cell r="C1526">
            <v>2023</v>
          </cell>
          <cell r="D1526" t="str">
            <v>Q1</v>
          </cell>
        </row>
        <row r="1527">
          <cell r="A1527">
            <v>44930</v>
          </cell>
          <cell r="B1527">
            <v>75.56</v>
          </cell>
          <cell r="C1527">
            <v>2023</v>
          </cell>
          <cell r="D1527" t="str">
            <v>Q1</v>
          </cell>
        </row>
        <row r="1528">
          <cell r="A1528">
            <v>44931</v>
          </cell>
          <cell r="B1528">
            <v>76.92</v>
          </cell>
          <cell r="C1528">
            <v>2023</v>
          </cell>
          <cell r="D1528" t="str">
            <v>Q1</v>
          </cell>
        </row>
        <row r="1529">
          <cell r="A1529">
            <v>44932</v>
          </cell>
          <cell r="B1529">
            <v>77.430000000000007</v>
          </cell>
          <cell r="C1529">
            <v>2023</v>
          </cell>
          <cell r="D1529" t="str">
            <v>Q1</v>
          </cell>
        </row>
        <row r="1530">
          <cell r="A1530">
            <v>44935</v>
          </cell>
          <cell r="B1530">
            <v>77.36</v>
          </cell>
          <cell r="C1530">
            <v>2023</v>
          </cell>
          <cell r="D1530" t="str">
            <v>Q1</v>
          </cell>
        </row>
        <row r="1531">
          <cell r="A1531">
            <v>44936</v>
          </cell>
          <cell r="B1531">
            <v>78.015000000000001</v>
          </cell>
          <cell r="C1531">
            <v>2023</v>
          </cell>
          <cell r="D1531" t="str">
            <v>Q1</v>
          </cell>
        </row>
        <row r="1532">
          <cell r="A1532">
            <v>44937</v>
          </cell>
          <cell r="B1532">
            <v>80.569999999999993</v>
          </cell>
          <cell r="C1532">
            <v>2023</v>
          </cell>
          <cell r="D1532" t="str">
            <v>Q1</v>
          </cell>
        </row>
        <row r="1533">
          <cell r="A1533">
            <v>44938</v>
          </cell>
          <cell r="B1533">
            <v>82.984999999999999</v>
          </cell>
          <cell r="C1533">
            <v>2023</v>
          </cell>
          <cell r="D1533" t="str">
            <v>Q1</v>
          </cell>
        </row>
        <row r="1534">
          <cell r="A1534">
            <v>44939</v>
          </cell>
          <cell r="B1534">
            <v>83.33</v>
          </cell>
          <cell r="C1534">
            <v>2023</v>
          </cell>
          <cell r="D1534" t="str">
            <v>Q1</v>
          </cell>
        </row>
        <row r="1535">
          <cell r="A1535">
            <v>44942</v>
          </cell>
          <cell r="B1535">
            <v>82.75</v>
          </cell>
          <cell r="C1535">
            <v>2023</v>
          </cell>
          <cell r="D1535" t="str">
            <v>Q1</v>
          </cell>
        </row>
        <row r="1536">
          <cell r="A1536">
            <v>44943</v>
          </cell>
          <cell r="B1536">
            <v>84.355000000000004</v>
          </cell>
          <cell r="C1536">
            <v>2023</v>
          </cell>
          <cell r="D1536" t="str">
            <v>Q1</v>
          </cell>
        </row>
        <row r="1537">
          <cell r="A1537">
            <v>44944</v>
          </cell>
          <cell r="B1537">
            <v>85.924999999999997</v>
          </cell>
          <cell r="C1537">
            <v>2023</v>
          </cell>
          <cell r="D1537" t="str">
            <v>Q1</v>
          </cell>
        </row>
        <row r="1538">
          <cell r="A1538">
            <v>44945</v>
          </cell>
          <cell r="B1538">
            <v>84.504999999999995</v>
          </cell>
          <cell r="C1538">
            <v>2023</v>
          </cell>
          <cell r="D1538" t="str">
            <v>Q1</v>
          </cell>
        </row>
        <row r="1539">
          <cell r="A1539">
            <v>44946</v>
          </cell>
          <cell r="B1539">
            <v>85.864999999999995</v>
          </cell>
          <cell r="C1539">
            <v>2023</v>
          </cell>
          <cell r="D1539" t="str">
            <v>Q1</v>
          </cell>
        </row>
        <row r="1540">
          <cell r="A1540">
            <v>44949</v>
          </cell>
          <cell r="B1540">
            <v>88.185000000000002</v>
          </cell>
          <cell r="C1540">
            <v>2023</v>
          </cell>
          <cell r="D1540" t="str">
            <v>Q1</v>
          </cell>
        </row>
        <row r="1541">
          <cell r="A1541">
            <v>44950</v>
          </cell>
          <cell r="B1541">
            <v>86.034999999999997</v>
          </cell>
          <cell r="C1541">
            <v>2023</v>
          </cell>
          <cell r="D1541" t="str">
            <v>Q1</v>
          </cell>
        </row>
        <row r="1542">
          <cell r="A1542">
            <v>44951</v>
          </cell>
          <cell r="B1542">
            <v>85.89</v>
          </cell>
          <cell r="C1542">
            <v>2023</v>
          </cell>
          <cell r="D1542" t="str">
            <v>Q1</v>
          </cell>
        </row>
        <row r="1543">
          <cell r="A1543">
            <v>44952</v>
          </cell>
          <cell r="B1543">
            <v>86.905000000000001</v>
          </cell>
          <cell r="C1543">
            <v>2023</v>
          </cell>
          <cell r="D1543" t="str">
            <v>Q1</v>
          </cell>
        </row>
        <row r="1544">
          <cell r="A1544">
            <v>44953</v>
          </cell>
          <cell r="B1544">
            <v>86.084999999999994</v>
          </cell>
          <cell r="C1544">
            <v>2023</v>
          </cell>
          <cell r="D1544" t="str">
            <v>Q1</v>
          </cell>
        </row>
        <row r="1545">
          <cell r="A1545">
            <v>44956</v>
          </cell>
          <cell r="B1545">
            <v>84.594999999999999</v>
          </cell>
          <cell r="C1545">
            <v>2023</v>
          </cell>
          <cell r="D1545" t="str">
            <v>Q1</v>
          </cell>
        </row>
        <row r="1546">
          <cell r="A1546">
            <v>44957</v>
          </cell>
          <cell r="B1546">
            <v>84.435000000000002</v>
          </cell>
          <cell r="C1546">
            <v>2023</v>
          </cell>
          <cell r="D1546" t="str">
            <v>Q1</v>
          </cell>
        </row>
        <row r="1547">
          <cell r="A1547">
            <v>44958</v>
          </cell>
          <cell r="B1547">
            <v>82.95</v>
          </cell>
          <cell r="C1547">
            <v>2023</v>
          </cell>
          <cell r="D1547" t="str">
            <v>Q1</v>
          </cell>
        </row>
        <row r="1548">
          <cell r="A1548">
            <v>44959</v>
          </cell>
          <cell r="B1548">
            <v>80.665000000000006</v>
          </cell>
          <cell r="C1548">
            <v>2023</v>
          </cell>
          <cell r="D1548" t="str">
            <v>Q1</v>
          </cell>
        </row>
        <row r="1549">
          <cell r="A1549">
            <v>44960</v>
          </cell>
          <cell r="B1549">
            <v>80.614999999999995</v>
          </cell>
          <cell r="C1549">
            <v>2023</v>
          </cell>
          <cell r="D1549" t="str">
            <v>Q1</v>
          </cell>
        </row>
        <row r="1550">
          <cell r="A1550">
            <v>44963</v>
          </cell>
          <cell r="B1550">
            <v>79.58</v>
          </cell>
          <cell r="C1550">
            <v>2023</v>
          </cell>
          <cell r="D1550" t="str">
            <v>Q1</v>
          </cell>
        </row>
        <row r="1551">
          <cell r="A1551">
            <v>44964</v>
          </cell>
          <cell r="B1551">
            <v>82.24</v>
          </cell>
          <cell r="C1551">
            <v>2023</v>
          </cell>
          <cell r="D1551" t="str">
            <v>Q1</v>
          </cell>
        </row>
        <row r="1552">
          <cell r="A1552">
            <v>44965</v>
          </cell>
          <cell r="B1552">
            <v>83.224999999999994</v>
          </cell>
          <cell r="C1552">
            <v>2023</v>
          </cell>
          <cell r="D1552" t="str">
            <v>Q1</v>
          </cell>
        </row>
        <row r="1553">
          <cell r="A1553">
            <v>44966</v>
          </cell>
          <cell r="B1553">
            <v>83.28</v>
          </cell>
          <cell r="C1553">
            <v>2023</v>
          </cell>
          <cell r="D1553" t="str">
            <v>Q1</v>
          </cell>
        </row>
        <row r="1554">
          <cell r="A1554">
            <v>44967</v>
          </cell>
          <cell r="B1554">
            <v>85.66</v>
          </cell>
          <cell r="C1554">
            <v>2023</v>
          </cell>
          <cell r="D1554" t="str">
            <v>Q1</v>
          </cell>
        </row>
        <row r="1555">
          <cell r="A1555">
            <v>44970</v>
          </cell>
          <cell r="B1555">
            <v>85.48</v>
          </cell>
          <cell r="C1555">
            <v>2023</v>
          </cell>
          <cell r="D1555" t="str">
            <v>Q1</v>
          </cell>
        </row>
        <row r="1556">
          <cell r="A1556">
            <v>44971</v>
          </cell>
          <cell r="B1556">
            <v>84.575000000000003</v>
          </cell>
          <cell r="C1556">
            <v>2023</v>
          </cell>
          <cell r="D1556" t="str">
            <v>Q1</v>
          </cell>
        </row>
        <row r="1557">
          <cell r="A1557">
            <v>44972</v>
          </cell>
          <cell r="B1557">
            <v>83.534999999999997</v>
          </cell>
          <cell r="C1557">
            <v>2023</v>
          </cell>
          <cell r="D1557" t="str">
            <v>Q1</v>
          </cell>
        </row>
        <row r="1558">
          <cell r="A1558">
            <v>44973</v>
          </cell>
          <cell r="B1558">
            <v>84.194999999999993</v>
          </cell>
          <cell r="C1558">
            <v>2023</v>
          </cell>
          <cell r="D1558" t="str">
            <v>Q1</v>
          </cell>
        </row>
        <row r="1559">
          <cell r="A1559">
            <v>44974</v>
          </cell>
          <cell r="B1559">
            <v>82.7</v>
          </cell>
          <cell r="C1559">
            <v>2023</v>
          </cell>
          <cell r="D1559" t="str">
            <v>Q1</v>
          </cell>
        </row>
        <row r="1560">
          <cell r="A1560">
            <v>44977</v>
          </cell>
          <cell r="B1560">
            <v>82.355000000000004</v>
          </cell>
          <cell r="C1560">
            <v>2023</v>
          </cell>
          <cell r="D1560" t="str">
            <v>Q1</v>
          </cell>
        </row>
        <row r="1561">
          <cell r="A1561">
            <v>44978</v>
          </cell>
          <cell r="B1561">
            <v>81.905000000000001</v>
          </cell>
          <cell r="C1561">
            <v>2023</v>
          </cell>
          <cell r="D1561" t="str">
            <v>Q1</v>
          </cell>
        </row>
        <row r="1562">
          <cell r="A1562">
            <v>44979</v>
          </cell>
          <cell r="B1562">
            <v>80.349999999999994</v>
          </cell>
          <cell r="C1562">
            <v>2023</v>
          </cell>
          <cell r="D1562" t="str">
            <v>Q1</v>
          </cell>
        </row>
        <row r="1563">
          <cell r="A1563">
            <v>44980</v>
          </cell>
          <cell r="B1563">
            <v>80.905000000000001</v>
          </cell>
          <cell r="C1563">
            <v>2023</v>
          </cell>
          <cell r="D1563" t="str">
            <v>Q1</v>
          </cell>
        </row>
        <row r="1564">
          <cell r="A1564">
            <v>44981</v>
          </cell>
          <cell r="B1564">
            <v>81.819999999999993</v>
          </cell>
          <cell r="C1564">
            <v>2023</v>
          </cell>
          <cell r="D1564" t="str">
            <v>Q1</v>
          </cell>
        </row>
        <row r="1565">
          <cell r="A1565">
            <v>44984</v>
          </cell>
          <cell r="B1565">
            <v>81.44</v>
          </cell>
          <cell r="C1565">
            <v>2023</v>
          </cell>
          <cell r="D1565" t="str">
            <v>Q1</v>
          </cell>
        </row>
        <row r="1566">
          <cell r="A1566">
            <v>44985</v>
          </cell>
          <cell r="B1566">
            <v>83.15</v>
          </cell>
          <cell r="C1566">
            <v>2023</v>
          </cell>
          <cell r="D1566" t="str">
            <v>Q1</v>
          </cell>
        </row>
        <row r="1567">
          <cell r="A1567">
            <v>44986</v>
          </cell>
          <cell r="B1567">
            <v>83.454999999999998</v>
          </cell>
          <cell r="C1567">
            <v>2023</v>
          </cell>
          <cell r="D1567" t="str">
            <v>Q1</v>
          </cell>
        </row>
        <row r="1568">
          <cell r="A1568">
            <v>44987</v>
          </cell>
          <cell r="B1568">
            <v>85.05</v>
          </cell>
          <cell r="C1568">
            <v>2023</v>
          </cell>
          <cell r="D1568" t="str">
            <v>Q1</v>
          </cell>
        </row>
        <row r="1569">
          <cell r="A1569">
            <v>44988</v>
          </cell>
          <cell r="B1569">
            <v>85.114999999999995</v>
          </cell>
          <cell r="C1569">
            <v>2023</v>
          </cell>
          <cell r="D1569" t="str">
            <v>Q1</v>
          </cell>
        </row>
        <row r="1570">
          <cell r="A1570">
            <v>44991</v>
          </cell>
          <cell r="B1570">
            <v>85.78</v>
          </cell>
          <cell r="C1570">
            <v>2023</v>
          </cell>
          <cell r="D1570" t="str">
            <v>Q1</v>
          </cell>
        </row>
        <row r="1571">
          <cell r="A1571">
            <v>44992</v>
          </cell>
          <cell r="B1571">
            <v>83.9</v>
          </cell>
          <cell r="C1571">
            <v>2023</v>
          </cell>
          <cell r="D1571" t="str">
            <v>Q1</v>
          </cell>
        </row>
        <row r="1572">
          <cell r="A1572">
            <v>44993</v>
          </cell>
          <cell r="B1572">
            <v>82.37</v>
          </cell>
          <cell r="C1572">
            <v>2023</v>
          </cell>
          <cell r="D1572" t="str">
            <v>Q1</v>
          </cell>
        </row>
        <row r="1573">
          <cell r="A1573">
            <v>44994</v>
          </cell>
          <cell r="B1573">
            <v>83.084999999999994</v>
          </cell>
          <cell r="C1573">
            <v>2023</v>
          </cell>
          <cell r="D1573" t="str">
            <v>Q1</v>
          </cell>
        </row>
        <row r="1574">
          <cell r="A1574">
            <v>44995</v>
          </cell>
          <cell r="B1574">
            <v>82.234999999999999</v>
          </cell>
          <cell r="C1574">
            <v>2023</v>
          </cell>
          <cell r="D1574" t="str">
            <v>Q1</v>
          </cell>
        </row>
        <row r="1575">
          <cell r="A1575">
            <v>44998</v>
          </cell>
          <cell r="B1575">
            <v>81.02</v>
          </cell>
          <cell r="C1575">
            <v>2023</v>
          </cell>
          <cell r="D1575" t="str">
            <v>Q1</v>
          </cell>
        </row>
        <row r="1576">
          <cell r="A1576">
            <v>44999</v>
          </cell>
          <cell r="B1576">
            <v>78.72</v>
          </cell>
          <cell r="C1576">
            <v>2023</v>
          </cell>
          <cell r="D1576" t="str">
            <v>Q1</v>
          </cell>
        </row>
        <row r="1577">
          <cell r="A1577">
            <v>45000</v>
          </cell>
          <cell r="B1577">
            <v>71.69</v>
          </cell>
          <cell r="C1577">
            <v>2023</v>
          </cell>
          <cell r="D1577" t="str">
            <v>Q1</v>
          </cell>
        </row>
        <row r="1578">
          <cell r="A1578">
            <v>45001</v>
          </cell>
          <cell r="B1578">
            <v>73</v>
          </cell>
          <cell r="C1578">
            <v>2023</v>
          </cell>
          <cell r="D1578" t="str">
            <v>Q1</v>
          </cell>
        </row>
        <row r="1579">
          <cell r="A1579">
            <v>45002</v>
          </cell>
          <cell r="B1579">
            <v>72.069999999999993</v>
          </cell>
          <cell r="C1579">
            <v>2023</v>
          </cell>
          <cell r="D1579" t="str">
            <v>Q1</v>
          </cell>
        </row>
        <row r="1580">
          <cell r="A1580">
            <v>45005</v>
          </cell>
          <cell r="B1580">
            <v>71.489999999999995</v>
          </cell>
          <cell r="C1580">
            <v>2023</v>
          </cell>
          <cell r="D1580" t="str">
            <v>Q1</v>
          </cell>
        </row>
        <row r="1581">
          <cell r="A1581">
            <v>45006</v>
          </cell>
          <cell r="B1581">
            <v>73.64</v>
          </cell>
          <cell r="C1581">
            <v>2023</v>
          </cell>
          <cell r="D1581" t="str">
            <v>Q1</v>
          </cell>
        </row>
        <row r="1582">
          <cell r="A1582">
            <v>45007</v>
          </cell>
          <cell r="B1582">
            <v>75.135000000000005</v>
          </cell>
          <cell r="C1582">
            <v>2023</v>
          </cell>
          <cell r="D1582" t="str">
            <v>Q1</v>
          </cell>
        </row>
        <row r="1583">
          <cell r="A1583">
            <v>45008</v>
          </cell>
          <cell r="B1583">
            <v>75.61</v>
          </cell>
          <cell r="C1583">
            <v>2023</v>
          </cell>
          <cell r="D1583" t="str">
            <v>Q1</v>
          </cell>
        </row>
        <row r="1584">
          <cell r="A1584">
            <v>45009</v>
          </cell>
          <cell r="B1584">
            <v>73.25</v>
          </cell>
          <cell r="C1584">
            <v>2023</v>
          </cell>
          <cell r="D1584" t="str">
            <v>Q1</v>
          </cell>
        </row>
        <row r="1585">
          <cell r="A1585">
            <v>45012</v>
          </cell>
          <cell r="B1585">
            <v>75.305000000000007</v>
          </cell>
          <cell r="C1585">
            <v>2023</v>
          </cell>
          <cell r="D1585" t="str">
            <v>Q1</v>
          </cell>
        </row>
        <row r="1586">
          <cell r="A1586">
            <v>45013</v>
          </cell>
          <cell r="B1586">
            <v>77.894999999999996</v>
          </cell>
          <cell r="C1586">
            <v>2023</v>
          </cell>
          <cell r="D1586" t="str">
            <v>Q1</v>
          </cell>
        </row>
        <row r="1587">
          <cell r="A1587">
            <v>45014</v>
          </cell>
          <cell r="B1587">
            <v>78.064999999999998</v>
          </cell>
          <cell r="C1587">
            <v>2023</v>
          </cell>
          <cell r="D1587" t="str">
            <v>Q1</v>
          </cell>
        </row>
        <row r="1588">
          <cell r="A1588">
            <v>45015</v>
          </cell>
          <cell r="B1588">
            <v>78</v>
          </cell>
          <cell r="C1588">
            <v>2023</v>
          </cell>
          <cell r="D1588" t="str">
            <v>Q1</v>
          </cell>
        </row>
        <row r="1589">
          <cell r="A1589">
            <v>45016</v>
          </cell>
          <cell r="B1589">
            <v>79.045000000000002</v>
          </cell>
          <cell r="C1589">
            <v>2023</v>
          </cell>
          <cell r="D1589" t="str">
            <v>Q1</v>
          </cell>
        </row>
        <row r="1590">
          <cell r="A1590">
            <v>45019</v>
          </cell>
          <cell r="B1590">
            <v>85.36</v>
          </cell>
          <cell r="C1590">
            <v>2023</v>
          </cell>
          <cell r="D1590" t="str">
            <v>Q2</v>
          </cell>
        </row>
        <row r="1591">
          <cell r="A1591">
            <v>45020</v>
          </cell>
          <cell r="B1591">
            <v>85.31</v>
          </cell>
          <cell r="C1591">
            <v>2023</v>
          </cell>
          <cell r="D1591" t="str">
            <v>Q2</v>
          </cell>
        </row>
        <row r="1592">
          <cell r="A1592">
            <v>45021</v>
          </cell>
          <cell r="B1592">
            <v>85.55</v>
          </cell>
          <cell r="C1592">
            <v>2023</v>
          </cell>
          <cell r="D1592" t="str">
            <v>Q2</v>
          </cell>
        </row>
        <row r="1593">
          <cell r="A1593">
            <v>45022</v>
          </cell>
          <cell r="B1593">
            <v>86.15</v>
          </cell>
          <cell r="C1593">
            <v>2023</v>
          </cell>
          <cell r="D1593" t="str">
            <v>Q2</v>
          </cell>
        </row>
        <row r="1594">
          <cell r="A1594">
            <v>45027</v>
          </cell>
          <cell r="B1594">
            <v>86.08</v>
          </cell>
          <cell r="C1594">
            <v>2023</v>
          </cell>
          <cell r="D1594" t="str">
            <v>Q2</v>
          </cell>
        </row>
        <row r="1595">
          <cell r="A1595">
            <v>45028</v>
          </cell>
          <cell r="B1595">
            <v>88.18</v>
          </cell>
          <cell r="C1595">
            <v>2023</v>
          </cell>
          <cell r="D1595" t="str">
            <v>Q2</v>
          </cell>
        </row>
        <row r="1596">
          <cell r="A1596">
            <v>45029</v>
          </cell>
          <cell r="B1596">
            <v>87.875</v>
          </cell>
          <cell r="C1596">
            <v>2023</v>
          </cell>
          <cell r="D1596" t="str">
            <v>Q2</v>
          </cell>
        </row>
        <row r="1597">
          <cell r="A1597">
            <v>45030</v>
          </cell>
          <cell r="B1597">
            <v>87.724999999999994</v>
          </cell>
          <cell r="C1597">
            <v>2023</v>
          </cell>
          <cell r="D1597" t="str">
            <v>Q2</v>
          </cell>
        </row>
        <row r="1598">
          <cell r="A1598">
            <v>45033</v>
          </cell>
          <cell r="B1598">
            <v>86.48</v>
          </cell>
          <cell r="C1598">
            <v>2023</v>
          </cell>
          <cell r="D1598" t="str">
            <v>Q2</v>
          </cell>
        </row>
        <row r="1599">
          <cell r="A1599">
            <v>45034</v>
          </cell>
          <cell r="B1599">
            <v>86.575000000000003</v>
          </cell>
          <cell r="C1599">
            <v>2023</v>
          </cell>
          <cell r="D1599" t="str">
            <v>Q2</v>
          </cell>
        </row>
        <row r="1600">
          <cell r="A1600">
            <v>45035</v>
          </cell>
          <cell r="B1600">
            <v>85.5</v>
          </cell>
          <cell r="C1600">
            <v>2023</v>
          </cell>
          <cell r="D1600" t="str">
            <v>Q2</v>
          </cell>
        </row>
        <row r="1601">
          <cell r="A1601">
            <v>45036</v>
          </cell>
          <cell r="B1601">
            <v>83.11</v>
          </cell>
          <cell r="C1601">
            <v>2023</v>
          </cell>
          <cell r="D1601" t="str">
            <v>Q2</v>
          </cell>
        </row>
        <row r="1602">
          <cell r="A1602">
            <v>45037</v>
          </cell>
          <cell r="B1602">
            <v>83.364999999999995</v>
          </cell>
          <cell r="C1602">
            <v>2023</v>
          </cell>
          <cell r="D1602" t="str">
            <v>Q2</v>
          </cell>
        </row>
        <row r="1603">
          <cell r="A1603">
            <v>45040</v>
          </cell>
          <cell r="B1603">
            <v>84.254999999999995</v>
          </cell>
          <cell r="C1603">
            <v>2023</v>
          </cell>
          <cell r="D1603" t="str">
            <v>Q2</v>
          </cell>
        </row>
        <row r="1604">
          <cell r="A1604">
            <v>45041</v>
          </cell>
          <cell r="B1604">
            <v>82.465000000000003</v>
          </cell>
          <cell r="C1604">
            <v>2023</v>
          </cell>
          <cell r="D1604" t="str">
            <v>Q2</v>
          </cell>
        </row>
        <row r="1605">
          <cell r="A1605">
            <v>45042</v>
          </cell>
          <cell r="B1605">
            <v>82.21</v>
          </cell>
          <cell r="C1605">
            <v>2023</v>
          </cell>
          <cell r="D1605" t="str">
            <v>Q2</v>
          </cell>
        </row>
        <row r="1606">
          <cell r="A1606">
            <v>45043</v>
          </cell>
          <cell r="B1606">
            <v>80.025000000000006</v>
          </cell>
          <cell r="C1606">
            <v>2023</v>
          </cell>
          <cell r="D1606" t="str">
            <v>Q2</v>
          </cell>
        </row>
        <row r="1607">
          <cell r="A1607">
            <v>45044</v>
          </cell>
          <cell r="B1607">
            <v>82.144999999999996</v>
          </cell>
          <cell r="C1607">
            <v>2023</v>
          </cell>
          <cell r="D1607" t="str">
            <v>Q2</v>
          </cell>
        </row>
        <row r="1608">
          <cell r="A1608">
            <v>45048</v>
          </cell>
          <cell r="B1608">
            <v>77.180000000000007</v>
          </cell>
          <cell r="C1608">
            <v>2023</v>
          </cell>
          <cell r="D1608" t="str">
            <v>Q2</v>
          </cell>
        </row>
        <row r="1609">
          <cell r="A1609">
            <v>45049</v>
          </cell>
          <cell r="B1609">
            <v>72.635000000000005</v>
          </cell>
          <cell r="C1609">
            <v>2023</v>
          </cell>
          <cell r="D1609" t="str">
            <v>Q2</v>
          </cell>
        </row>
        <row r="1610">
          <cell r="A1610">
            <v>45050</v>
          </cell>
          <cell r="B1610">
            <v>73.185000000000002</v>
          </cell>
          <cell r="C1610">
            <v>2023</v>
          </cell>
          <cell r="D1610" t="str">
            <v>Q2</v>
          </cell>
        </row>
        <row r="1611">
          <cell r="A1611">
            <v>45051</v>
          </cell>
          <cell r="B1611">
            <v>75.760000000000005</v>
          </cell>
          <cell r="C1611">
            <v>2023</v>
          </cell>
          <cell r="D1611" t="str">
            <v>Q2</v>
          </cell>
        </row>
        <row r="1612">
          <cell r="A1612">
            <v>45055</v>
          </cell>
          <cell r="B1612">
            <v>75.680000000000007</v>
          </cell>
          <cell r="C1612">
            <v>2023</v>
          </cell>
          <cell r="D1612" t="str">
            <v>Q2</v>
          </cell>
        </row>
        <row r="1613">
          <cell r="A1613">
            <v>45056</v>
          </cell>
          <cell r="B1613">
            <v>77.34</v>
          </cell>
          <cell r="C1613">
            <v>2023</v>
          </cell>
          <cell r="D1613" t="str">
            <v>Q2</v>
          </cell>
        </row>
        <row r="1614">
          <cell r="A1614">
            <v>45057</v>
          </cell>
          <cell r="B1614">
            <v>76.194999999999993</v>
          </cell>
          <cell r="C1614">
            <v>2023</v>
          </cell>
          <cell r="D1614" t="str">
            <v>Q2</v>
          </cell>
        </row>
        <row r="1615">
          <cell r="A1615">
            <v>45058</v>
          </cell>
          <cell r="B1615">
            <v>75.254999999999995</v>
          </cell>
          <cell r="C1615">
            <v>2023</v>
          </cell>
          <cell r="D1615" t="str">
            <v>Q2</v>
          </cell>
        </row>
        <row r="1616">
          <cell r="A1616">
            <v>45061</v>
          </cell>
          <cell r="B1616">
            <v>75.459999999999994</v>
          </cell>
          <cell r="C1616">
            <v>2023</v>
          </cell>
          <cell r="D1616" t="str">
            <v>Q2</v>
          </cell>
        </row>
        <row r="1617">
          <cell r="A1617">
            <v>45062</v>
          </cell>
          <cell r="B1617">
            <v>75.334999999999994</v>
          </cell>
          <cell r="C1617">
            <v>2023</v>
          </cell>
          <cell r="D1617" t="str">
            <v>Q2</v>
          </cell>
        </row>
        <row r="1618">
          <cell r="A1618">
            <v>45063</v>
          </cell>
          <cell r="B1618">
            <v>76.325000000000003</v>
          </cell>
          <cell r="C1618">
            <v>2023</v>
          </cell>
          <cell r="D1618" t="str">
            <v>Q2</v>
          </cell>
        </row>
        <row r="1619">
          <cell r="A1619">
            <v>45064</v>
          </cell>
          <cell r="B1619">
            <v>75.954999999999998</v>
          </cell>
          <cell r="C1619">
            <v>2023</v>
          </cell>
          <cell r="D1619" t="str">
            <v>Q2</v>
          </cell>
        </row>
        <row r="1620">
          <cell r="A1620">
            <v>45065</v>
          </cell>
          <cell r="B1620">
            <v>75.95</v>
          </cell>
          <cell r="C1620">
            <v>2023</v>
          </cell>
          <cell r="D1620" t="str">
            <v>Q2</v>
          </cell>
        </row>
        <row r="1621">
          <cell r="A1621">
            <v>45068</v>
          </cell>
          <cell r="B1621">
            <v>75.930000000000007</v>
          </cell>
          <cell r="C1621">
            <v>2023</v>
          </cell>
          <cell r="D1621" t="str">
            <v>Q2</v>
          </cell>
        </row>
        <row r="1622">
          <cell r="A1622">
            <v>45069</v>
          </cell>
          <cell r="B1622">
            <v>76.954999999999998</v>
          </cell>
          <cell r="C1622">
            <v>2023</v>
          </cell>
          <cell r="D1622" t="str">
            <v>Q2</v>
          </cell>
        </row>
        <row r="1623">
          <cell r="A1623">
            <v>45070</v>
          </cell>
          <cell r="B1623">
            <v>77.635000000000005</v>
          </cell>
          <cell r="C1623">
            <v>2023</v>
          </cell>
          <cell r="D1623" t="str">
            <v>Q2</v>
          </cell>
        </row>
        <row r="1624">
          <cell r="A1624">
            <v>45071</v>
          </cell>
          <cell r="B1624">
            <v>75.625</v>
          </cell>
          <cell r="C1624">
            <v>2023</v>
          </cell>
          <cell r="D1624" t="str">
            <v>Q2</v>
          </cell>
        </row>
        <row r="1625">
          <cell r="A1625">
            <v>45072</v>
          </cell>
          <cell r="B1625">
            <v>76.284999999999997</v>
          </cell>
          <cell r="C1625">
            <v>2023</v>
          </cell>
          <cell r="D1625" t="str">
            <v>Q2</v>
          </cell>
        </row>
        <row r="1626">
          <cell r="A1626">
            <v>45076</v>
          </cell>
          <cell r="B1626">
            <v>73.995000000000005</v>
          </cell>
          <cell r="C1626">
            <v>2023</v>
          </cell>
          <cell r="D1626" t="str">
            <v>Q2</v>
          </cell>
        </row>
        <row r="1627">
          <cell r="A1627">
            <v>45077</v>
          </cell>
          <cell r="B1627">
            <v>72.844999999999999</v>
          </cell>
          <cell r="C1627">
            <v>2023</v>
          </cell>
          <cell r="D1627" t="str">
            <v>Q2</v>
          </cell>
        </row>
        <row r="1628">
          <cell r="A1628">
            <v>45078</v>
          </cell>
          <cell r="B1628">
            <v>74.459999999999994</v>
          </cell>
          <cell r="C1628">
            <v>2023</v>
          </cell>
          <cell r="D1628" t="str">
            <v>Q2</v>
          </cell>
        </row>
        <row r="1629">
          <cell r="A1629">
            <v>45079</v>
          </cell>
          <cell r="B1629">
            <v>75.775000000000006</v>
          </cell>
          <cell r="C1629">
            <v>2023</v>
          </cell>
          <cell r="D1629" t="str">
            <v>Q2</v>
          </cell>
        </row>
        <row r="1630">
          <cell r="A1630">
            <v>45082</v>
          </cell>
          <cell r="B1630">
            <v>77.194999999999993</v>
          </cell>
          <cell r="C1630">
            <v>2023</v>
          </cell>
          <cell r="D1630" t="str">
            <v>Q2</v>
          </cell>
        </row>
        <row r="1631">
          <cell r="A1631">
            <v>45083</v>
          </cell>
          <cell r="B1631">
            <v>76.22</v>
          </cell>
          <cell r="C1631">
            <v>2023</v>
          </cell>
          <cell r="D1631" t="str">
            <v>Q2</v>
          </cell>
        </row>
        <row r="1632">
          <cell r="A1632">
            <v>45084</v>
          </cell>
          <cell r="B1632">
            <v>76.584999999999994</v>
          </cell>
          <cell r="C1632">
            <v>2023</v>
          </cell>
          <cell r="D1632" t="str">
            <v>Q2</v>
          </cell>
        </row>
        <row r="1633">
          <cell r="A1633">
            <v>45085</v>
          </cell>
          <cell r="B1633">
            <v>75.674999999999997</v>
          </cell>
          <cell r="C1633">
            <v>2023</v>
          </cell>
          <cell r="D1633" t="str">
            <v>Q2</v>
          </cell>
        </row>
        <row r="1634">
          <cell r="A1634">
            <v>45086</v>
          </cell>
          <cell r="B1634">
            <v>75.674999999999997</v>
          </cell>
          <cell r="C1634">
            <v>2023</v>
          </cell>
          <cell r="D1634" t="str">
            <v>Q2</v>
          </cell>
        </row>
        <row r="1635">
          <cell r="A1635">
            <v>45089</v>
          </cell>
          <cell r="B1635">
            <v>72.465000000000003</v>
          </cell>
          <cell r="C1635">
            <v>2023</v>
          </cell>
          <cell r="D1635" t="str">
            <v>Q2</v>
          </cell>
        </row>
        <row r="1636">
          <cell r="A1636">
            <v>45090</v>
          </cell>
          <cell r="B1636">
            <v>74.015000000000001</v>
          </cell>
          <cell r="C1636">
            <v>2023</v>
          </cell>
          <cell r="D1636" t="str">
            <v>Q2</v>
          </cell>
        </row>
        <row r="1637">
          <cell r="A1637">
            <v>45091</v>
          </cell>
          <cell r="B1637">
            <v>73.924999999999997</v>
          </cell>
          <cell r="C1637">
            <v>2023</v>
          </cell>
          <cell r="D1637" t="str">
            <v>Q2</v>
          </cell>
        </row>
        <row r="1638">
          <cell r="A1638">
            <v>45092</v>
          </cell>
          <cell r="B1638">
            <v>74.540000000000006</v>
          </cell>
          <cell r="C1638">
            <v>2023</v>
          </cell>
          <cell r="D1638" t="str">
            <v>Q2</v>
          </cell>
        </row>
        <row r="1639">
          <cell r="A1639">
            <v>45093</v>
          </cell>
          <cell r="B1639">
            <v>75.45</v>
          </cell>
          <cell r="C1639">
            <v>2023</v>
          </cell>
          <cell r="D1639" t="str">
            <v>Q2</v>
          </cell>
        </row>
        <row r="1640">
          <cell r="A1640">
            <v>45096</v>
          </cell>
          <cell r="B1640">
            <v>75.489999999999995</v>
          </cell>
          <cell r="C1640">
            <v>2023</v>
          </cell>
          <cell r="D1640" t="str">
            <v>Q2</v>
          </cell>
        </row>
        <row r="1641">
          <cell r="A1641">
            <v>45097</v>
          </cell>
          <cell r="B1641">
            <v>74.47</v>
          </cell>
          <cell r="C1641">
            <v>2023</v>
          </cell>
          <cell r="D1641" t="str">
            <v>Q2</v>
          </cell>
        </row>
        <row r="1642">
          <cell r="A1642">
            <v>45098</v>
          </cell>
          <cell r="B1642">
            <v>76.424999999999997</v>
          </cell>
          <cell r="C1642">
            <v>2023</v>
          </cell>
          <cell r="D1642" t="str">
            <v>Q2</v>
          </cell>
        </row>
        <row r="1643">
          <cell r="A1643">
            <v>45099</v>
          </cell>
          <cell r="B1643">
            <v>73.805000000000007</v>
          </cell>
          <cell r="C1643">
            <v>2023</v>
          </cell>
          <cell r="D1643" t="str">
            <v>Q2</v>
          </cell>
        </row>
        <row r="1644">
          <cell r="A1644">
            <v>45100</v>
          </cell>
          <cell r="B1644">
            <v>73.174999999999997</v>
          </cell>
          <cell r="C1644">
            <v>2023</v>
          </cell>
          <cell r="D1644" t="str">
            <v>Q2</v>
          </cell>
        </row>
        <row r="1645">
          <cell r="A1645">
            <v>45103</v>
          </cell>
          <cell r="B1645">
            <v>73.489999999999995</v>
          </cell>
          <cell r="C1645">
            <v>2023</v>
          </cell>
          <cell r="D1645" t="str">
            <v>Q2</v>
          </cell>
        </row>
        <row r="1646">
          <cell r="A1646">
            <v>45104</v>
          </cell>
          <cell r="B1646">
            <v>72.754999999999995</v>
          </cell>
          <cell r="C1646">
            <v>2023</v>
          </cell>
          <cell r="D1646" t="str">
            <v>Q2</v>
          </cell>
        </row>
        <row r="1647">
          <cell r="A1647">
            <v>45105</v>
          </cell>
          <cell r="B1647">
            <v>73.260000000000005</v>
          </cell>
          <cell r="C1647">
            <v>2023</v>
          </cell>
          <cell r="D1647" t="str">
            <v>Q2</v>
          </cell>
        </row>
        <row r="1648">
          <cell r="A1648">
            <v>45106</v>
          </cell>
          <cell r="B1648">
            <v>73.075000000000003</v>
          </cell>
          <cell r="C1648">
            <v>2023</v>
          </cell>
          <cell r="D1648" t="str">
            <v>Q2</v>
          </cell>
        </row>
        <row r="1649">
          <cell r="A1649">
            <v>45107</v>
          </cell>
          <cell r="B1649">
            <v>74.97</v>
          </cell>
          <cell r="C1649">
            <v>2023</v>
          </cell>
          <cell r="D1649" t="str">
            <v>Q2</v>
          </cell>
        </row>
        <row r="1650">
          <cell r="A1650">
            <v>45110</v>
          </cell>
          <cell r="B1650">
            <v>75.465000000000003</v>
          </cell>
          <cell r="C1650">
            <v>2023</v>
          </cell>
          <cell r="D1650" t="str">
            <v>Q3</v>
          </cell>
        </row>
        <row r="1651">
          <cell r="A1651">
            <v>45111</v>
          </cell>
          <cell r="B1651">
            <v>75.86</v>
          </cell>
          <cell r="C1651">
            <v>2023</v>
          </cell>
          <cell r="D1651" t="str">
            <v>Q3</v>
          </cell>
        </row>
        <row r="1652">
          <cell r="A1652">
            <v>45112</v>
          </cell>
          <cell r="B1652">
            <v>76.67</v>
          </cell>
          <cell r="C1652">
            <v>2023</v>
          </cell>
          <cell r="D1652" t="str">
            <v>Q3</v>
          </cell>
        </row>
        <row r="1653">
          <cell r="A1653">
            <v>45113</v>
          </cell>
          <cell r="B1653">
            <v>75.465000000000003</v>
          </cell>
          <cell r="C1653">
            <v>2023</v>
          </cell>
          <cell r="D1653" t="str">
            <v>Q3</v>
          </cell>
        </row>
        <row r="1654">
          <cell r="A1654">
            <v>45114</v>
          </cell>
          <cell r="B1654">
            <v>77.905000000000001</v>
          </cell>
          <cell r="C1654">
            <v>2023</v>
          </cell>
          <cell r="D1654" t="str">
            <v>Q3</v>
          </cell>
        </row>
        <row r="1655">
          <cell r="A1655">
            <v>45117</v>
          </cell>
          <cell r="B1655">
            <v>78.734999999999999</v>
          </cell>
          <cell r="C1655">
            <v>2023</v>
          </cell>
          <cell r="D1655" t="str">
            <v>Q3</v>
          </cell>
        </row>
        <row r="1656">
          <cell r="A1656">
            <v>45118</v>
          </cell>
          <cell r="B1656">
            <v>79.444999999999993</v>
          </cell>
          <cell r="C1656">
            <v>2023</v>
          </cell>
          <cell r="D1656" t="str">
            <v>Q3</v>
          </cell>
        </row>
        <row r="1657">
          <cell r="A1657">
            <v>45119</v>
          </cell>
          <cell r="B1657">
            <v>80.314999999999998</v>
          </cell>
          <cell r="C1657">
            <v>2023</v>
          </cell>
          <cell r="D1657" t="str">
            <v>Q3</v>
          </cell>
        </row>
        <row r="1658">
          <cell r="A1658">
            <v>45120</v>
          </cell>
          <cell r="B1658">
            <v>80.424999999999997</v>
          </cell>
          <cell r="C1658">
            <v>2023</v>
          </cell>
          <cell r="D1658" t="str">
            <v>Q3</v>
          </cell>
        </row>
        <row r="1659">
          <cell r="A1659">
            <v>45121</v>
          </cell>
          <cell r="B1659">
            <v>79.894999999999996</v>
          </cell>
          <cell r="C1659">
            <v>2023</v>
          </cell>
          <cell r="D1659" t="str">
            <v>Q3</v>
          </cell>
        </row>
        <row r="1660">
          <cell r="A1660">
            <v>45124</v>
          </cell>
          <cell r="B1660">
            <v>78.7</v>
          </cell>
          <cell r="C1660">
            <v>2023</v>
          </cell>
          <cell r="D1660" t="str">
            <v>Q3</v>
          </cell>
        </row>
        <row r="1661">
          <cell r="A1661">
            <v>45125</v>
          </cell>
          <cell r="B1661">
            <v>79.334999999999994</v>
          </cell>
          <cell r="C1661">
            <v>2023</v>
          </cell>
          <cell r="D1661" t="str">
            <v>Q3</v>
          </cell>
        </row>
        <row r="1662">
          <cell r="A1662">
            <v>45126</v>
          </cell>
          <cell r="B1662">
            <v>80.144999999999996</v>
          </cell>
          <cell r="C1662">
            <v>2023</v>
          </cell>
          <cell r="D1662" t="str">
            <v>Q3</v>
          </cell>
        </row>
        <row r="1663">
          <cell r="A1663">
            <v>45127</v>
          </cell>
          <cell r="B1663">
            <v>79.05</v>
          </cell>
          <cell r="C1663">
            <v>2023</v>
          </cell>
          <cell r="D1663" t="str">
            <v>Q3</v>
          </cell>
        </row>
        <row r="1664">
          <cell r="A1664">
            <v>45128</v>
          </cell>
          <cell r="B1664">
            <v>80.27</v>
          </cell>
          <cell r="C1664">
            <v>2023</v>
          </cell>
          <cell r="D1664" t="str">
            <v>Q3</v>
          </cell>
        </row>
        <row r="1665">
          <cell r="A1665">
            <v>45131</v>
          </cell>
          <cell r="B1665">
            <v>82.594999999999999</v>
          </cell>
          <cell r="C1665">
            <v>2023</v>
          </cell>
          <cell r="D1665" t="str">
            <v>Q3</v>
          </cell>
        </row>
        <row r="1666">
          <cell r="A1666">
            <v>45132</v>
          </cell>
          <cell r="B1666">
            <v>82.984999999999999</v>
          </cell>
          <cell r="C1666">
            <v>2023</v>
          </cell>
          <cell r="D1666" t="str">
            <v>Q3</v>
          </cell>
        </row>
        <row r="1667">
          <cell r="A1667">
            <v>45133</v>
          </cell>
          <cell r="B1667">
            <v>83.76</v>
          </cell>
          <cell r="C1667">
            <v>2023</v>
          </cell>
          <cell r="D1667" t="str">
            <v>Q3</v>
          </cell>
        </row>
        <row r="1668">
          <cell r="A1668">
            <v>45134</v>
          </cell>
          <cell r="B1668">
            <v>83.864999999999995</v>
          </cell>
          <cell r="C1668">
            <v>2023</v>
          </cell>
          <cell r="D1668" t="str">
            <v>Q3</v>
          </cell>
        </row>
        <row r="1669">
          <cell r="A1669">
            <v>45135</v>
          </cell>
          <cell r="B1669">
            <v>84.105000000000004</v>
          </cell>
          <cell r="C1669">
            <v>2023</v>
          </cell>
          <cell r="D1669" t="str">
            <v>Q3</v>
          </cell>
        </row>
        <row r="1670">
          <cell r="A1670">
            <v>45138</v>
          </cell>
          <cell r="B1670">
            <v>85.64</v>
          </cell>
          <cell r="C1670">
            <v>2023</v>
          </cell>
          <cell r="D1670" t="str">
            <v>Q3</v>
          </cell>
        </row>
        <row r="1671">
          <cell r="A1671">
            <v>45139</v>
          </cell>
          <cell r="B1671">
            <v>85.35</v>
          </cell>
          <cell r="C1671">
            <v>2023</v>
          </cell>
          <cell r="D1671" t="str">
            <v>Q3</v>
          </cell>
        </row>
        <row r="1672">
          <cell r="A1672">
            <v>45140</v>
          </cell>
          <cell r="B1672">
            <v>84.07</v>
          </cell>
          <cell r="C1672">
            <v>2023</v>
          </cell>
          <cell r="D1672" t="str">
            <v>Q3</v>
          </cell>
        </row>
        <row r="1673">
          <cell r="A1673">
            <v>45141</v>
          </cell>
          <cell r="B1673">
            <v>85.69</v>
          </cell>
          <cell r="C1673">
            <v>2023</v>
          </cell>
          <cell r="D1673" t="str">
            <v>Q3</v>
          </cell>
        </row>
        <row r="1674">
          <cell r="A1674">
            <v>45142</v>
          </cell>
          <cell r="B1674">
            <v>86.805000000000007</v>
          </cell>
          <cell r="C1674">
            <v>2023</v>
          </cell>
          <cell r="D1674" t="str">
            <v>Q3</v>
          </cell>
        </row>
        <row r="1675">
          <cell r="A1675">
            <v>45145</v>
          </cell>
          <cell r="B1675">
            <v>86.14</v>
          </cell>
          <cell r="C1675">
            <v>2023</v>
          </cell>
          <cell r="D1675" t="str">
            <v>Q3</v>
          </cell>
        </row>
        <row r="1676">
          <cell r="A1676">
            <v>45146</v>
          </cell>
          <cell r="B1676">
            <v>86.7</v>
          </cell>
          <cell r="C1676">
            <v>2023</v>
          </cell>
          <cell r="D1676" t="str">
            <v>Q3</v>
          </cell>
        </row>
        <row r="1677">
          <cell r="A1677">
            <v>45147</v>
          </cell>
          <cell r="B1677">
            <v>88.42</v>
          </cell>
          <cell r="C1677">
            <v>2023</v>
          </cell>
          <cell r="D1677" t="str">
            <v>Q3</v>
          </cell>
        </row>
        <row r="1678">
          <cell r="A1678">
            <v>45148</v>
          </cell>
          <cell r="B1678">
            <v>88.22</v>
          </cell>
          <cell r="C1678">
            <v>2023</v>
          </cell>
          <cell r="D1678" t="str">
            <v>Q3</v>
          </cell>
        </row>
        <row r="1679">
          <cell r="A1679">
            <v>45149</v>
          </cell>
          <cell r="B1679">
            <v>88.33</v>
          </cell>
          <cell r="C1679">
            <v>2023</v>
          </cell>
          <cell r="D1679" t="str">
            <v>Q3</v>
          </cell>
        </row>
        <row r="1680">
          <cell r="A1680">
            <v>45152</v>
          </cell>
          <cell r="B1680">
            <v>87.665000000000006</v>
          </cell>
          <cell r="C1680">
            <v>2023</v>
          </cell>
          <cell r="D1680" t="str">
            <v>Q3</v>
          </cell>
        </row>
        <row r="1681">
          <cell r="A1681">
            <v>45153</v>
          </cell>
          <cell r="B1681">
            <v>86.144999999999996</v>
          </cell>
          <cell r="C1681">
            <v>2023</v>
          </cell>
          <cell r="D1681" t="str">
            <v>Q3</v>
          </cell>
        </row>
        <row r="1682">
          <cell r="A1682">
            <v>45154</v>
          </cell>
          <cell r="B1682">
            <v>86.04</v>
          </cell>
          <cell r="C1682">
            <v>2023</v>
          </cell>
          <cell r="D1682" t="str">
            <v>Q3</v>
          </cell>
        </row>
        <row r="1683">
          <cell r="A1683">
            <v>45155</v>
          </cell>
          <cell r="B1683">
            <v>85.644999999999996</v>
          </cell>
          <cell r="C1683">
            <v>2023</v>
          </cell>
          <cell r="D1683" t="str">
            <v>Q3</v>
          </cell>
        </row>
        <row r="1684">
          <cell r="A1684">
            <v>45156</v>
          </cell>
          <cell r="B1684">
            <v>85.57</v>
          </cell>
          <cell r="C1684">
            <v>2023</v>
          </cell>
          <cell r="D1684" t="str">
            <v>Q3</v>
          </cell>
        </row>
        <row r="1685">
          <cell r="A1685">
            <v>45159</v>
          </cell>
          <cell r="B1685">
            <v>86.35</v>
          </cell>
          <cell r="C1685">
            <v>2023</v>
          </cell>
          <cell r="D1685" t="str">
            <v>Q3</v>
          </cell>
        </row>
        <row r="1686">
          <cell r="A1686">
            <v>45160</v>
          </cell>
          <cell r="B1686">
            <v>85.37</v>
          </cell>
          <cell r="C1686">
            <v>2023</v>
          </cell>
          <cell r="D1686" t="str">
            <v>Q3</v>
          </cell>
        </row>
        <row r="1687">
          <cell r="A1687">
            <v>45161</v>
          </cell>
          <cell r="B1687">
            <v>84.084999999999994</v>
          </cell>
          <cell r="C1687">
            <v>2023</v>
          </cell>
          <cell r="D1687" t="str">
            <v>Q3</v>
          </cell>
        </row>
        <row r="1688">
          <cell r="A1688">
            <v>45162</v>
          </cell>
          <cell r="B1688">
            <v>83.924999999999997</v>
          </cell>
          <cell r="C1688">
            <v>2023</v>
          </cell>
          <cell r="D1688" t="str">
            <v>Q3</v>
          </cell>
        </row>
        <row r="1689">
          <cell r="A1689">
            <v>45163</v>
          </cell>
          <cell r="B1689">
            <v>85.19</v>
          </cell>
          <cell r="C1689">
            <v>2023</v>
          </cell>
          <cell r="D1689" t="str">
            <v>Q3</v>
          </cell>
        </row>
        <row r="1690">
          <cell r="A1690">
            <v>45167</v>
          </cell>
          <cell r="B1690">
            <v>86.16</v>
          </cell>
          <cell r="C1690">
            <v>2023</v>
          </cell>
          <cell r="D1690" t="str">
            <v>Q3</v>
          </cell>
        </row>
        <row r="1691">
          <cell r="A1691">
            <v>45168</v>
          </cell>
          <cell r="B1691">
            <v>86.3</v>
          </cell>
          <cell r="C1691">
            <v>2023</v>
          </cell>
          <cell r="D1691" t="str">
            <v>Q3</v>
          </cell>
        </row>
        <row r="1692">
          <cell r="A1692">
            <v>45169</v>
          </cell>
          <cell r="B1692">
            <v>87.41</v>
          </cell>
          <cell r="C1692">
            <v>2023</v>
          </cell>
          <cell r="D1692" t="str">
            <v>Q3</v>
          </cell>
        </row>
        <row r="1693">
          <cell r="A1693">
            <v>45170</v>
          </cell>
          <cell r="B1693">
            <v>89.484999999999999</v>
          </cell>
          <cell r="C1693">
            <v>2023</v>
          </cell>
          <cell r="D1693" t="str">
            <v>Q3</v>
          </cell>
        </row>
        <row r="1694">
          <cell r="A1694">
            <v>45173</v>
          </cell>
          <cell r="B1694">
            <v>90.575000000000003</v>
          </cell>
          <cell r="C1694">
            <v>2023</v>
          </cell>
          <cell r="D1694" t="str">
            <v>Q3</v>
          </cell>
        </row>
        <row r="1695">
          <cell r="A1695">
            <v>45174</v>
          </cell>
          <cell r="B1695">
            <v>91.87</v>
          </cell>
          <cell r="C1695">
            <v>2023</v>
          </cell>
          <cell r="D1695" t="str">
            <v>Q3</v>
          </cell>
        </row>
        <row r="1696">
          <cell r="A1696">
            <v>45175</v>
          </cell>
          <cell r="B1696">
            <v>91.314999999999998</v>
          </cell>
          <cell r="C1696">
            <v>2023</v>
          </cell>
          <cell r="D1696" t="str">
            <v>Q3</v>
          </cell>
        </row>
        <row r="1697">
          <cell r="A1697">
            <v>45176</v>
          </cell>
          <cell r="B1697">
            <v>91.915000000000006</v>
          </cell>
          <cell r="C1697">
            <v>2023</v>
          </cell>
          <cell r="D1697" t="str">
            <v>Q3</v>
          </cell>
        </row>
        <row r="1698">
          <cell r="A1698">
            <v>45177</v>
          </cell>
          <cell r="B1698">
            <v>92.43</v>
          </cell>
          <cell r="C1698">
            <v>2023</v>
          </cell>
          <cell r="D1698" t="str">
            <v>Q3</v>
          </cell>
        </row>
        <row r="1699">
          <cell r="A1699">
            <v>45180</v>
          </cell>
          <cell r="B1699">
            <v>92.064999999999998</v>
          </cell>
          <cell r="C1699">
            <v>2023</v>
          </cell>
          <cell r="D1699" t="str">
            <v>Q3</v>
          </cell>
        </row>
        <row r="1700">
          <cell r="A1700">
            <v>45181</v>
          </cell>
          <cell r="B1700">
            <v>93.6</v>
          </cell>
          <cell r="C1700">
            <v>2023</v>
          </cell>
          <cell r="D1700" t="str">
            <v>Q3</v>
          </cell>
        </row>
        <row r="1701">
          <cell r="A1701">
            <v>45182</v>
          </cell>
          <cell r="B1701">
            <v>93.394999999999996</v>
          </cell>
          <cell r="C1701">
            <v>2023</v>
          </cell>
          <cell r="D1701" t="str">
            <v>Q3</v>
          </cell>
        </row>
        <row r="1702">
          <cell r="A1702">
            <v>45183</v>
          </cell>
          <cell r="B1702">
            <v>95.045000000000002</v>
          </cell>
          <cell r="C1702">
            <v>2023</v>
          </cell>
          <cell r="D1702" t="str">
            <v>Q3</v>
          </cell>
        </row>
        <row r="1703">
          <cell r="A1703">
            <v>45184</v>
          </cell>
          <cell r="B1703">
            <v>95.094999999999999</v>
          </cell>
          <cell r="C1703">
            <v>2023</v>
          </cell>
          <cell r="D1703" t="str">
            <v>Q3</v>
          </cell>
        </row>
        <row r="1704">
          <cell r="A1704">
            <v>45187</v>
          </cell>
          <cell r="B1704">
            <v>96.204999999999998</v>
          </cell>
          <cell r="C1704">
            <v>2023</v>
          </cell>
          <cell r="D1704" t="str">
            <v>Q3</v>
          </cell>
        </row>
        <row r="1705">
          <cell r="A1705">
            <v>45188</v>
          </cell>
          <cell r="B1705">
            <v>96.784999999999997</v>
          </cell>
          <cell r="C1705">
            <v>2023</v>
          </cell>
          <cell r="D1705" t="str">
            <v>Q3</v>
          </cell>
        </row>
        <row r="1706">
          <cell r="A1706">
            <v>45189</v>
          </cell>
          <cell r="B1706">
            <v>95.67</v>
          </cell>
          <cell r="C1706">
            <v>2023</v>
          </cell>
          <cell r="D1706" t="str">
            <v>Q3</v>
          </cell>
        </row>
        <row r="1707">
          <cell r="A1707">
            <v>45190</v>
          </cell>
          <cell r="B1707">
            <v>94.85</v>
          </cell>
          <cell r="C1707">
            <v>2023</v>
          </cell>
          <cell r="D1707" t="str">
            <v>Q3</v>
          </cell>
        </row>
        <row r="1708">
          <cell r="A1708">
            <v>45191</v>
          </cell>
          <cell r="B1708">
            <v>94.355000000000004</v>
          </cell>
          <cell r="C1708">
            <v>2023</v>
          </cell>
          <cell r="D1708" t="str">
            <v>Q3</v>
          </cell>
        </row>
        <row r="1709">
          <cell r="A1709">
            <v>45194</v>
          </cell>
          <cell r="B1709">
            <v>93.364999999999995</v>
          </cell>
          <cell r="C1709">
            <v>2023</v>
          </cell>
          <cell r="D1709" t="str">
            <v>Q3</v>
          </cell>
        </row>
        <row r="1710">
          <cell r="A1710">
            <v>45195</v>
          </cell>
          <cell r="B1710">
            <v>94.08</v>
          </cell>
          <cell r="C1710">
            <v>2023</v>
          </cell>
          <cell r="D1710" t="str">
            <v>Q3</v>
          </cell>
        </row>
        <row r="1711">
          <cell r="A1711">
            <v>45196</v>
          </cell>
          <cell r="B1711">
            <v>97.79</v>
          </cell>
          <cell r="C1711">
            <v>2023</v>
          </cell>
          <cell r="D1711" t="str">
            <v>Q3</v>
          </cell>
        </row>
        <row r="1712">
          <cell r="A1712">
            <v>45197</v>
          </cell>
          <cell r="B1712">
            <v>97.814999999999998</v>
          </cell>
          <cell r="C1712">
            <v>2023</v>
          </cell>
          <cell r="D1712" t="str">
            <v>Q3</v>
          </cell>
        </row>
        <row r="1713">
          <cell r="A1713">
            <v>45198</v>
          </cell>
          <cell r="B1713">
            <v>96.3</v>
          </cell>
          <cell r="C1713">
            <v>2023</v>
          </cell>
          <cell r="D1713" t="str">
            <v>Q3</v>
          </cell>
        </row>
        <row r="1714">
          <cell r="A1714">
            <v>45201</v>
          </cell>
          <cell r="B1714">
            <v>94.635000000000005</v>
          </cell>
          <cell r="C1714">
            <v>2023</v>
          </cell>
          <cell r="D1714" t="str">
            <v>Q4</v>
          </cell>
        </row>
        <row r="1715">
          <cell r="A1715">
            <v>45202</v>
          </cell>
          <cell r="B1715">
            <v>94.644999999999996</v>
          </cell>
          <cell r="C1715">
            <v>2023</v>
          </cell>
          <cell r="D1715" t="str">
            <v>Q4</v>
          </cell>
        </row>
        <row r="1716">
          <cell r="A1716">
            <v>45203</v>
          </cell>
          <cell r="B1716">
            <v>91.68</v>
          </cell>
          <cell r="C1716">
            <v>2023</v>
          </cell>
          <cell r="D1716" t="str">
            <v>Q4</v>
          </cell>
        </row>
        <row r="1717">
          <cell r="A1717">
            <v>45204</v>
          </cell>
          <cell r="B1717">
            <v>88.355000000000004</v>
          </cell>
          <cell r="C1717">
            <v>2023</v>
          </cell>
          <cell r="D1717" t="str">
            <v>Q4</v>
          </cell>
        </row>
        <row r="1718">
          <cell r="A1718">
            <v>45205</v>
          </cell>
          <cell r="B1718">
            <v>88.114999999999995</v>
          </cell>
          <cell r="C1718">
            <v>2023</v>
          </cell>
          <cell r="D1718" t="str">
            <v>Q4</v>
          </cell>
        </row>
        <row r="1719">
          <cell r="A1719">
            <v>45208</v>
          </cell>
          <cell r="B1719">
            <v>91.375</v>
          </cell>
          <cell r="C1719">
            <v>2023</v>
          </cell>
          <cell r="D1719" t="str">
            <v>Q4</v>
          </cell>
        </row>
        <row r="1720">
          <cell r="A1720">
            <v>45209</v>
          </cell>
          <cell r="B1720">
            <v>90.704999999999998</v>
          </cell>
          <cell r="C1720">
            <v>2023</v>
          </cell>
          <cell r="D1720" t="str">
            <v>Q4</v>
          </cell>
        </row>
        <row r="1721">
          <cell r="A1721">
            <v>45210</v>
          </cell>
          <cell r="B1721">
            <v>88.204999999999998</v>
          </cell>
          <cell r="C1721">
            <v>2023</v>
          </cell>
          <cell r="D1721" t="str">
            <v>Q4</v>
          </cell>
        </row>
        <row r="1722">
          <cell r="A1722">
            <v>45211</v>
          </cell>
          <cell r="B1722">
            <v>89.375</v>
          </cell>
          <cell r="C1722">
            <v>2023</v>
          </cell>
          <cell r="D1722" t="str">
            <v>Q4</v>
          </cell>
        </row>
        <row r="1723">
          <cell r="A1723">
            <v>45212</v>
          </cell>
          <cell r="B1723">
            <v>92.76</v>
          </cell>
          <cell r="C1723">
            <v>2023</v>
          </cell>
          <cell r="D1723" t="str">
            <v>Q4</v>
          </cell>
        </row>
        <row r="1724">
          <cell r="A1724">
            <v>45215</v>
          </cell>
          <cell r="B1724">
            <v>93.1</v>
          </cell>
          <cell r="C1724">
            <v>2023</v>
          </cell>
          <cell r="D1724" t="str">
            <v>Q4</v>
          </cell>
        </row>
        <row r="1725">
          <cell r="A1725">
            <v>45216</v>
          </cell>
          <cell r="B1725">
            <v>91.77</v>
          </cell>
          <cell r="C1725">
            <v>2023</v>
          </cell>
          <cell r="D1725" t="str">
            <v>Q4</v>
          </cell>
        </row>
        <row r="1726">
          <cell r="A1726">
            <v>45217</v>
          </cell>
          <cell r="B1726">
            <v>93.07</v>
          </cell>
          <cell r="C1726">
            <v>2023</v>
          </cell>
          <cell r="D1726" t="str">
            <v>Q4</v>
          </cell>
        </row>
        <row r="1727">
          <cell r="A1727">
            <v>45218</v>
          </cell>
          <cell r="B1727">
            <v>93.22</v>
          </cell>
          <cell r="C1727">
            <v>2023</v>
          </cell>
          <cell r="D1727" t="str">
            <v>Q4</v>
          </cell>
        </row>
        <row r="1728">
          <cell r="A1728">
            <v>45219</v>
          </cell>
          <cell r="B1728">
            <v>95.04</v>
          </cell>
          <cell r="C1728">
            <v>2023</v>
          </cell>
          <cell r="D1728" t="str">
            <v>Q4</v>
          </cell>
        </row>
        <row r="1729">
          <cell r="A1729">
            <v>45222</v>
          </cell>
          <cell r="B1729">
            <v>93.135000000000005</v>
          </cell>
          <cell r="C1729">
            <v>2023</v>
          </cell>
          <cell r="D1729" t="str">
            <v>Q4</v>
          </cell>
        </row>
        <row r="1730">
          <cell r="A1730">
            <v>45223</v>
          </cell>
          <cell r="B1730">
            <v>88.745000000000005</v>
          </cell>
          <cell r="C1730">
            <v>2023</v>
          </cell>
          <cell r="D1730" t="str">
            <v>Q4</v>
          </cell>
        </row>
        <row r="1731">
          <cell r="A1731">
            <v>45224</v>
          </cell>
          <cell r="B1731">
            <v>88.944999999999993</v>
          </cell>
          <cell r="C1731">
            <v>2023</v>
          </cell>
          <cell r="D1731" t="str">
            <v>Q4</v>
          </cell>
        </row>
        <row r="1732">
          <cell r="A1732">
            <v>45225</v>
          </cell>
          <cell r="B1732">
            <v>89.69</v>
          </cell>
          <cell r="C1732">
            <v>2023</v>
          </cell>
          <cell r="D1732" t="str">
            <v>Q4</v>
          </cell>
        </row>
        <row r="1733">
          <cell r="A1733">
            <v>45226</v>
          </cell>
          <cell r="B1733">
            <v>89.234999999999999</v>
          </cell>
          <cell r="C1733">
            <v>2023</v>
          </cell>
          <cell r="D1733" t="str">
            <v>Q4</v>
          </cell>
        </row>
        <row r="1734">
          <cell r="A1734">
            <v>45229</v>
          </cell>
          <cell r="B1734">
            <v>89.025000000000006</v>
          </cell>
          <cell r="C1734">
            <v>2023</v>
          </cell>
          <cell r="D1734" t="str">
            <v>Q4</v>
          </cell>
        </row>
        <row r="1735">
          <cell r="A1735">
            <v>45230</v>
          </cell>
          <cell r="B1735">
            <v>88.51</v>
          </cell>
          <cell r="C1735">
            <v>2023</v>
          </cell>
          <cell r="D1735" t="str">
            <v>Q4</v>
          </cell>
        </row>
        <row r="1736">
          <cell r="A1736">
            <v>45231</v>
          </cell>
          <cell r="B1736">
            <v>88.625</v>
          </cell>
          <cell r="C1736">
            <v>2023</v>
          </cell>
          <cell r="D1736" t="str">
            <v>Q4</v>
          </cell>
        </row>
        <row r="1737">
          <cell r="A1737">
            <v>45232</v>
          </cell>
          <cell r="B1737">
            <v>88.495000000000005</v>
          </cell>
          <cell r="C1737">
            <v>2023</v>
          </cell>
          <cell r="D1737" t="str">
            <v>Q4</v>
          </cell>
        </row>
        <row r="1738">
          <cell r="A1738">
            <v>45233</v>
          </cell>
          <cell r="B1738">
            <v>87.984999999999999</v>
          </cell>
          <cell r="C1738">
            <v>2023</v>
          </cell>
          <cell r="D1738" t="str">
            <v>Q4</v>
          </cell>
        </row>
        <row r="1739">
          <cell r="A1739">
            <v>45236</v>
          </cell>
          <cell r="B1739">
            <v>88.09</v>
          </cell>
          <cell r="C1739">
            <v>2023</v>
          </cell>
          <cell r="D1739" t="str">
            <v>Q4</v>
          </cell>
        </row>
        <row r="1740">
          <cell r="A1740">
            <v>45237</v>
          </cell>
          <cell r="B1740">
            <v>84.71</v>
          </cell>
          <cell r="C1740">
            <v>2023</v>
          </cell>
          <cell r="D1740" t="str">
            <v>Q4</v>
          </cell>
        </row>
        <row r="1741">
          <cell r="A1741">
            <v>45238</v>
          </cell>
          <cell r="B1741">
            <v>82.33</v>
          </cell>
          <cell r="C1741">
            <v>2023</v>
          </cell>
          <cell r="D1741" t="str">
            <v>Q4</v>
          </cell>
        </row>
        <row r="1742">
          <cell r="A1742">
            <v>45239</v>
          </cell>
          <cell r="B1742">
            <v>82.72</v>
          </cell>
          <cell r="C1742">
            <v>2023</v>
          </cell>
          <cell r="D1742" t="str">
            <v>Q4</v>
          </cell>
        </row>
        <row r="1743">
          <cell r="A1743">
            <v>45240</v>
          </cell>
          <cell r="B1743">
            <v>83.665000000000006</v>
          </cell>
          <cell r="C1743">
            <v>2023</v>
          </cell>
          <cell r="D1743" t="str">
            <v>Q4</v>
          </cell>
        </row>
        <row r="1744">
          <cell r="A1744">
            <v>45243</v>
          </cell>
          <cell r="B1744">
            <v>84.394999999999996</v>
          </cell>
          <cell r="C1744">
            <v>2023</v>
          </cell>
          <cell r="D1744" t="str">
            <v>Q4</v>
          </cell>
        </row>
        <row r="1745">
          <cell r="A1745">
            <v>45244</v>
          </cell>
          <cell r="B1745">
            <v>85.174999999999997</v>
          </cell>
          <cell r="C1745">
            <v>2023</v>
          </cell>
          <cell r="D1745" t="str">
            <v>Q4</v>
          </cell>
        </row>
        <row r="1746">
          <cell r="A1746">
            <v>45245</v>
          </cell>
          <cell r="B1746">
            <v>82.48</v>
          </cell>
          <cell r="C1746">
            <v>2023</v>
          </cell>
          <cell r="D1746" t="str">
            <v>Q4</v>
          </cell>
        </row>
        <row r="1747">
          <cell r="A1747">
            <v>45246</v>
          </cell>
          <cell r="B1747">
            <v>78.474999999999994</v>
          </cell>
          <cell r="C1747">
            <v>2023</v>
          </cell>
          <cell r="D1747" t="str">
            <v>Q4</v>
          </cell>
        </row>
        <row r="1748">
          <cell r="A1748">
            <v>45247</v>
          </cell>
          <cell r="B1748">
            <v>80.034999999999997</v>
          </cell>
          <cell r="C1748">
            <v>2023</v>
          </cell>
          <cell r="D1748" t="str">
            <v>Q4</v>
          </cell>
        </row>
        <row r="1749">
          <cell r="A1749">
            <v>45250</v>
          </cell>
          <cell r="B1749">
            <v>83.2</v>
          </cell>
          <cell r="C1749">
            <v>2023</v>
          </cell>
          <cell r="D1749" t="str">
            <v>Q4</v>
          </cell>
        </row>
        <row r="1750">
          <cell r="A1750">
            <v>45251</v>
          </cell>
          <cell r="B1750">
            <v>82.055000000000007</v>
          </cell>
          <cell r="C1750">
            <v>2023</v>
          </cell>
          <cell r="D1750" t="str">
            <v>Q4</v>
          </cell>
        </row>
        <row r="1751">
          <cell r="A1751">
            <v>45252</v>
          </cell>
          <cell r="B1751">
            <v>79.55</v>
          </cell>
          <cell r="C1751">
            <v>2023</v>
          </cell>
          <cell r="D1751" t="str">
            <v>Q4</v>
          </cell>
        </row>
        <row r="1752">
          <cell r="A1752">
            <v>45253</v>
          </cell>
          <cell r="B1752">
            <v>80.974999999999994</v>
          </cell>
          <cell r="C1752">
            <v>2023</v>
          </cell>
          <cell r="D1752" t="str">
            <v>Q4</v>
          </cell>
        </row>
        <row r="1753">
          <cell r="A1753">
            <v>45254</v>
          </cell>
          <cell r="B1753">
            <v>81.89</v>
          </cell>
          <cell r="C1753">
            <v>2023</v>
          </cell>
          <cell r="D1753" t="str">
            <v>Q4</v>
          </cell>
        </row>
        <row r="1754">
          <cell r="A1754">
            <v>45257</v>
          </cell>
          <cell r="B1754">
            <v>80.16</v>
          </cell>
          <cell r="C1754">
            <v>2023</v>
          </cell>
          <cell r="D1754" t="str">
            <v>Q4</v>
          </cell>
        </row>
        <row r="1755">
          <cell r="A1755">
            <v>45258</v>
          </cell>
          <cell r="B1755">
            <v>82.06</v>
          </cell>
          <cell r="C1755">
            <v>2023</v>
          </cell>
          <cell r="D1755" t="str">
            <v>Q4</v>
          </cell>
        </row>
        <row r="1756">
          <cell r="A1756">
            <v>45259</v>
          </cell>
          <cell r="B1756">
            <v>82.364999999999995</v>
          </cell>
          <cell r="C1756">
            <v>2023</v>
          </cell>
          <cell r="D1756" t="str">
            <v>Q4</v>
          </cell>
        </row>
        <row r="1757">
          <cell r="A1757">
            <v>45260</v>
          </cell>
          <cell r="B1757">
            <v>80.599999999999994</v>
          </cell>
          <cell r="C1757">
            <v>2023</v>
          </cell>
          <cell r="D1757" t="str">
            <v>Q4</v>
          </cell>
        </row>
        <row r="1758">
          <cell r="A1758">
            <v>45261</v>
          </cell>
          <cell r="B1758">
            <v>81.010000000000005</v>
          </cell>
          <cell r="C1758">
            <v>2023</v>
          </cell>
          <cell r="D1758" t="str">
            <v>Q4</v>
          </cell>
        </row>
        <row r="1759">
          <cell r="A1759">
            <v>45264</v>
          </cell>
          <cell r="B1759">
            <v>78.204999999999998</v>
          </cell>
          <cell r="C1759">
            <v>2023</v>
          </cell>
          <cell r="D1759" t="str">
            <v>Q4</v>
          </cell>
        </row>
        <row r="1760">
          <cell r="A1760">
            <v>45265</v>
          </cell>
          <cell r="B1760">
            <v>78.040000000000006</v>
          </cell>
          <cell r="C1760">
            <v>2023</v>
          </cell>
          <cell r="D1760" t="str">
            <v>Q4</v>
          </cell>
        </row>
        <row r="1761">
          <cell r="A1761">
            <v>45266</v>
          </cell>
          <cell r="B1761">
            <v>74.665000000000006</v>
          </cell>
          <cell r="C1761">
            <v>2023</v>
          </cell>
          <cell r="D1761" t="str">
            <v>Q4</v>
          </cell>
        </row>
        <row r="1762">
          <cell r="A1762">
            <v>45267</v>
          </cell>
          <cell r="B1762">
            <v>74.314999999999998</v>
          </cell>
          <cell r="C1762">
            <v>2023</v>
          </cell>
          <cell r="D1762" t="str">
            <v>Q4</v>
          </cell>
        </row>
        <row r="1763">
          <cell r="A1763">
            <v>45268</v>
          </cell>
          <cell r="B1763">
            <v>75.784999999999997</v>
          </cell>
          <cell r="C1763">
            <v>2023</v>
          </cell>
          <cell r="D1763" t="str">
            <v>Q4</v>
          </cell>
        </row>
        <row r="1764">
          <cell r="A1764">
            <v>45271</v>
          </cell>
          <cell r="B1764">
            <v>75.849999999999994</v>
          </cell>
          <cell r="C1764">
            <v>2023</v>
          </cell>
          <cell r="D1764" t="str">
            <v>Q4</v>
          </cell>
        </row>
        <row r="1765">
          <cell r="A1765">
            <v>45272</v>
          </cell>
          <cell r="B1765">
            <v>73.5</v>
          </cell>
          <cell r="C1765">
            <v>2023</v>
          </cell>
          <cell r="D1765" t="str">
            <v>Q4</v>
          </cell>
        </row>
        <row r="1766">
          <cell r="A1766">
            <v>45273</v>
          </cell>
          <cell r="B1766">
            <v>74.069999999999993</v>
          </cell>
          <cell r="C1766">
            <v>2023</v>
          </cell>
          <cell r="D1766" t="str">
            <v>Q4</v>
          </cell>
        </row>
        <row r="1767">
          <cell r="A1767">
            <v>45274</v>
          </cell>
          <cell r="B1767">
            <v>77.27</v>
          </cell>
          <cell r="C1767">
            <v>2023</v>
          </cell>
          <cell r="D1767" t="str">
            <v>Q4</v>
          </cell>
        </row>
        <row r="1768">
          <cell r="A1768">
            <v>45275</v>
          </cell>
          <cell r="B1768">
            <v>77.034999999999997</v>
          </cell>
          <cell r="C1768">
            <v>2023</v>
          </cell>
          <cell r="D1768" t="str">
            <v>Q4</v>
          </cell>
        </row>
        <row r="1769">
          <cell r="A1769">
            <v>45278</v>
          </cell>
          <cell r="B1769">
            <v>79.09</v>
          </cell>
          <cell r="C1769">
            <v>2023</v>
          </cell>
          <cell r="D1769" t="str">
            <v>Q4</v>
          </cell>
        </row>
        <row r="1770">
          <cell r="A1770">
            <v>45279</v>
          </cell>
          <cell r="B1770">
            <v>80.064999999999998</v>
          </cell>
          <cell r="C1770">
            <v>2023</v>
          </cell>
          <cell r="D1770" t="str">
            <v>Q4</v>
          </cell>
        </row>
        <row r="1771">
          <cell r="A1771">
            <v>45280</v>
          </cell>
          <cell r="B1771">
            <v>81.540000000000006</v>
          </cell>
          <cell r="C1771">
            <v>2023</v>
          </cell>
          <cell r="D1771" t="str">
            <v>Q4</v>
          </cell>
        </row>
        <row r="1772">
          <cell r="A1772">
            <v>45281</v>
          </cell>
          <cell r="B1772">
            <v>80.56</v>
          </cell>
          <cell r="C1772">
            <v>2023</v>
          </cell>
          <cell r="D1772" t="str">
            <v>Q4</v>
          </cell>
        </row>
        <row r="1773">
          <cell r="A1773">
            <v>45282</v>
          </cell>
          <cell r="B1773">
            <v>80.724999999999994</v>
          </cell>
          <cell r="C1773">
            <v>2023</v>
          </cell>
          <cell r="D1773" t="str">
            <v>Q4</v>
          </cell>
        </row>
        <row r="1774">
          <cell r="A1774">
            <v>45287</v>
          </cell>
          <cell r="B1774">
            <v>80.92</v>
          </cell>
          <cell r="C1774">
            <v>2023</v>
          </cell>
          <cell r="D1774" t="str">
            <v>Q4</v>
          </cell>
        </row>
        <row r="1775">
          <cell r="A1775">
            <v>45288</v>
          </cell>
          <cell r="B1775">
            <v>79.06</v>
          </cell>
          <cell r="C1775">
            <v>2023</v>
          </cell>
          <cell r="D1775" t="str">
            <v>Q4</v>
          </cell>
        </row>
        <row r="1776">
          <cell r="A1776">
            <v>45289</v>
          </cell>
          <cell r="B1776">
            <v>77.599999999999994</v>
          </cell>
          <cell r="C1776">
            <v>2023</v>
          </cell>
          <cell r="D1776" t="str">
            <v>Q4</v>
          </cell>
        </row>
        <row r="1777">
          <cell r="A1777">
            <v>45293</v>
          </cell>
          <cell r="B1777">
            <v>75.844999999999999</v>
          </cell>
          <cell r="C1777">
            <v>2024</v>
          </cell>
          <cell r="D1777" t="str">
            <v>Q1</v>
          </cell>
        </row>
        <row r="1778">
          <cell r="A1778">
            <v>45294</v>
          </cell>
          <cell r="B1778">
            <v>77.13</v>
          </cell>
          <cell r="C1778">
            <v>2024</v>
          </cell>
          <cell r="D1778" t="str">
            <v>Q1</v>
          </cell>
        </row>
        <row r="1779">
          <cell r="A1779">
            <v>45295</v>
          </cell>
          <cell r="B1779">
            <v>75.805000000000007</v>
          </cell>
          <cell r="C1779">
            <v>2024</v>
          </cell>
          <cell r="D1779" t="str">
            <v>Q1</v>
          </cell>
        </row>
        <row r="1780">
          <cell r="A1780">
            <v>45296</v>
          </cell>
          <cell r="B1780">
            <v>78.855000000000004</v>
          </cell>
          <cell r="C1780">
            <v>2024</v>
          </cell>
          <cell r="D1780" t="str">
            <v>Q1</v>
          </cell>
        </row>
        <row r="1781">
          <cell r="A1781">
            <v>45299</v>
          </cell>
          <cell r="B1781">
            <v>75.760000000000005</v>
          </cell>
          <cell r="C1781">
            <v>2024</v>
          </cell>
          <cell r="D1781" t="str">
            <v>Q1</v>
          </cell>
        </row>
        <row r="1782">
          <cell r="A1782">
            <v>45300</v>
          </cell>
          <cell r="B1782">
            <v>78.92</v>
          </cell>
          <cell r="C1782">
            <v>2024</v>
          </cell>
          <cell r="D1782" t="str">
            <v>Q1</v>
          </cell>
        </row>
        <row r="1783">
          <cell r="A1783">
            <v>45301</v>
          </cell>
          <cell r="B1783">
            <v>78.665000000000006</v>
          </cell>
          <cell r="C1783">
            <v>2024</v>
          </cell>
          <cell r="D1783" t="str">
            <v>Q1</v>
          </cell>
        </row>
        <row r="1784">
          <cell r="A1784">
            <v>45302</v>
          </cell>
          <cell r="B1784">
            <v>80.495000000000005</v>
          </cell>
          <cell r="C1784">
            <v>2024</v>
          </cell>
          <cell r="D1784" t="str">
            <v>Q1</v>
          </cell>
        </row>
        <row r="1785">
          <cell r="A1785">
            <v>45303</v>
          </cell>
          <cell r="B1785">
            <v>80.015000000000001</v>
          </cell>
          <cell r="C1785">
            <v>2024</v>
          </cell>
          <cell r="D1785" t="str">
            <v>Q1</v>
          </cell>
        </row>
        <row r="1786">
          <cell r="A1786">
            <v>45306</v>
          </cell>
          <cell r="B1786">
            <v>79.075000000000003</v>
          </cell>
          <cell r="C1786">
            <v>2024</v>
          </cell>
          <cell r="D1786" t="str">
            <v>Q1</v>
          </cell>
        </row>
        <row r="1787">
          <cell r="A1787">
            <v>45307</v>
          </cell>
          <cell r="B1787">
            <v>79.8</v>
          </cell>
          <cell r="C1787">
            <v>2024</v>
          </cell>
          <cell r="D1787" t="str">
            <v>Q1</v>
          </cell>
        </row>
        <row r="1788">
          <cell r="A1788">
            <v>45308</v>
          </cell>
          <cell r="B1788">
            <v>79.38</v>
          </cell>
          <cell r="C1788">
            <v>2024</v>
          </cell>
          <cell r="D1788" t="str">
            <v>Q1</v>
          </cell>
        </row>
        <row r="1789">
          <cell r="A1789">
            <v>45309</v>
          </cell>
          <cell r="B1789">
            <v>80.819999999999993</v>
          </cell>
          <cell r="C1789">
            <v>2024</v>
          </cell>
          <cell r="D1789" t="str">
            <v>Q1</v>
          </cell>
        </row>
        <row r="1790">
          <cell r="A1790">
            <v>45310</v>
          </cell>
          <cell r="B1790">
            <v>81.09</v>
          </cell>
          <cell r="C1790">
            <v>2024</v>
          </cell>
          <cell r="D1790" t="str">
            <v>Q1</v>
          </cell>
        </row>
        <row r="1791">
          <cell r="A1791">
            <v>45313</v>
          </cell>
          <cell r="B1791">
            <v>82.08</v>
          </cell>
          <cell r="C1791">
            <v>2024</v>
          </cell>
          <cell r="D1791" t="str">
            <v>Q1</v>
          </cell>
        </row>
        <row r="1792">
          <cell r="A1792">
            <v>45314</v>
          </cell>
          <cell r="B1792">
            <v>82.105000000000004</v>
          </cell>
          <cell r="C1792">
            <v>2024</v>
          </cell>
          <cell r="D1792" t="str">
            <v>Q1</v>
          </cell>
        </row>
        <row r="1793">
          <cell r="A1793">
            <v>45315</v>
          </cell>
          <cell r="B1793">
            <v>81.954999999999998</v>
          </cell>
          <cell r="C1793">
            <v>2024</v>
          </cell>
          <cell r="D1793" t="str">
            <v>Q1</v>
          </cell>
        </row>
        <row r="1794">
          <cell r="A1794">
            <v>45316</v>
          </cell>
          <cell r="B1794">
            <v>83.13</v>
          </cell>
          <cell r="C1794">
            <v>2024</v>
          </cell>
          <cell r="D1794" t="str">
            <v>Q1</v>
          </cell>
        </row>
        <row r="1795">
          <cell r="A1795">
            <v>45317</v>
          </cell>
          <cell r="B1795">
            <v>83.28</v>
          </cell>
          <cell r="C1795">
            <v>2024</v>
          </cell>
          <cell r="D1795" t="str">
            <v>Q1</v>
          </cell>
        </row>
        <row r="1796">
          <cell r="A1796">
            <v>45320</v>
          </cell>
          <cell r="B1796">
            <v>83.935000000000002</v>
          </cell>
          <cell r="C1796">
            <v>2024</v>
          </cell>
          <cell r="D1796" t="str">
            <v>Q1</v>
          </cell>
        </row>
        <row r="1797">
          <cell r="A1797">
            <v>45321</v>
          </cell>
          <cell r="B1797">
            <v>84.125</v>
          </cell>
          <cell r="C1797">
            <v>2024</v>
          </cell>
          <cell r="D1797" t="str">
            <v>Q1</v>
          </cell>
        </row>
        <row r="1798">
          <cell r="A1798">
            <v>45322</v>
          </cell>
          <cell r="B1798">
            <v>82.74</v>
          </cell>
          <cell r="C1798">
            <v>2024</v>
          </cell>
          <cell r="D1798" t="str">
            <v>Q1</v>
          </cell>
        </row>
        <row r="1799">
          <cell r="A1799">
            <v>45323</v>
          </cell>
          <cell r="B1799">
            <v>83.06</v>
          </cell>
          <cell r="C1799">
            <v>2024</v>
          </cell>
          <cell r="D1799" t="str">
            <v>Q1</v>
          </cell>
        </row>
        <row r="1800">
          <cell r="A1800">
            <v>45324</v>
          </cell>
          <cell r="B1800">
            <v>78.894999999999996</v>
          </cell>
          <cell r="C1800">
            <v>2024</v>
          </cell>
          <cell r="D1800" t="str">
            <v>Q1</v>
          </cell>
        </row>
        <row r="1801">
          <cell r="A1801">
            <v>45327</v>
          </cell>
          <cell r="B1801">
            <v>78.989999999999995</v>
          </cell>
          <cell r="C1801">
            <v>2024</v>
          </cell>
          <cell r="D1801" t="str">
            <v>Q1</v>
          </cell>
        </row>
        <row r="1802">
          <cell r="A1802">
            <v>45328</v>
          </cell>
          <cell r="B1802">
            <v>80.724999999999994</v>
          </cell>
          <cell r="C1802">
            <v>2024</v>
          </cell>
          <cell r="D1802" t="str">
            <v>Q1</v>
          </cell>
        </row>
        <row r="1803">
          <cell r="A1803">
            <v>45329</v>
          </cell>
          <cell r="B1803">
            <v>81.400000000000006</v>
          </cell>
          <cell r="C1803">
            <v>2024</v>
          </cell>
          <cell r="D1803" t="str">
            <v>Q1</v>
          </cell>
        </row>
        <row r="1804">
          <cell r="A1804">
            <v>45330</v>
          </cell>
          <cell r="B1804">
            <v>84.2</v>
          </cell>
          <cell r="C1804">
            <v>2024</v>
          </cell>
          <cell r="D1804" t="str">
            <v>Q1</v>
          </cell>
        </row>
        <row r="1805">
          <cell r="A1805">
            <v>45331</v>
          </cell>
          <cell r="B1805">
            <v>84.65</v>
          </cell>
          <cell r="C1805">
            <v>2024</v>
          </cell>
          <cell r="D1805" t="str">
            <v>Q1</v>
          </cell>
        </row>
        <row r="1806">
          <cell r="A1806">
            <v>45334</v>
          </cell>
          <cell r="B1806">
            <v>84.375</v>
          </cell>
          <cell r="C1806">
            <v>2024</v>
          </cell>
          <cell r="D1806" t="str">
            <v>Q1</v>
          </cell>
        </row>
        <row r="1807">
          <cell r="A1807">
            <v>45335</v>
          </cell>
          <cell r="B1807">
            <v>85.77</v>
          </cell>
          <cell r="C1807">
            <v>2024</v>
          </cell>
          <cell r="D1807" t="str">
            <v>Q1</v>
          </cell>
        </row>
        <row r="1808">
          <cell r="A1808">
            <v>45336</v>
          </cell>
          <cell r="B1808">
            <v>84.81</v>
          </cell>
          <cell r="C1808">
            <v>2024</v>
          </cell>
          <cell r="D1808" t="str">
            <v>Q1</v>
          </cell>
        </row>
        <row r="1809">
          <cell r="A1809">
            <v>45337</v>
          </cell>
          <cell r="B1809">
            <v>85.305000000000007</v>
          </cell>
          <cell r="C1809">
            <v>2024</v>
          </cell>
          <cell r="D1809" t="str">
            <v>Q1</v>
          </cell>
        </row>
        <row r="1810">
          <cell r="A1810">
            <v>45338</v>
          </cell>
          <cell r="B1810">
            <v>86.094999999999999</v>
          </cell>
          <cell r="C1810">
            <v>2024</v>
          </cell>
          <cell r="D1810" t="str">
            <v>Q1</v>
          </cell>
        </row>
        <row r="1811">
          <cell r="A1811">
            <v>45341</v>
          </cell>
          <cell r="B1811">
            <v>86.41</v>
          </cell>
          <cell r="C1811">
            <v>2024</v>
          </cell>
          <cell r="D1811" t="str">
            <v>Q1</v>
          </cell>
        </row>
        <row r="1812">
          <cell r="A1812">
            <v>45342</v>
          </cell>
          <cell r="B1812">
            <v>84.82</v>
          </cell>
          <cell r="C1812">
            <v>2024</v>
          </cell>
          <cell r="D1812" t="str">
            <v>Q1</v>
          </cell>
        </row>
        <row r="1813">
          <cell r="A1813">
            <v>45343</v>
          </cell>
          <cell r="B1813">
            <v>85.385000000000005</v>
          </cell>
          <cell r="C1813">
            <v>2024</v>
          </cell>
          <cell r="D1813" t="str">
            <v>Q1</v>
          </cell>
        </row>
        <row r="1814">
          <cell r="A1814">
            <v>45344</v>
          </cell>
          <cell r="B1814">
            <v>85.504999999999995</v>
          </cell>
          <cell r="C1814">
            <v>2024</v>
          </cell>
          <cell r="D1814" t="str">
            <v>Q1</v>
          </cell>
        </row>
        <row r="1815">
          <cell r="A1815">
            <v>45345</v>
          </cell>
          <cell r="B1815">
            <v>83.55</v>
          </cell>
          <cell r="C1815">
            <v>2024</v>
          </cell>
          <cell r="D1815" t="str">
            <v>Q1</v>
          </cell>
        </row>
        <row r="1816">
          <cell r="A1816">
            <v>45348</v>
          </cell>
          <cell r="B1816">
            <v>82.99</v>
          </cell>
          <cell r="C1816">
            <v>2024</v>
          </cell>
          <cell r="D1816" t="str">
            <v>Q1</v>
          </cell>
        </row>
        <row r="1817">
          <cell r="A1817">
            <v>45349</v>
          </cell>
          <cell r="B1817">
            <v>84.01</v>
          </cell>
          <cell r="C1817">
            <v>2024</v>
          </cell>
          <cell r="D1817" t="str">
            <v>Q1</v>
          </cell>
        </row>
        <row r="1818">
          <cell r="A1818">
            <v>45350</v>
          </cell>
          <cell r="B1818">
            <v>83.55</v>
          </cell>
          <cell r="C1818">
            <v>2024</v>
          </cell>
          <cell r="D1818" t="str">
            <v>Q1</v>
          </cell>
        </row>
        <row r="1819">
          <cell r="A1819">
            <v>45351</v>
          </cell>
          <cell r="B1819">
            <v>84.55</v>
          </cell>
          <cell r="C1819">
            <v>2024</v>
          </cell>
          <cell r="D1819" t="str">
            <v>Q1</v>
          </cell>
        </row>
        <row r="1820">
          <cell r="A1820">
            <v>45352</v>
          </cell>
          <cell r="B1820">
            <v>87.385000000000005</v>
          </cell>
          <cell r="C1820">
            <v>2024</v>
          </cell>
          <cell r="D1820" t="str">
            <v>Q1</v>
          </cell>
        </row>
        <row r="1821">
          <cell r="A1821">
            <v>45355</v>
          </cell>
          <cell r="B1821">
            <v>86.174999999999997</v>
          </cell>
          <cell r="C1821">
            <v>2024</v>
          </cell>
          <cell r="D1821" t="str">
            <v>Q1</v>
          </cell>
        </row>
        <row r="1822">
          <cell r="A1822">
            <v>45356</v>
          </cell>
          <cell r="B1822">
            <v>85.21</v>
          </cell>
          <cell r="C1822">
            <v>2024</v>
          </cell>
          <cell r="D1822" t="str">
            <v>Q1</v>
          </cell>
        </row>
        <row r="1823">
          <cell r="A1823">
            <v>45357</v>
          </cell>
          <cell r="B1823">
            <v>86.31</v>
          </cell>
          <cell r="C1823">
            <v>2024</v>
          </cell>
          <cell r="D1823" t="str">
            <v>Q1</v>
          </cell>
        </row>
        <row r="1824">
          <cell r="A1824">
            <v>45358</v>
          </cell>
          <cell r="B1824">
            <v>84.8</v>
          </cell>
          <cell r="C1824">
            <v>2024</v>
          </cell>
          <cell r="D1824" t="str">
            <v>Q1</v>
          </cell>
        </row>
        <row r="1825">
          <cell r="A1825">
            <v>45359</v>
          </cell>
          <cell r="B1825">
            <v>83.665000000000006</v>
          </cell>
          <cell r="C1825">
            <v>2024</v>
          </cell>
          <cell r="D1825" t="str">
            <v>Q1</v>
          </cell>
        </row>
        <row r="1826">
          <cell r="A1826">
            <v>45362</v>
          </cell>
          <cell r="B1826">
            <v>83.875</v>
          </cell>
          <cell r="C1826">
            <v>2024</v>
          </cell>
          <cell r="D1826" t="str">
            <v>Q1</v>
          </cell>
        </row>
        <row r="1827">
          <cell r="A1827">
            <v>45363</v>
          </cell>
          <cell r="B1827">
            <v>83.474999999999994</v>
          </cell>
          <cell r="C1827">
            <v>2024</v>
          </cell>
          <cell r="D1827" t="str">
            <v>Q1</v>
          </cell>
        </row>
        <row r="1828">
          <cell r="A1828">
            <v>45364</v>
          </cell>
          <cell r="B1828">
            <v>84.435000000000002</v>
          </cell>
          <cell r="C1828">
            <v>2024</v>
          </cell>
          <cell r="D1828" t="str">
            <v>Q1</v>
          </cell>
        </row>
        <row r="1829">
          <cell r="A1829">
            <v>45365</v>
          </cell>
          <cell r="B1829">
            <v>85.51</v>
          </cell>
          <cell r="C1829">
            <v>2024</v>
          </cell>
          <cell r="D1829" t="str">
            <v>Q1</v>
          </cell>
        </row>
        <row r="1830">
          <cell r="A1830">
            <v>45366</v>
          </cell>
          <cell r="B1830">
            <v>85.344999999999999</v>
          </cell>
          <cell r="C1830">
            <v>2024</v>
          </cell>
          <cell r="D1830" t="str">
            <v>Q1</v>
          </cell>
        </row>
        <row r="1831">
          <cell r="A1831">
            <v>45369</v>
          </cell>
          <cell r="B1831">
            <v>86.23</v>
          </cell>
          <cell r="C1831">
            <v>2024</v>
          </cell>
          <cell r="D1831" t="str">
            <v>Q1</v>
          </cell>
        </row>
        <row r="1832">
          <cell r="A1832">
            <v>45370</v>
          </cell>
          <cell r="B1832">
            <v>87.23</v>
          </cell>
          <cell r="C1832">
            <v>2024</v>
          </cell>
          <cell r="D1832" t="str">
            <v>Q1</v>
          </cell>
        </row>
        <row r="1833">
          <cell r="A1833">
            <v>45371</v>
          </cell>
          <cell r="B1833">
            <v>85.415000000000006</v>
          </cell>
          <cell r="C1833">
            <v>2024</v>
          </cell>
          <cell r="D1833" t="str">
            <v>Q1</v>
          </cell>
        </row>
        <row r="1834">
          <cell r="A1834">
            <v>45372</v>
          </cell>
          <cell r="B1834">
            <v>85.174999999999997</v>
          </cell>
          <cell r="C1834">
            <v>2024</v>
          </cell>
          <cell r="D1834" t="str">
            <v>Q1</v>
          </cell>
        </row>
        <row r="1835">
          <cell r="A1835">
            <v>45373</v>
          </cell>
          <cell r="B1835">
            <v>84.864999999999995</v>
          </cell>
          <cell r="C1835">
            <v>2024</v>
          </cell>
          <cell r="D1835" t="str">
            <v>Q1</v>
          </cell>
        </row>
        <row r="1836">
          <cell r="A1836">
            <v>45376</v>
          </cell>
          <cell r="B1836">
            <v>86.36</v>
          </cell>
          <cell r="C1836">
            <v>2024</v>
          </cell>
          <cell r="D1836" t="str">
            <v>Q1</v>
          </cell>
        </row>
        <row r="1837">
          <cell r="A1837">
            <v>45377</v>
          </cell>
          <cell r="B1837">
            <v>85.954999999999998</v>
          </cell>
          <cell r="C1837">
            <v>2024</v>
          </cell>
          <cell r="D1837" t="str">
            <v>Q1</v>
          </cell>
        </row>
        <row r="1838">
          <cell r="A1838">
            <v>45378</v>
          </cell>
          <cell r="B1838">
            <v>85.144999999999996</v>
          </cell>
          <cell r="C1838">
            <v>2024</v>
          </cell>
          <cell r="D1838" t="str">
            <v>Q1</v>
          </cell>
        </row>
        <row r="1839">
          <cell r="A1839">
            <v>45379</v>
          </cell>
          <cell r="B1839">
            <v>86.96</v>
          </cell>
          <cell r="C1839">
            <v>2024</v>
          </cell>
          <cell r="D1839" t="str">
            <v>Q1</v>
          </cell>
        </row>
        <row r="1840">
          <cell r="A1840">
            <v>45384</v>
          </cell>
          <cell r="B1840">
            <v>89.83</v>
          </cell>
          <cell r="C1840">
            <v>2024</v>
          </cell>
          <cell r="D1840" t="str">
            <v>Q2</v>
          </cell>
        </row>
        <row r="1841">
          <cell r="A1841">
            <v>45385</v>
          </cell>
          <cell r="B1841">
            <v>91.05</v>
          </cell>
          <cell r="C1841">
            <v>2024</v>
          </cell>
          <cell r="D1841" t="str">
            <v>Q2</v>
          </cell>
        </row>
        <row r="1842">
          <cell r="A1842">
            <v>45386</v>
          </cell>
          <cell r="B1842">
            <v>90.314999999999998</v>
          </cell>
          <cell r="C1842">
            <v>2024</v>
          </cell>
          <cell r="D1842" t="str">
            <v>Q2</v>
          </cell>
        </row>
        <row r="1843">
          <cell r="A1843">
            <v>45387</v>
          </cell>
          <cell r="B1843">
            <v>93.31</v>
          </cell>
          <cell r="C1843">
            <v>2024</v>
          </cell>
          <cell r="D1843" t="str">
            <v>Q2</v>
          </cell>
        </row>
        <row r="1844">
          <cell r="A1844">
            <v>45390</v>
          </cell>
          <cell r="B1844">
            <v>92.16</v>
          </cell>
          <cell r="C1844">
            <v>2024</v>
          </cell>
          <cell r="D1844" t="str">
            <v>Q2</v>
          </cell>
        </row>
        <row r="1845">
          <cell r="A1845">
            <v>45391</v>
          </cell>
          <cell r="B1845">
            <v>91.894999999999996</v>
          </cell>
          <cell r="C1845">
            <v>2024</v>
          </cell>
          <cell r="D1845" t="str">
            <v>Q2</v>
          </cell>
        </row>
        <row r="1846">
          <cell r="A1846">
            <v>45392</v>
          </cell>
          <cell r="B1846">
            <v>91.17</v>
          </cell>
          <cell r="C1846">
            <v>2024</v>
          </cell>
          <cell r="D1846" t="str">
            <v>Q2</v>
          </cell>
        </row>
        <row r="1847">
          <cell r="A1847">
            <v>45393</v>
          </cell>
          <cell r="B1847">
            <v>91.715000000000003</v>
          </cell>
          <cell r="C1847">
            <v>2024</v>
          </cell>
          <cell r="D1847" t="str">
            <v>Q2</v>
          </cell>
        </row>
        <row r="1848">
          <cell r="A1848">
            <v>45394</v>
          </cell>
          <cell r="B1848">
            <v>93.31</v>
          </cell>
          <cell r="C1848">
            <v>2024</v>
          </cell>
          <cell r="D1848" t="str">
            <v>Q2</v>
          </cell>
        </row>
        <row r="1849">
          <cell r="A1849">
            <v>45397</v>
          </cell>
          <cell r="B1849">
            <v>90.51</v>
          </cell>
          <cell r="C1849">
            <v>2024</v>
          </cell>
          <cell r="D1849" t="str">
            <v>Q2</v>
          </cell>
        </row>
        <row r="1850">
          <cell r="A1850">
            <v>45398</v>
          </cell>
          <cell r="B1850">
            <v>91.314999999999998</v>
          </cell>
          <cell r="C1850">
            <v>2024</v>
          </cell>
          <cell r="D1850" t="str">
            <v>Q2</v>
          </cell>
        </row>
        <row r="1851">
          <cell r="A1851">
            <v>45399</v>
          </cell>
          <cell r="B1851">
            <v>89.65</v>
          </cell>
          <cell r="C1851">
            <v>2024</v>
          </cell>
          <cell r="D1851" t="str">
            <v>Q2</v>
          </cell>
        </row>
        <row r="1852">
          <cell r="A1852">
            <v>45400</v>
          </cell>
          <cell r="B1852">
            <v>88.01</v>
          </cell>
          <cell r="C1852">
            <v>2024</v>
          </cell>
          <cell r="D1852" t="str">
            <v>Q2</v>
          </cell>
        </row>
        <row r="1853">
          <cell r="A1853">
            <v>45401</v>
          </cell>
          <cell r="B1853">
            <v>88.025000000000006</v>
          </cell>
          <cell r="C1853">
            <v>2024</v>
          </cell>
          <cell r="D1853" t="str">
            <v>Q2</v>
          </cell>
        </row>
        <row r="1854">
          <cell r="A1854">
            <v>45404</v>
          </cell>
          <cell r="B1854">
            <v>87.484999999999999</v>
          </cell>
          <cell r="C1854">
            <v>2024</v>
          </cell>
          <cell r="D1854" t="str">
            <v>Q2</v>
          </cell>
        </row>
        <row r="1855">
          <cell r="A1855">
            <v>45405</v>
          </cell>
          <cell r="B1855">
            <v>88.55</v>
          </cell>
          <cell r="C1855">
            <v>2024</v>
          </cell>
          <cell r="D1855" t="str">
            <v>Q2</v>
          </cell>
        </row>
        <row r="1856">
          <cell r="A1856">
            <v>45406</v>
          </cell>
          <cell r="B1856">
            <v>88.84</v>
          </cell>
          <cell r="C1856">
            <v>2024</v>
          </cell>
          <cell r="D1856" t="str">
            <v>Q2</v>
          </cell>
        </row>
        <row r="1857">
          <cell r="A1857">
            <v>45407</v>
          </cell>
          <cell r="B1857">
            <v>88.18</v>
          </cell>
          <cell r="C1857">
            <v>2024</v>
          </cell>
          <cell r="D1857" t="str">
            <v>Q2</v>
          </cell>
        </row>
        <row r="1858">
          <cell r="A1858">
            <v>45408</v>
          </cell>
          <cell r="B1858">
            <v>89.84</v>
          </cell>
          <cell r="C1858">
            <v>2024</v>
          </cell>
          <cell r="D1858" t="str">
            <v>Q2</v>
          </cell>
        </row>
        <row r="1859">
          <cell r="A1859">
            <v>45411</v>
          </cell>
          <cell r="B1859">
            <v>88.765000000000001</v>
          </cell>
          <cell r="C1859">
            <v>2024</v>
          </cell>
          <cell r="D1859" t="str">
            <v>Q2</v>
          </cell>
        </row>
        <row r="1860">
          <cell r="A1860">
            <v>45412</v>
          </cell>
          <cell r="B1860">
            <v>87.86</v>
          </cell>
          <cell r="C1860">
            <v>2024</v>
          </cell>
          <cell r="D1860" t="str">
            <v>Q2</v>
          </cell>
        </row>
        <row r="1861">
          <cell r="A1861">
            <v>45413</v>
          </cell>
          <cell r="B1861">
            <v>85.105000000000004</v>
          </cell>
          <cell r="C1861">
            <v>2024</v>
          </cell>
          <cell r="D1861" t="str">
            <v>Q2</v>
          </cell>
        </row>
        <row r="1862">
          <cell r="A1862">
            <v>45414</v>
          </cell>
          <cell r="B1862">
            <v>83.924999999999997</v>
          </cell>
          <cell r="C1862">
            <v>2024</v>
          </cell>
          <cell r="D1862" t="str">
            <v>Q2</v>
          </cell>
        </row>
        <row r="1863">
          <cell r="A1863">
            <v>45415</v>
          </cell>
          <cell r="B1863">
            <v>83.305000000000007</v>
          </cell>
          <cell r="C1863">
            <v>2024</v>
          </cell>
          <cell r="D1863" t="str">
            <v>Q2</v>
          </cell>
        </row>
        <row r="1864">
          <cell r="A1864">
            <v>45419</v>
          </cell>
          <cell r="B1864">
            <v>82.09</v>
          </cell>
          <cell r="C1864">
            <v>2024</v>
          </cell>
          <cell r="D1864" t="str">
            <v>Q2</v>
          </cell>
        </row>
        <row r="1865">
          <cell r="A1865">
            <v>45420</v>
          </cell>
          <cell r="B1865">
            <v>83.144999999999996</v>
          </cell>
          <cell r="C1865">
            <v>2024</v>
          </cell>
          <cell r="D1865" t="str">
            <v>Q2</v>
          </cell>
        </row>
        <row r="1866">
          <cell r="A1866">
            <v>45421</v>
          </cell>
          <cell r="B1866">
            <v>83.24</v>
          </cell>
          <cell r="C1866">
            <v>2024</v>
          </cell>
          <cell r="D1866" t="str">
            <v>Q2</v>
          </cell>
        </row>
        <row r="1867">
          <cell r="A1867">
            <v>45422</v>
          </cell>
          <cell r="B1867">
            <v>83.11</v>
          </cell>
          <cell r="C1867">
            <v>2024</v>
          </cell>
          <cell r="D1867" t="str">
            <v>Q2</v>
          </cell>
        </row>
        <row r="1868">
          <cell r="A1868">
            <v>45425</v>
          </cell>
          <cell r="B1868">
            <v>82.114999999999995</v>
          </cell>
          <cell r="C1868">
            <v>2024</v>
          </cell>
          <cell r="D1868" t="str">
            <v>Q2</v>
          </cell>
        </row>
        <row r="1869">
          <cell r="A1869">
            <v>45426</v>
          </cell>
          <cell r="B1869">
            <v>80.55</v>
          </cell>
          <cell r="C1869">
            <v>2024</v>
          </cell>
          <cell r="D1869" t="str">
            <v>Q2</v>
          </cell>
        </row>
        <row r="1870">
          <cell r="A1870">
            <v>45427</v>
          </cell>
          <cell r="B1870">
            <v>81.31</v>
          </cell>
          <cell r="C1870">
            <v>2024</v>
          </cell>
          <cell r="D1870" t="str">
            <v>Q2</v>
          </cell>
        </row>
        <row r="1871">
          <cell r="A1871">
            <v>45428</v>
          </cell>
          <cell r="B1871">
            <v>81.61</v>
          </cell>
          <cell r="C1871">
            <v>2024</v>
          </cell>
          <cell r="D1871" t="str">
            <v>Q2</v>
          </cell>
        </row>
        <row r="1872">
          <cell r="A1872">
            <v>45429</v>
          </cell>
          <cell r="B1872">
            <v>82.135000000000005</v>
          </cell>
          <cell r="C1872">
            <v>2024</v>
          </cell>
          <cell r="D1872" t="str">
            <v>Q2</v>
          </cell>
        </row>
        <row r="1873">
          <cell r="A1873">
            <v>45432</v>
          </cell>
          <cell r="B1873">
            <v>82.415000000000006</v>
          </cell>
          <cell r="C1873">
            <v>2024</v>
          </cell>
          <cell r="D1873" t="str">
            <v>Q2</v>
          </cell>
        </row>
        <row r="1874">
          <cell r="A1874">
            <v>45433</v>
          </cell>
          <cell r="B1874">
            <v>81.53</v>
          </cell>
          <cell r="C1874">
            <v>2024</v>
          </cell>
          <cell r="D1874" t="str">
            <v>Q2</v>
          </cell>
        </row>
        <row r="1875">
          <cell r="A1875">
            <v>45434</v>
          </cell>
          <cell r="B1875">
            <v>80.704999999999998</v>
          </cell>
          <cell r="C1875">
            <v>2024</v>
          </cell>
          <cell r="D1875" t="str">
            <v>Q2</v>
          </cell>
        </row>
        <row r="1876">
          <cell r="A1876">
            <v>45435</v>
          </cell>
          <cell r="B1876">
            <v>79.685000000000002</v>
          </cell>
          <cell r="C1876">
            <v>2024</v>
          </cell>
          <cell r="D1876" t="str">
            <v>Q2</v>
          </cell>
        </row>
        <row r="1877">
          <cell r="A1877">
            <v>45436</v>
          </cell>
          <cell r="B1877">
            <v>79.91</v>
          </cell>
          <cell r="C1877">
            <v>2024</v>
          </cell>
          <cell r="D1877" t="str">
            <v>Q2</v>
          </cell>
        </row>
        <row r="1878">
          <cell r="A1878">
            <v>45440</v>
          </cell>
          <cell r="B1878">
            <v>82.49</v>
          </cell>
          <cell r="C1878">
            <v>2024</v>
          </cell>
          <cell r="D1878" t="str">
            <v>Q2</v>
          </cell>
        </row>
        <row r="1879">
          <cell r="A1879">
            <v>45441</v>
          </cell>
          <cell r="B1879">
            <v>82.254999999999995</v>
          </cell>
          <cell r="C1879">
            <v>2024</v>
          </cell>
          <cell r="D1879" t="str">
            <v>Q2</v>
          </cell>
        </row>
        <row r="1880">
          <cell r="A1880">
            <v>45442</v>
          </cell>
          <cell r="B1880">
            <v>81.14</v>
          </cell>
          <cell r="C1880">
            <v>2024</v>
          </cell>
          <cell r="D1880" t="str">
            <v>Q2</v>
          </cell>
        </row>
        <row r="1881">
          <cell r="A1881">
            <v>45443</v>
          </cell>
          <cell r="B1881">
            <v>80.13</v>
          </cell>
          <cell r="C1881">
            <v>2024</v>
          </cell>
          <cell r="D1881" t="str">
            <v>Q2</v>
          </cell>
        </row>
        <row r="1882">
          <cell r="A1882">
            <v>45446</v>
          </cell>
          <cell r="B1882">
            <v>76.635000000000005</v>
          </cell>
          <cell r="C1882">
            <v>2024</v>
          </cell>
          <cell r="D1882" t="str">
            <v>Q2</v>
          </cell>
        </row>
        <row r="1883">
          <cell r="A1883">
            <v>45447</v>
          </cell>
          <cell r="B1883">
            <v>76.02</v>
          </cell>
          <cell r="C1883">
            <v>2024</v>
          </cell>
          <cell r="D1883" t="str">
            <v>Q2</v>
          </cell>
        </row>
        <row r="1884">
          <cell r="A1884">
            <v>45448</v>
          </cell>
          <cell r="B1884">
            <v>75.864999999999995</v>
          </cell>
          <cell r="C1884">
            <v>2024</v>
          </cell>
          <cell r="D1884" t="str">
            <v>Q2</v>
          </cell>
        </row>
        <row r="1885">
          <cell r="A1885">
            <v>45449</v>
          </cell>
          <cell r="B1885">
            <v>78.444999999999993</v>
          </cell>
          <cell r="C1885">
            <v>2024</v>
          </cell>
          <cell r="D1885" t="str">
            <v>Q2</v>
          </cell>
        </row>
        <row r="1886">
          <cell r="A1886">
            <v>45450</v>
          </cell>
          <cell r="B1886">
            <v>78.305000000000007</v>
          </cell>
          <cell r="C1886">
            <v>2024</v>
          </cell>
          <cell r="D1886" t="str">
            <v>Q2</v>
          </cell>
        </row>
        <row r="1887">
          <cell r="A1887">
            <v>45453</v>
          </cell>
          <cell r="B1887">
            <v>79.97</v>
          </cell>
          <cell r="C1887">
            <v>2024</v>
          </cell>
          <cell r="D1887" t="str">
            <v>Q2</v>
          </cell>
        </row>
        <row r="1888">
          <cell r="A1888">
            <v>45454</v>
          </cell>
          <cell r="B1888">
            <v>80.61</v>
          </cell>
          <cell r="C1888">
            <v>2024</v>
          </cell>
          <cell r="D1888" t="str">
            <v>Q2</v>
          </cell>
        </row>
        <row r="1889">
          <cell r="A1889">
            <v>45455</v>
          </cell>
          <cell r="B1889">
            <v>81.234999999999999</v>
          </cell>
          <cell r="C1889">
            <v>2024</v>
          </cell>
          <cell r="D1889" t="str">
            <v>Q2</v>
          </cell>
        </row>
        <row r="1890">
          <cell r="A1890">
            <v>45456</v>
          </cell>
          <cell r="B1890">
            <v>81.635000000000005</v>
          </cell>
          <cell r="C1890">
            <v>2024</v>
          </cell>
          <cell r="D1890" t="str">
            <v>Q2</v>
          </cell>
        </row>
        <row r="1891">
          <cell r="A1891">
            <v>45457</v>
          </cell>
          <cell r="B1891">
            <v>81.814999999999998</v>
          </cell>
          <cell r="C1891">
            <v>2024</v>
          </cell>
          <cell r="D1891" t="str">
            <v>Q2</v>
          </cell>
        </row>
        <row r="1892">
          <cell r="A1892">
            <v>45460</v>
          </cell>
          <cell r="B1892">
            <v>83.314999999999998</v>
          </cell>
          <cell r="C1892">
            <v>2024</v>
          </cell>
          <cell r="D1892" t="str">
            <v>Q2</v>
          </cell>
        </row>
        <row r="1893">
          <cell r="A1893">
            <v>45461</v>
          </cell>
          <cell r="B1893">
            <v>85.31</v>
          </cell>
          <cell r="C1893">
            <v>2024</v>
          </cell>
          <cell r="D1893" t="str">
            <v>Q2</v>
          </cell>
        </row>
        <row r="1894">
          <cell r="A1894">
            <v>45462</v>
          </cell>
          <cell r="B1894">
            <v>86.19</v>
          </cell>
          <cell r="C1894">
            <v>2024</v>
          </cell>
          <cell r="D1894" t="str">
            <v>Q2</v>
          </cell>
        </row>
        <row r="1895">
          <cell r="A1895">
            <v>45463</v>
          </cell>
          <cell r="B1895">
            <v>86.09</v>
          </cell>
          <cell r="C1895">
            <v>2024</v>
          </cell>
          <cell r="D1895" t="str">
            <v>Q2</v>
          </cell>
        </row>
        <row r="1896">
          <cell r="A1896">
            <v>45464</v>
          </cell>
          <cell r="B1896">
            <v>86.62</v>
          </cell>
          <cell r="C1896">
            <v>2024</v>
          </cell>
          <cell r="D1896" t="str">
            <v>Q2</v>
          </cell>
        </row>
        <row r="1897">
          <cell r="A1897">
            <v>45467</v>
          </cell>
          <cell r="B1897">
            <v>87.105000000000004</v>
          </cell>
          <cell r="C1897">
            <v>2024</v>
          </cell>
          <cell r="D1897" t="str">
            <v>Q2</v>
          </cell>
        </row>
        <row r="1898">
          <cell r="A1898">
            <v>45468</v>
          </cell>
          <cell r="B1898">
            <v>86.7</v>
          </cell>
          <cell r="C1898">
            <v>2024</v>
          </cell>
          <cell r="D1898" t="str">
            <v>Q2</v>
          </cell>
        </row>
        <row r="1899">
          <cell r="A1899">
            <v>45469</v>
          </cell>
          <cell r="B1899">
            <v>85.34</v>
          </cell>
          <cell r="C1899">
            <v>2024</v>
          </cell>
          <cell r="D1899" t="str">
            <v>Q2</v>
          </cell>
        </row>
        <row r="1900">
          <cell r="A1900">
            <v>45470</v>
          </cell>
          <cell r="B1900">
            <v>87.21</v>
          </cell>
          <cell r="C1900">
            <v>2024</v>
          </cell>
          <cell r="D1900" t="str">
            <v>Q2</v>
          </cell>
        </row>
        <row r="1901">
          <cell r="A1901">
            <v>45471</v>
          </cell>
          <cell r="B1901">
            <v>86.69</v>
          </cell>
          <cell r="C1901">
            <v>2024</v>
          </cell>
          <cell r="D1901" t="str">
            <v>Q2</v>
          </cell>
        </row>
        <row r="1902">
          <cell r="A1902">
            <v>45474</v>
          </cell>
          <cell r="B1902">
            <v>88.06</v>
          </cell>
          <cell r="C1902">
            <v>2024</v>
          </cell>
          <cell r="D1902" t="str">
            <v>Q3</v>
          </cell>
        </row>
        <row r="1903">
          <cell r="A1903">
            <v>45475</v>
          </cell>
          <cell r="B1903">
            <v>88.59</v>
          </cell>
          <cell r="C1903">
            <v>2024</v>
          </cell>
          <cell r="D1903" t="str">
            <v>Q3</v>
          </cell>
        </row>
        <row r="1904">
          <cell r="A1904">
            <v>45476</v>
          </cell>
          <cell r="B1904">
            <v>87.665000000000006</v>
          </cell>
          <cell r="C1904">
            <v>2024</v>
          </cell>
          <cell r="D1904" t="str">
            <v>Q3</v>
          </cell>
        </row>
        <row r="1905">
          <cell r="A1905">
            <v>45477</v>
          </cell>
          <cell r="B1905">
            <v>88.96</v>
          </cell>
          <cell r="C1905">
            <v>2024</v>
          </cell>
          <cell r="D1905" t="str">
            <v>Q3</v>
          </cell>
        </row>
        <row r="1906">
          <cell r="A1906">
            <v>45478</v>
          </cell>
          <cell r="B1906">
            <v>89.105000000000004</v>
          </cell>
          <cell r="C1906">
            <v>2024</v>
          </cell>
          <cell r="D1906" t="str">
            <v>Q3</v>
          </cell>
        </row>
        <row r="1907">
          <cell r="A1907">
            <v>45481</v>
          </cell>
          <cell r="B1907">
            <v>87.685000000000002</v>
          </cell>
          <cell r="C1907">
            <v>2024</v>
          </cell>
          <cell r="D1907" t="str">
            <v>Q3</v>
          </cell>
        </row>
        <row r="1908">
          <cell r="A1908">
            <v>45482</v>
          </cell>
          <cell r="B1908">
            <v>86</v>
          </cell>
          <cell r="C1908">
            <v>2024</v>
          </cell>
          <cell r="D1908" t="str">
            <v>Q3</v>
          </cell>
        </row>
        <row r="1909">
          <cell r="A1909">
            <v>45483</v>
          </cell>
          <cell r="B1909">
            <v>86.995000000000005</v>
          </cell>
          <cell r="C1909">
            <v>2024</v>
          </cell>
          <cell r="D1909" t="str">
            <v>Q3</v>
          </cell>
        </row>
        <row r="1910">
          <cell r="A1910">
            <v>45484</v>
          </cell>
          <cell r="B1910">
            <v>87.23</v>
          </cell>
          <cell r="C1910">
            <v>2024</v>
          </cell>
          <cell r="D1910" t="str">
            <v>Q3</v>
          </cell>
        </row>
        <row r="1911">
          <cell r="A1911">
            <v>45485</v>
          </cell>
          <cell r="B1911">
            <v>87.62</v>
          </cell>
          <cell r="C1911">
            <v>2024</v>
          </cell>
          <cell r="D1911" t="str">
            <v>Q3</v>
          </cell>
        </row>
        <row r="1912">
          <cell r="A1912">
            <v>45488</v>
          </cell>
          <cell r="B1912">
            <v>86.594999999999999</v>
          </cell>
          <cell r="C1912">
            <v>2024</v>
          </cell>
          <cell r="D1912" t="str">
            <v>Q3</v>
          </cell>
        </row>
        <row r="1913">
          <cell r="A1913">
            <v>45489</v>
          </cell>
          <cell r="B1913">
            <v>85.64</v>
          </cell>
          <cell r="C1913">
            <v>2024</v>
          </cell>
          <cell r="D1913" t="str">
            <v>Q3</v>
          </cell>
        </row>
        <row r="1914">
          <cell r="A1914">
            <v>45490</v>
          </cell>
          <cell r="B1914">
            <v>86.194999999999993</v>
          </cell>
          <cell r="C1914">
            <v>2024</v>
          </cell>
          <cell r="D1914" t="str">
            <v>Q3</v>
          </cell>
        </row>
        <row r="1915">
          <cell r="A1915">
            <v>45491</v>
          </cell>
          <cell r="B1915">
            <v>86.47</v>
          </cell>
          <cell r="C1915">
            <v>2024</v>
          </cell>
          <cell r="D1915" t="str">
            <v>Q3</v>
          </cell>
        </row>
        <row r="1916">
          <cell r="A1916">
            <v>45492</v>
          </cell>
          <cell r="B1916">
            <v>85.305000000000007</v>
          </cell>
          <cell r="C1916">
            <v>2024</v>
          </cell>
          <cell r="D1916" t="str">
            <v>Q3</v>
          </cell>
        </row>
        <row r="1917">
          <cell r="A1917">
            <v>45495</v>
          </cell>
          <cell r="B1917">
            <v>83.015000000000001</v>
          </cell>
          <cell r="C1917">
            <v>2024</v>
          </cell>
          <cell r="D1917" t="str">
            <v>Q3</v>
          </cell>
        </row>
        <row r="1918">
          <cell r="A1918">
            <v>45496</v>
          </cell>
          <cell r="B1918">
            <v>82.09</v>
          </cell>
          <cell r="C1918">
            <v>2024</v>
          </cell>
          <cell r="D1918" t="str">
            <v>Q3</v>
          </cell>
        </row>
        <row r="1919">
          <cell r="A1919">
            <v>45497</v>
          </cell>
          <cell r="B1919">
            <v>82.94</v>
          </cell>
          <cell r="C1919">
            <v>2024</v>
          </cell>
          <cell r="D1919" t="str">
            <v>Q3</v>
          </cell>
        </row>
        <row r="1920">
          <cell r="A1920">
            <v>45498</v>
          </cell>
          <cell r="B1920">
            <v>82.745000000000005</v>
          </cell>
          <cell r="C1920">
            <v>2024</v>
          </cell>
          <cell r="D1920" t="str">
            <v>Q3</v>
          </cell>
        </row>
        <row r="1921">
          <cell r="A1921">
            <v>45499</v>
          </cell>
          <cell r="B1921">
            <v>81.355000000000004</v>
          </cell>
          <cell r="C1921">
            <v>2024</v>
          </cell>
          <cell r="D1921" t="str">
            <v>Q3</v>
          </cell>
        </row>
        <row r="1922">
          <cell r="A1922">
            <v>45502</v>
          </cell>
          <cell r="B1922">
            <v>80.84</v>
          </cell>
          <cell r="C1922">
            <v>2024</v>
          </cell>
          <cell r="D1922" t="str">
            <v>Q3</v>
          </cell>
        </row>
        <row r="1923">
          <cell r="A1923">
            <v>45503</v>
          </cell>
          <cell r="B1923">
            <v>79.22</v>
          </cell>
          <cell r="C1923">
            <v>2024</v>
          </cell>
          <cell r="D1923" t="str">
            <v>Q3</v>
          </cell>
        </row>
        <row r="1924">
          <cell r="A1924">
            <v>45504</v>
          </cell>
          <cell r="B1924">
            <v>81.484999999999999</v>
          </cell>
          <cell r="C1924">
            <v>2024</v>
          </cell>
          <cell r="D1924" t="str">
            <v>Q3</v>
          </cell>
        </row>
        <row r="1925">
          <cell r="A1925">
            <v>45505</v>
          </cell>
          <cell r="B1925">
            <v>81.77</v>
          </cell>
          <cell r="C1925">
            <v>2024</v>
          </cell>
          <cell r="D1925" t="str">
            <v>Q3</v>
          </cell>
        </row>
        <row r="1926">
          <cell r="A1926">
            <v>45506</v>
          </cell>
          <cell r="B1926">
            <v>78.209999999999994</v>
          </cell>
          <cell r="C1926">
            <v>2024</v>
          </cell>
          <cell r="D1926" t="str">
            <v>Q3</v>
          </cell>
        </row>
        <row r="1927">
          <cell r="A1927">
            <v>45509</v>
          </cell>
          <cell r="B1927">
            <v>76.844999999999999</v>
          </cell>
          <cell r="C1927">
            <v>2024</v>
          </cell>
          <cell r="D1927" t="str">
            <v>Q3</v>
          </cell>
        </row>
        <row r="1928">
          <cell r="A1928">
            <v>45510</v>
          </cell>
          <cell r="B1928">
            <v>76.28</v>
          </cell>
          <cell r="C1928">
            <v>2024</v>
          </cell>
          <cell r="D1928" t="str">
            <v>Q3</v>
          </cell>
        </row>
        <row r="1929">
          <cell r="A1929">
            <v>45511</v>
          </cell>
          <cell r="B1929">
            <v>79.73</v>
          </cell>
          <cell r="C1929">
            <v>2024</v>
          </cell>
          <cell r="D1929" t="str">
            <v>Q3</v>
          </cell>
        </row>
        <row r="1930">
          <cell r="A1930">
            <v>45512</v>
          </cell>
          <cell r="B1930">
            <v>80.495000000000005</v>
          </cell>
          <cell r="C1930">
            <v>2024</v>
          </cell>
          <cell r="D1930" t="str">
            <v>Q3</v>
          </cell>
        </row>
        <row r="1931">
          <cell r="A1931">
            <v>45513</v>
          </cell>
          <cell r="B1931">
            <v>81.599999999999994</v>
          </cell>
          <cell r="C1931">
            <v>2024</v>
          </cell>
          <cell r="D1931" t="str">
            <v>Q3</v>
          </cell>
        </row>
        <row r="1932">
          <cell r="A1932">
            <v>45516</v>
          </cell>
          <cell r="B1932">
            <v>83.165000000000006</v>
          </cell>
          <cell r="C1932">
            <v>2024</v>
          </cell>
          <cell r="D1932" t="str">
            <v>Q3</v>
          </cell>
        </row>
        <row r="1933">
          <cell r="A1933">
            <v>45517</v>
          </cell>
          <cell r="B1933">
            <v>83.284999999999997</v>
          </cell>
          <cell r="C1933">
            <v>2024</v>
          </cell>
          <cell r="D1933" t="str">
            <v>Q3</v>
          </cell>
        </row>
        <row r="1934">
          <cell r="A1934">
            <v>45518</v>
          </cell>
          <cell r="B1934">
            <v>82.864999999999995</v>
          </cell>
          <cell r="C1934">
            <v>2024</v>
          </cell>
          <cell r="D1934" t="str">
            <v>Q3</v>
          </cell>
        </row>
        <row r="1935">
          <cell r="A1935">
            <v>45519</v>
          </cell>
          <cell r="B1935">
            <v>84.15</v>
          </cell>
          <cell r="C1935">
            <v>2024</v>
          </cell>
          <cell r="D1935" t="str">
            <v>Q3</v>
          </cell>
        </row>
        <row r="1936">
          <cell r="A1936">
            <v>45520</v>
          </cell>
          <cell r="B1936">
            <v>82.265000000000001</v>
          </cell>
          <cell r="C1936">
            <v>2024</v>
          </cell>
          <cell r="D1936" t="str">
            <v>Q3</v>
          </cell>
        </row>
        <row r="1937">
          <cell r="A1937">
            <v>45523</v>
          </cell>
          <cell r="B1937">
            <v>81.75</v>
          </cell>
          <cell r="C1937">
            <v>2024</v>
          </cell>
          <cell r="D1937" t="str">
            <v>Q3</v>
          </cell>
        </row>
        <row r="1938">
          <cell r="A1938">
            <v>45524</v>
          </cell>
          <cell r="B1938">
            <v>79.484999999999999</v>
          </cell>
          <cell r="C1938">
            <v>2024</v>
          </cell>
          <cell r="D1938" t="str">
            <v>Q3</v>
          </cell>
        </row>
        <row r="1939">
          <cell r="A1939">
            <v>45525</v>
          </cell>
          <cell r="B1939">
            <v>79.64</v>
          </cell>
          <cell r="C1939">
            <v>2024</v>
          </cell>
          <cell r="D1939" t="str">
            <v>Q3</v>
          </cell>
        </row>
        <row r="1940">
          <cell r="A1940">
            <v>45526</v>
          </cell>
          <cell r="B1940">
            <v>79.614999999999995</v>
          </cell>
          <cell r="C1940">
            <v>2024</v>
          </cell>
          <cell r="D1940" t="str">
            <v>Q3</v>
          </cell>
        </row>
        <row r="1941">
          <cell r="A1941">
            <v>45527</v>
          </cell>
          <cell r="B1941">
            <v>81.045000000000002</v>
          </cell>
          <cell r="C1941">
            <v>2024</v>
          </cell>
          <cell r="D1941" t="str">
            <v>Q3</v>
          </cell>
        </row>
        <row r="1942">
          <cell r="A1942">
            <v>45531</v>
          </cell>
          <cell r="B1942">
            <v>82.314999999999998</v>
          </cell>
          <cell r="C1942">
            <v>2024</v>
          </cell>
          <cell r="D1942" t="str">
            <v>Q3</v>
          </cell>
        </row>
        <row r="1943">
          <cell r="A1943">
            <v>45532</v>
          </cell>
          <cell r="B1943">
            <v>81.08</v>
          </cell>
          <cell r="C1943">
            <v>2024</v>
          </cell>
          <cell r="D1943" t="str">
            <v>Q3</v>
          </cell>
        </row>
        <row r="1944">
          <cell r="A1944">
            <v>45533</v>
          </cell>
          <cell r="B1944">
            <v>82.424999999999997</v>
          </cell>
          <cell r="C1944">
            <v>2024</v>
          </cell>
          <cell r="D1944" t="str">
            <v>Q3</v>
          </cell>
        </row>
        <row r="1945">
          <cell r="A1945">
            <v>45534</v>
          </cell>
          <cell r="B1945">
            <v>79.95</v>
          </cell>
          <cell r="C1945">
            <v>2024</v>
          </cell>
          <cell r="D1945" t="str">
            <v>Q3</v>
          </cell>
        </row>
        <row r="1946">
          <cell r="A1946">
            <v>45537</v>
          </cell>
          <cell r="B1946">
            <v>79.584999999999994</v>
          </cell>
          <cell r="C1946">
            <v>2024</v>
          </cell>
          <cell r="D1946" t="str">
            <v>Q3</v>
          </cell>
        </row>
        <row r="1947">
          <cell r="A1947">
            <v>45538</v>
          </cell>
          <cell r="B1947">
            <v>75.78</v>
          </cell>
          <cell r="C1947">
            <v>2024</v>
          </cell>
          <cell r="D1947" t="str">
            <v>Q3</v>
          </cell>
        </row>
        <row r="1948">
          <cell r="A1948">
            <v>45539</v>
          </cell>
          <cell r="B1948">
            <v>75.084999999999994</v>
          </cell>
          <cell r="C1948">
            <v>2024</v>
          </cell>
          <cell r="D1948" t="str">
            <v>Q3</v>
          </cell>
        </row>
        <row r="1949">
          <cell r="A1949">
            <v>45540</v>
          </cell>
          <cell r="B1949">
            <v>74.92</v>
          </cell>
          <cell r="C1949">
            <v>2024</v>
          </cell>
          <cell r="D1949" t="str">
            <v>Q3</v>
          </cell>
        </row>
        <row r="1950">
          <cell r="A1950">
            <v>45541</v>
          </cell>
          <cell r="B1950">
            <v>72.734999999999999</v>
          </cell>
          <cell r="C1950">
            <v>2024</v>
          </cell>
          <cell r="D1950" t="str">
            <v>Q3</v>
          </cell>
        </row>
        <row r="1951">
          <cell r="A1951">
            <v>45544</v>
          </cell>
          <cell r="B1951">
            <v>72.010000000000005</v>
          </cell>
          <cell r="C1951">
            <v>2024</v>
          </cell>
          <cell r="D1951" t="str">
            <v>Q3</v>
          </cell>
        </row>
        <row r="1952">
          <cell r="A1952">
            <v>45545</v>
          </cell>
          <cell r="B1952">
            <v>70.685000000000002</v>
          </cell>
          <cell r="C1952">
            <v>2024</v>
          </cell>
          <cell r="D1952" t="str">
            <v>Q3</v>
          </cell>
        </row>
        <row r="1953">
          <cell r="A1953">
            <v>45546</v>
          </cell>
          <cell r="B1953">
            <v>71.010000000000005</v>
          </cell>
          <cell r="C1953">
            <v>2024</v>
          </cell>
          <cell r="D1953" t="str">
            <v>Q3</v>
          </cell>
        </row>
        <row r="1954">
          <cell r="A1954">
            <v>45547</v>
          </cell>
          <cell r="B1954">
            <v>74.599999999999994</v>
          </cell>
          <cell r="C1954">
            <v>2024</v>
          </cell>
          <cell r="D1954" t="str">
            <v>Q3</v>
          </cell>
        </row>
        <row r="1955">
          <cell r="A1955">
            <v>45548</v>
          </cell>
          <cell r="B1955">
            <v>74.02</v>
          </cell>
          <cell r="C1955">
            <v>2024</v>
          </cell>
          <cell r="D1955" t="str">
            <v>Q3</v>
          </cell>
        </row>
        <row r="1956">
          <cell r="A1956">
            <v>45551</v>
          </cell>
          <cell r="B1956">
            <v>73.834999999999994</v>
          </cell>
          <cell r="C1956">
            <v>2024</v>
          </cell>
          <cell r="D1956" t="str">
            <v>Q3</v>
          </cell>
        </row>
        <row r="1957">
          <cell r="A1957">
            <v>45552</v>
          </cell>
          <cell r="B1957">
            <v>74.644999999999996</v>
          </cell>
          <cell r="C1957">
            <v>2024</v>
          </cell>
          <cell r="D1957" t="str">
            <v>Q3</v>
          </cell>
        </row>
        <row r="1958">
          <cell r="A1958">
            <v>45553</v>
          </cell>
          <cell r="B1958">
            <v>75.075000000000003</v>
          </cell>
          <cell r="C1958">
            <v>2024</v>
          </cell>
          <cell r="D1958" t="str">
            <v>Q3</v>
          </cell>
        </row>
        <row r="1959">
          <cell r="A1959">
            <v>45554</v>
          </cell>
          <cell r="B1959">
            <v>76.52</v>
          </cell>
          <cell r="C1959">
            <v>2024</v>
          </cell>
          <cell r="D1959" t="str">
            <v>Q3</v>
          </cell>
        </row>
        <row r="1960">
          <cell r="A1960">
            <v>45555</v>
          </cell>
          <cell r="B1960">
            <v>76.075000000000003</v>
          </cell>
          <cell r="C1960">
            <v>2024</v>
          </cell>
          <cell r="D1960" t="str">
            <v>Q3</v>
          </cell>
        </row>
        <row r="1961">
          <cell r="A1961">
            <v>45558</v>
          </cell>
          <cell r="B1961">
            <v>75.13</v>
          </cell>
          <cell r="C1961">
            <v>2024</v>
          </cell>
          <cell r="D1961" t="str">
            <v>Q3</v>
          </cell>
        </row>
        <row r="1962">
          <cell r="A1962">
            <v>45559</v>
          </cell>
          <cell r="B1962">
            <v>75.765000000000001</v>
          </cell>
          <cell r="C1962">
            <v>2024</v>
          </cell>
          <cell r="D1962" t="str">
            <v>Q3</v>
          </cell>
        </row>
        <row r="1963">
          <cell r="A1963">
            <v>45560</v>
          </cell>
          <cell r="B1963">
            <v>75.314999999999998</v>
          </cell>
          <cell r="C1963">
            <v>2024</v>
          </cell>
          <cell r="D1963" t="str">
            <v>Q3</v>
          </cell>
        </row>
        <row r="1964">
          <cell r="A1964">
            <v>45561</v>
          </cell>
          <cell r="B1964">
            <v>72.489999999999995</v>
          </cell>
          <cell r="C1964">
            <v>2024</v>
          </cell>
          <cell r="D1964" t="str">
            <v>Q3</v>
          </cell>
        </row>
        <row r="1965">
          <cell r="A1965">
            <v>45562</v>
          </cell>
          <cell r="B1965">
            <v>71.974999999999994</v>
          </cell>
          <cell r="C1965">
            <v>2024</v>
          </cell>
          <cell r="D1965" t="str">
            <v>Q3</v>
          </cell>
        </row>
        <row r="1966">
          <cell r="A1966">
            <v>45565</v>
          </cell>
          <cell r="B1966">
            <v>72.894999999999996</v>
          </cell>
          <cell r="C1966">
            <v>2024</v>
          </cell>
          <cell r="D1966" t="str">
            <v>Q3</v>
          </cell>
        </row>
        <row r="1967">
          <cell r="A1967">
            <v>45566</v>
          </cell>
          <cell r="B1967">
            <v>75.36</v>
          </cell>
          <cell r="C1967">
            <v>2024</v>
          </cell>
          <cell r="D1967" t="str">
            <v>Q4</v>
          </cell>
        </row>
        <row r="1968">
          <cell r="A1968">
            <v>45567</v>
          </cell>
          <cell r="B1968">
            <v>74.775000000000006</v>
          </cell>
          <cell r="C1968">
            <v>2024</v>
          </cell>
          <cell r="D1968" t="str">
            <v>Q4</v>
          </cell>
        </row>
        <row r="1969">
          <cell r="A1969">
            <v>45568</v>
          </cell>
          <cell r="B1969">
            <v>77.94</v>
          </cell>
          <cell r="C1969">
            <v>2024</v>
          </cell>
          <cell r="D1969" t="str">
            <v>Q4</v>
          </cell>
        </row>
        <row r="1970">
          <cell r="A1970">
            <v>45569</v>
          </cell>
          <cell r="B1970">
            <v>79.400000000000006</v>
          </cell>
          <cell r="C1970">
            <v>2024</v>
          </cell>
          <cell r="D1970" t="str">
            <v>Q4</v>
          </cell>
        </row>
        <row r="1971">
          <cell r="A1971">
            <v>45572</v>
          </cell>
          <cell r="B1971">
            <v>81.19</v>
          </cell>
          <cell r="C1971">
            <v>2024</v>
          </cell>
          <cell r="D1971" t="str">
            <v>Q4</v>
          </cell>
        </row>
        <row r="1972">
          <cell r="A1972">
            <v>45573</v>
          </cell>
          <cell r="B1972">
            <v>77.87</v>
          </cell>
          <cell r="C1972">
            <v>2024</v>
          </cell>
          <cell r="D1972" t="str">
            <v>Q4</v>
          </cell>
        </row>
        <row r="1973">
          <cell r="A1973">
            <v>45574</v>
          </cell>
          <cell r="B1973">
            <v>77.7</v>
          </cell>
          <cell r="C1973">
            <v>2024</v>
          </cell>
          <cell r="D1973" t="str">
            <v>Q4</v>
          </cell>
        </row>
        <row r="1974">
          <cell r="A1974">
            <v>45575</v>
          </cell>
          <cell r="B1974">
            <v>79.224999999999994</v>
          </cell>
          <cell r="C1974">
            <v>2024</v>
          </cell>
          <cell r="D1974" t="str">
            <v>Q4</v>
          </cell>
        </row>
        <row r="1975">
          <cell r="A1975">
            <v>45576</v>
          </cell>
          <cell r="B1975">
            <v>80.05</v>
          </cell>
          <cell r="C1975">
            <v>2024</v>
          </cell>
          <cell r="D1975" t="str">
            <v>Q4</v>
          </cell>
        </row>
        <row r="1976">
          <cell r="A1976">
            <v>45579</v>
          </cell>
          <cell r="B1976">
            <v>77.930000000000007</v>
          </cell>
          <cell r="C1976">
            <v>2024</v>
          </cell>
          <cell r="D1976" t="str">
            <v>Q4</v>
          </cell>
        </row>
        <row r="1977">
          <cell r="A1977">
            <v>45580</v>
          </cell>
          <cell r="B1977">
            <v>73.655000000000001</v>
          </cell>
          <cell r="C1977">
            <v>2024</v>
          </cell>
          <cell r="D1977" t="str">
            <v>Q4</v>
          </cell>
        </row>
        <row r="1978">
          <cell r="A1978">
            <v>45581</v>
          </cell>
          <cell r="B1978">
            <v>74.055000000000007</v>
          </cell>
          <cell r="C1978">
            <v>2024</v>
          </cell>
          <cell r="D1978" t="str">
            <v>Q4</v>
          </cell>
        </row>
        <row r="1979">
          <cell r="A1979">
            <v>45582</v>
          </cell>
          <cell r="B1979">
            <v>74.180000000000007</v>
          </cell>
          <cell r="C1979">
            <v>2024</v>
          </cell>
          <cell r="D1979" t="str">
            <v>Q4</v>
          </cell>
        </row>
        <row r="1980">
          <cell r="A1980">
            <v>45583</v>
          </cell>
          <cell r="B1980">
            <v>72.59</v>
          </cell>
          <cell r="C1980">
            <v>2024</v>
          </cell>
          <cell r="D1980" t="str">
            <v>Q4</v>
          </cell>
        </row>
        <row r="1981">
          <cell r="A1981">
            <v>45586</v>
          </cell>
          <cell r="B1981">
            <v>73.555000000000007</v>
          </cell>
          <cell r="C1981">
            <v>2024</v>
          </cell>
          <cell r="D1981" t="str">
            <v>Q4</v>
          </cell>
        </row>
        <row r="1982">
          <cell r="A1982">
            <v>45587</v>
          </cell>
          <cell r="B1982">
            <v>75.795000000000002</v>
          </cell>
          <cell r="C1982">
            <v>2024</v>
          </cell>
          <cell r="D1982" t="str">
            <v>Q4</v>
          </cell>
        </row>
        <row r="1983">
          <cell r="A1983">
            <v>45588</v>
          </cell>
          <cell r="B1983">
            <v>74.790000000000006</v>
          </cell>
          <cell r="C1983">
            <v>2024</v>
          </cell>
          <cell r="D1983" t="str">
            <v>Q4</v>
          </cell>
        </row>
        <row r="1984">
          <cell r="A1984">
            <v>45589</v>
          </cell>
          <cell r="B1984">
            <v>74.569999999999993</v>
          </cell>
          <cell r="C1984">
            <v>2024</v>
          </cell>
          <cell r="D1984" t="str">
            <v>Q4</v>
          </cell>
        </row>
        <row r="1985">
          <cell r="A1985">
            <v>45590</v>
          </cell>
          <cell r="B1985">
            <v>75.849999999999994</v>
          </cell>
          <cell r="C1985">
            <v>2024</v>
          </cell>
          <cell r="D1985" t="str">
            <v>Q4</v>
          </cell>
        </row>
        <row r="1986">
          <cell r="A1986">
            <v>45593</v>
          </cell>
          <cell r="B1986">
            <v>72.16</v>
          </cell>
          <cell r="C1986">
            <v>2024</v>
          </cell>
          <cell r="D1986" t="str">
            <v>Q4</v>
          </cell>
        </row>
        <row r="1987">
          <cell r="A1987">
            <v>45594</v>
          </cell>
          <cell r="B1987">
            <v>71.284999999999997</v>
          </cell>
          <cell r="C1987">
            <v>2024</v>
          </cell>
          <cell r="D1987" t="str">
            <v>Q4</v>
          </cell>
        </row>
        <row r="1988">
          <cell r="A1988">
            <v>45595</v>
          </cell>
          <cell r="B1988">
            <v>73.03</v>
          </cell>
          <cell r="C1988">
            <v>2024</v>
          </cell>
          <cell r="D1988" t="str">
            <v>Q4</v>
          </cell>
        </row>
        <row r="1989">
          <cell r="A1989">
            <v>45596</v>
          </cell>
          <cell r="B1989">
            <v>73.28</v>
          </cell>
          <cell r="C1989">
            <v>2024</v>
          </cell>
          <cell r="D1989" t="str">
            <v>Q4</v>
          </cell>
        </row>
        <row r="1990">
          <cell r="A1990">
            <v>45597</v>
          </cell>
          <cell r="B1990">
            <v>74.08</v>
          </cell>
          <cell r="C1990">
            <v>2024</v>
          </cell>
          <cell r="D1990" t="str">
            <v>Q4</v>
          </cell>
        </row>
        <row r="1991">
          <cell r="A1991">
            <v>45600</v>
          </cell>
          <cell r="B1991">
            <v>75.260000000000005</v>
          </cell>
          <cell r="C1991">
            <v>2024</v>
          </cell>
          <cell r="D1991" t="str">
            <v>Q4</v>
          </cell>
        </row>
        <row r="1992">
          <cell r="A1992">
            <v>45601</v>
          </cell>
          <cell r="B1992">
            <v>76.775000000000006</v>
          </cell>
          <cell r="C1992">
            <v>2024</v>
          </cell>
          <cell r="D1992" t="str">
            <v>Q4</v>
          </cell>
        </row>
        <row r="1993">
          <cell r="A1993">
            <v>45602</v>
          </cell>
          <cell r="B1993">
            <v>76.03</v>
          </cell>
          <cell r="C1993">
            <v>2024</v>
          </cell>
          <cell r="D1993" t="str">
            <v>Q4</v>
          </cell>
        </row>
        <row r="1994">
          <cell r="A1994">
            <v>45603</v>
          </cell>
          <cell r="B1994">
            <v>75.62</v>
          </cell>
          <cell r="C1994">
            <v>2024</v>
          </cell>
          <cell r="D1994" t="str">
            <v>Q4</v>
          </cell>
        </row>
        <row r="1995">
          <cell r="A1995">
            <v>45604</v>
          </cell>
          <cell r="B1995">
            <v>74.05</v>
          </cell>
          <cell r="C1995">
            <v>2024</v>
          </cell>
          <cell r="D1995" t="str">
            <v>Q4</v>
          </cell>
        </row>
        <row r="1996">
          <cell r="A1996">
            <v>45607</v>
          </cell>
          <cell r="B1996">
            <v>72.37</v>
          </cell>
          <cell r="C1996">
            <v>2024</v>
          </cell>
          <cell r="D1996" t="str">
            <v>Q4</v>
          </cell>
        </row>
        <row r="1997">
          <cell r="A1997">
            <v>45608</v>
          </cell>
          <cell r="B1997">
            <v>72.915000000000006</v>
          </cell>
          <cell r="C1997">
            <v>2024</v>
          </cell>
          <cell r="D1997" t="str">
            <v>Q4</v>
          </cell>
        </row>
        <row r="1998">
          <cell r="A1998">
            <v>45609</v>
          </cell>
          <cell r="B1998">
            <v>73.540000000000006</v>
          </cell>
          <cell r="C1998">
            <v>2024</v>
          </cell>
          <cell r="D1998" t="str">
            <v>Q4</v>
          </cell>
        </row>
        <row r="1999">
          <cell r="A1999">
            <v>45610</v>
          </cell>
          <cell r="B1999">
            <v>73.344999999999999</v>
          </cell>
          <cell r="C1999">
            <v>2024</v>
          </cell>
          <cell r="D1999" t="str">
            <v>Q4</v>
          </cell>
        </row>
        <row r="2000">
          <cell r="A2000">
            <v>45611</v>
          </cell>
          <cell r="B2000">
            <v>73.435000000000002</v>
          </cell>
          <cell r="C2000">
            <v>2024</v>
          </cell>
          <cell r="D2000" t="str">
            <v>Q4</v>
          </cell>
        </row>
        <row r="2001">
          <cell r="A2001">
            <v>45614</v>
          </cell>
          <cell r="B2001">
            <v>74.459999999999994</v>
          </cell>
          <cell r="C2001">
            <v>2024</v>
          </cell>
          <cell r="D2001" t="str">
            <v>Q4</v>
          </cell>
        </row>
        <row r="2002">
          <cell r="A2002">
            <v>45615</v>
          </cell>
          <cell r="B2002">
            <v>73.97</v>
          </cell>
          <cell r="C2002">
            <v>2024</v>
          </cell>
          <cell r="D2002" t="str">
            <v>Q4</v>
          </cell>
        </row>
        <row r="2003">
          <cell r="A2003">
            <v>45616</v>
          </cell>
          <cell r="B2003">
            <v>74.435000000000002</v>
          </cell>
          <cell r="C2003">
            <v>2024</v>
          </cell>
          <cell r="D2003" t="str">
            <v>Q4</v>
          </cell>
        </row>
        <row r="2004">
          <cell r="A2004">
            <v>45617</v>
          </cell>
          <cell r="B2004">
            <v>75.16</v>
          </cell>
          <cell r="C2004">
            <v>2024</v>
          </cell>
          <cell r="D2004" t="str">
            <v>Q4</v>
          </cell>
        </row>
        <row r="2005">
          <cell r="A2005">
            <v>45618</v>
          </cell>
          <cell r="B2005">
            <v>76.084999999999994</v>
          </cell>
          <cell r="C2005">
            <v>2024</v>
          </cell>
          <cell r="D2005" t="str">
            <v>Q4</v>
          </cell>
        </row>
        <row r="2006">
          <cell r="A2006">
            <v>45621</v>
          </cell>
          <cell r="B2006">
            <v>74.28</v>
          </cell>
          <cell r="C2006">
            <v>2024</v>
          </cell>
          <cell r="D2006" t="str">
            <v>Q4</v>
          </cell>
        </row>
        <row r="2007">
          <cell r="A2007">
            <v>45622</v>
          </cell>
          <cell r="B2007">
            <v>74.564999999999998</v>
          </cell>
          <cell r="C2007">
            <v>2024</v>
          </cell>
          <cell r="D2007" t="str">
            <v>Q4</v>
          </cell>
        </row>
        <row r="2008">
          <cell r="A2008">
            <v>45623</v>
          </cell>
          <cell r="B2008">
            <v>73.900000000000006</v>
          </cell>
          <cell r="C2008">
            <v>2024</v>
          </cell>
          <cell r="D2008" t="str">
            <v>Q4</v>
          </cell>
        </row>
        <row r="2009">
          <cell r="A2009">
            <v>45624</v>
          </cell>
          <cell r="B2009">
            <v>73.754999999999995</v>
          </cell>
          <cell r="C2009">
            <v>2024</v>
          </cell>
          <cell r="D2009" t="str">
            <v>Q4</v>
          </cell>
        </row>
        <row r="2010">
          <cell r="A2010">
            <v>45625</v>
          </cell>
          <cell r="B2010">
            <v>74.265000000000001</v>
          </cell>
          <cell r="C2010">
            <v>2024</v>
          </cell>
          <cell r="D2010" t="str">
            <v>Q4</v>
          </cell>
        </row>
        <row r="2011">
          <cell r="A2011">
            <v>45628</v>
          </cell>
          <cell r="B2011">
            <v>73.06</v>
          </cell>
          <cell r="C2011">
            <v>2024</v>
          </cell>
          <cell r="D2011" t="str">
            <v>Q4</v>
          </cell>
        </row>
        <row r="2012">
          <cell r="A2012">
            <v>45629</v>
          </cell>
          <cell r="B2012">
            <v>74.995000000000005</v>
          </cell>
          <cell r="C2012">
            <v>2024</v>
          </cell>
          <cell r="D2012" t="str">
            <v>Q4</v>
          </cell>
        </row>
        <row r="2013">
          <cell r="A2013">
            <v>45630</v>
          </cell>
          <cell r="B2013">
            <v>74.849999999999994</v>
          </cell>
          <cell r="C2013">
            <v>2024</v>
          </cell>
          <cell r="D2013" t="str">
            <v>Q4</v>
          </cell>
        </row>
        <row r="2014">
          <cell r="A2014">
            <v>45631</v>
          </cell>
          <cell r="B2014">
            <v>73.754999999999995</v>
          </cell>
          <cell r="C2014">
            <v>2024</v>
          </cell>
          <cell r="D2014" t="str">
            <v>Q4</v>
          </cell>
        </row>
        <row r="2015">
          <cell r="A2015">
            <v>45632</v>
          </cell>
          <cell r="B2015">
            <v>72.625</v>
          </cell>
          <cell r="C2015">
            <v>2024</v>
          </cell>
          <cell r="D2015" t="str">
            <v>Q4</v>
          </cell>
        </row>
        <row r="2016">
          <cell r="A2016">
            <v>45635</v>
          </cell>
          <cell r="B2016">
            <v>73.67</v>
          </cell>
          <cell r="C2016">
            <v>2024</v>
          </cell>
          <cell r="D2016" t="str">
            <v>Q4</v>
          </cell>
        </row>
        <row r="2017">
          <cell r="A2017">
            <v>45636</v>
          </cell>
          <cell r="B2017">
            <v>73.77</v>
          </cell>
          <cell r="C2017">
            <v>2024</v>
          </cell>
          <cell r="D2017" t="str">
            <v>Q4</v>
          </cell>
        </row>
        <row r="2018">
          <cell r="A2018">
            <v>45637</v>
          </cell>
          <cell r="B2018">
            <v>74.245000000000005</v>
          </cell>
          <cell r="C2018">
            <v>2024</v>
          </cell>
          <cell r="D2018" t="str">
            <v>Q4</v>
          </cell>
        </row>
        <row r="2019">
          <cell r="A2019">
            <v>45638</v>
          </cell>
          <cell r="B2019">
            <v>73.599999999999994</v>
          </cell>
          <cell r="C2019">
            <v>2024</v>
          </cell>
          <cell r="D2019" t="str">
            <v>Q4</v>
          </cell>
        </row>
        <row r="2020">
          <cell r="A2020">
            <v>45639</v>
          </cell>
          <cell r="B2020">
            <v>75.010000000000005</v>
          </cell>
          <cell r="C2020">
            <v>2024</v>
          </cell>
          <cell r="D2020" t="str">
            <v>Q4</v>
          </cell>
        </row>
        <row r="2021">
          <cell r="A2021">
            <v>45642</v>
          </cell>
          <cell r="B2021">
            <v>74.61</v>
          </cell>
          <cell r="C2021">
            <v>2024</v>
          </cell>
          <cell r="D2021" t="str">
            <v>Q4</v>
          </cell>
        </row>
        <row r="2022">
          <cell r="A2022">
            <v>45643</v>
          </cell>
          <cell r="B2022">
            <v>73.525000000000006</v>
          </cell>
          <cell r="C2022">
            <v>2024</v>
          </cell>
          <cell r="D2022" t="str">
            <v>Q4</v>
          </cell>
        </row>
        <row r="2023">
          <cell r="A2023">
            <v>45644</v>
          </cell>
          <cell r="B2023">
            <v>74.81</v>
          </cell>
          <cell r="C2023">
            <v>2024</v>
          </cell>
          <cell r="D2023" t="str">
            <v>Q4</v>
          </cell>
        </row>
        <row r="2024">
          <cell r="A2024">
            <v>45645</v>
          </cell>
          <cell r="B2024">
            <v>73.185000000000002</v>
          </cell>
          <cell r="C2024">
            <v>2024</v>
          </cell>
          <cell r="D2024" t="str">
            <v>Q4</v>
          </cell>
        </row>
        <row r="2025">
          <cell r="A2025">
            <v>45646</v>
          </cell>
          <cell r="B2025">
            <v>73.394999999999996</v>
          </cell>
          <cell r="C2025">
            <v>2024</v>
          </cell>
          <cell r="D2025" t="str">
            <v>Q4</v>
          </cell>
        </row>
        <row r="2026">
          <cell r="A2026">
            <v>45649</v>
          </cell>
          <cell r="B2026">
            <v>72.295000000000002</v>
          </cell>
          <cell r="C2026">
            <v>2024</v>
          </cell>
          <cell r="D2026" t="str">
            <v>Q4</v>
          </cell>
        </row>
        <row r="2027">
          <cell r="A2027">
            <v>45650</v>
          </cell>
          <cell r="B2027">
            <v>73.239999999999995</v>
          </cell>
          <cell r="C2027">
            <v>2024</v>
          </cell>
          <cell r="D2027" t="str">
            <v>Q4</v>
          </cell>
        </row>
        <row r="2028">
          <cell r="A2028">
            <v>45653</v>
          </cell>
          <cell r="B2028">
            <v>73.959999999999994</v>
          </cell>
          <cell r="C2028">
            <v>2024</v>
          </cell>
          <cell r="D2028" t="str">
            <v>Q4</v>
          </cell>
        </row>
        <row r="2029">
          <cell r="A2029">
            <v>45656</v>
          </cell>
          <cell r="B2029">
            <v>73.95</v>
          </cell>
          <cell r="C2029">
            <v>2024</v>
          </cell>
          <cell r="D2029" t="str">
            <v>Q4</v>
          </cell>
        </row>
        <row r="2030">
          <cell r="A2030">
            <v>45657</v>
          </cell>
          <cell r="B2030">
            <v>74.105000000000004</v>
          </cell>
          <cell r="C2030">
            <v>2024</v>
          </cell>
          <cell r="D2030" t="str">
            <v>Q4</v>
          </cell>
        </row>
        <row r="2031">
          <cell r="A2031">
            <v>45659</v>
          </cell>
          <cell r="B2031">
            <v>76.344999999999999</v>
          </cell>
          <cell r="C2031">
            <v>2025</v>
          </cell>
          <cell r="D2031" t="str">
            <v>Q1</v>
          </cell>
        </row>
        <row r="2032">
          <cell r="A2032">
            <v>45660</v>
          </cell>
          <cell r="B2032">
            <v>76.650000000000006</v>
          </cell>
          <cell r="C2032">
            <v>2025</v>
          </cell>
          <cell r="D2032" t="str">
            <v>Q1</v>
          </cell>
        </row>
        <row r="2033">
          <cell r="A2033">
            <v>45663</v>
          </cell>
          <cell r="B2033">
            <v>77.510000000000005</v>
          </cell>
          <cell r="C2033">
            <v>2025</v>
          </cell>
          <cell r="D2033" t="str">
            <v>Q1</v>
          </cell>
        </row>
        <row r="2034">
          <cell r="A2034">
            <v>45664</v>
          </cell>
          <cell r="B2034">
            <v>77.84</v>
          </cell>
          <cell r="C2034">
            <v>2025</v>
          </cell>
          <cell r="D2034" t="str">
            <v>Q1</v>
          </cell>
        </row>
        <row r="2035">
          <cell r="A2035">
            <v>45665</v>
          </cell>
          <cell r="B2035">
            <v>77.094999999999999</v>
          </cell>
          <cell r="C2035">
            <v>2025</v>
          </cell>
          <cell r="D2035" t="str">
            <v>Q1</v>
          </cell>
        </row>
        <row r="2036">
          <cell r="A2036">
            <v>45666</v>
          </cell>
          <cell r="B2036">
            <v>78.025000000000006</v>
          </cell>
          <cell r="C2036">
            <v>2025</v>
          </cell>
          <cell r="D2036" t="str">
            <v>Q1</v>
          </cell>
        </row>
        <row r="2037">
          <cell r="A2037">
            <v>45667</v>
          </cell>
          <cell r="B2037">
            <v>80.349999999999994</v>
          </cell>
          <cell r="C2037">
            <v>2025</v>
          </cell>
          <cell r="D2037" t="str">
            <v>Q1</v>
          </cell>
        </row>
        <row r="2038">
          <cell r="A2038">
            <v>45670</v>
          </cell>
          <cell r="B2038">
            <v>82.915000000000006</v>
          </cell>
          <cell r="C2038">
            <v>2025</v>
          </cell>
          <cell r="D2038" t="str">
            <v>Q1</v>
          </cell>
        </row>
        <row r="2039">
          <cell r="A2039">
            <v>45671</v>
          </cell>
          <cell r="B2039">
            <v>81.8</v>
          </cell>
          <cell r="C2039">
            <v>2025</v>
          </cell>
          <cell r="D2039" t="str">
            <v>Q1</v>
          </cell>
        </row>
        <row r="2040">
          <cell r="A2040">
            <v>45672</v>
          </cell>
          <cell r="B2040">
            <v>83.01</v>
          </cell>
          <cell r="C2040">
            <v>2025</v>
          </cell>
          <cell r="D2040" t="str">
            <v>Q1</v>
          </cell>
        </row>
        <row r="2041">
          <cell r="A2041">
            <v>45673</v>
          </cell>
          <cell r="B2041">
            <v>82.11</v>
          </cell>
          <cell r="C2041">
            <v>2025</v>
          </cell>
          <cell r="D2041" t="str">
            <v>Q1</v>
          </cell>
        </row>
        <row r="2042">
          <cell r="A2042">
            <v>45674</v>
          </cell>
          <cell r="B2042">
            <v>82.194999999999993</v>
          </cell>
          <cell r="C2042">
            <v>2025</v>
          </cell>
          <cell r="D2042" t="str">
            <v>Q1</v>
          </cell>
        </row>
        <row r="2043">
          <cell r="A2043">
            <v>45677</v>
          </cell>
          <cell r="B2043">
            <v>80.69</v>
          </cell>
          <cell r="C2043">
            <v>2025</v>
          </cell>
          <cell r="D2043" t="str">
            <v>Q1</v>
          </cell>
        </row>
        <row r="2044">
          <cell r="A2044">
            <v>45678</v>
          </cell>
          <cell r="B2044">
            <v>80.31</v>
          </cell>
          <cell r="C2044">
            <v>2025</v>
          </cell>
          <cell r="D2044" t="str">
            <v>Q1</v>
          </cell>
        </row>
        <row r="2045">
          <cell r="A2045">
            <v>45679</v>
          </cell>
          <cell r="B2045">
            <v>79.864999999999995</v>
          </cell>
          <cell r="C2045">
            <v>2025</v>
          </cell>
          <cell r="D2045" t="str">
            <v>Q1</v>
          </cell>
        </row>
        <row r="2046">
          <cell r="A2046">
            <v>45680</v>
          </cell>
          <cell r="B2046">
            <v>78.92</v>
          </cell>
          <cell r="C2046">
            <v>2025</v>
          </cell>
          <cell r="D2046" t="str">
            <v>Q1</v>
          </cell>
        </row>
        <row r="2047">
          <cell r="A2047">
            <v>45681</v>
          </cell>
          <cell r="B2047">
            <v>78.81</v>
          </cell>
          <cell r="C2047">
            <v>2025</v>
          </cell>
          <cell r="D2047" t="str">
            <v>Q1</v>
          </cell>
        </row>
        <row r="2048">
          <cell r="A2048">
            <v>45684</v>
          </cell>
          <cell r="B2048">
            <v>77.885000000000005</v>
          </cell>
          <cell r="C2048">
            <v>2025</v>
          </cell>
          <cell r="D2048" t="str">
            <v>Q1</v>
          </cell>
        </row>
        <row r="2049">
          <cell r="A2049">
            <v>45685</v>
          </cell>
          <cell r="B2049">
            <v>77.77</v>
          </cell>
          <cell r="C2049">
            <v>2025</v>
          </cell>
          <cell r="D2049" t="str">
            <v>Q1</v>
          </cell>
        </row>
        <row r="2050">
          <cell r="A2050">
            <v>45686</v>
          </cell>
          <cell r="B2050">
            <v>77.8</v>
          </cell>
          <cell r="C2050">
            <v>2025</v>
          </cell>
          <cell r="D2050" t="str">
            <v>Q1</v>
          </cell>
        </row>
        <row r="2051">
          <cell r="A2051">
            <v>45687</v>
          </cell>
          <cell r="B2051">
            <v>77.655000000000001</v>
          </cell>
          <cell r="C2051">
            <v>2025</v>
          </cell>
          <cell r="D2051" t="str">
            <v>Q1</v>
          </cell>
        </row>
        <row r="2052">
          <cell r="A2052">
            <v>45688</v>
          </cell>
          <cell r="B2052">
            <v>76.98</v>
          </cell>
          <cell r="C2052">
            <v>2025</v>
          </cell>
          <cell r="D2052" t="str">
            <v>Q1</v>
          </cell>
        </row>
        <row r="2053">
          <cell r="A2053">
            <v>45691</v>
          </cell>
          <cell r="B2053">
            <v>76.150000000000006</v>
          </cell>
          <cell r="C2053">
            <v>2025</v>
          </cell>
          <cell r="D2053" t="str">
            <v>Q1</v>
          </cell>
        </row>
        <row r="2054">
          <cell r="A2054">
            <v>45692</v>
          </cell>
          <cell r="B2054">
            <v>76.424999999999997</v>
          </cell>
          <cell r="C2054">
            <v>2025</v>
          </cell>
          <cell r="D2054" t="str">
            <v>Q1</v>
          </cell>
        </row>
        <row r="2055">
          <cell r="A2055">
            <v>45693</v>
          </cell>
          <cell r="B2055">
            <v>74.745000000000005</v>
          </cell>
          <cell r="C2055">
            <v>2025</v>
          </cell>
          <cell r="D2055" t="str">
            <v>Q1</v>
          </cell>
        </row>
        <row r="2056">
          <cell r="A2056">
            <v>45694</v>
          </cell>
          <cell r="B2056">
            <v>74.894999999999996</v>
          </cell>
          <cell r="C2056">
            <v>2025</v>
          </cell>
          <cell r="D2056" t="str">
            <v>Q1</v>
          </cell>
        </row>
        <row r="2057">
          <cell r="A2057">
            <v>45695</v>
          </cell>
          <cell r="B2057">
            <v>74.290000000000006</v>
          </cell>
          <cell r="C2057">
            <v>2025</v>
          </cell>
          <cell r="D2057" t="str">
            <v>Q1</v>
          </cell>
        </row>
        <row r="2058">
          <cell r="A2058">
            <v>45698</v>
          </cell>
          <cell r="B2058">
            <v>76.040000000000006</v>
          </cell>
          <cell r="C2058">
            <v>2025</v>
          </cell>
          <cell r="D2058" t="str">
            <v>Q1</v>
          </cell>
        </row>
        <row r="2059">
          <cell r="A2059">
            <v>45699</v>
          </cell>
          <cell r="B2059">
            <v>77.03</v>
          </cell>
          <cell r="C2059">
            <v>2025</v>
          </cell>
          <cell r="D2059" t="str">
            <v>Q1</v>
          </cell>
        </row>
        <row r="2060">
          <cell r="A2060">
            <v>45700</v>
          </cell>
          <cell r="B2060">
            <v>75.875</v>
          </cell>
          <cell r="C2060">
            <v>2025</v>
          </cell>
          <cell r="D2060" t="str">
            <v>Q1</v>
          </cell>
        </row>
        <row r="2061">
          <cell r="A2061">
            <v>45701</v>
          </cell>
          <cell r="B2061">
            <v>75.150000000000006</v>
          </cell>
          <cell r="C2061">
            <v>2025</v>
          </cell>
          <cell r="D2061" t="str">
            <v>Q1</v>
          </cell>
        </row>
        <row r="2062">
          <cell r="A2062">
            <v>45702</v>
          </cell>
          <cell r="B2062">
            <v>75</v>
          </cell>
          <cell r="C2062">
            <v>2025</v>
          </cell>
          <cell r="D2062" t="str">
            <v>Q1</v>
          </cell>
        </row>
        <row r="2063">
          <cell r="A2063">
            <v>45705</v>
          </cell>
          <cell r="B2063">
            <v>75.265000000000001</v>
          </cell>
          <cell r="C2063">
            <v>2025</v>
          </cell>
          <cell r="D2063" t="str">
            <v>Q1</v>
          </cell>
        </row>
        <row r="2064">
          <cell r="A2064">
            <v>45706</v>
          </cell>
          <cell r="B2064">
            <v>75.89</v>
          </cell>
          <cell r="C2064">
            <v>2025</v>
          </cell>
          <cell r="D2064" t="str">
            <v>Q1</v>
          </cell>
        </row>
        <row r="2065">
          <cell r="A2065">
            <v>45707</v>
          </cell>
          <cell r="B2065">
            <v>76.584999999999994</v>
          </cell>
          <cell r="C2065">
            <v>2025</v>
          </cell>
          <cell r="D2065" t="str">
            <v>Q1</v>
          </cell>
        </row>
        <row r="2066">
          <cell r="A2066">
            <v>45708</v>
          </cell>
          <cell r="B2066">
            <v>77</v>
          </cell>
          <cell r="C2066">
            <v>2025</v>
          </cell>
          <cell r="D2066" t="str">
            <v>Q1</v>
          </cell>
        </row>
        <row r="2067">
          <cell r="A2067">
            <v>45709</v>
          </cell>
          <cell r="B2067">
            <v>75.025000000000006</v>
          </cell>
          <cell r="C2067">
            <v>2025</v>
          </cell>
          <cell r="D2067" t="str">
            <v>Q1</v>
          </cell>
        </row>
        <row r="2068">
          <cell r="A2068">
            <v>45712</v>
          </cell>
          <cell r="B2068">
            <v>74.66</v>
          </cell>
          <cell r="C2068">
            <v>2025</v>
          </cell>
          <cell r="D2068" t="str">
            <v>Q1</v>
          </cell>
        </row>
        <row r="2069">
          <cell r="A2069">
            <v>45713</v>
          </cell>
          <cell r="B2069">
            <v>72.885000000000005</v>
          </cell>
          <cell r="C2069">
            <v>2025</v>
          </cell>
          <cell r="D2069" t="str">
            <v>Q1</v>
          </cell>
        </row>
        <row r="2070">
          <cell r="A2070">
            <v>45714</v>
          </cell>
          <cell r="B2070">
            <v>72.834999999999994</v>
          </cell>
          <cell r="C2070">
            <v>2025</v>
          </cell>
          <cell r="D2070" t="str">
            <v>Q1</v>
          </cell>
        </row>
        <row r="2071">
          <cell r="A2071">
            <v>45715</v>
          </cell>
          <cell r="B2071">
            <v>73.97</v>
          </cell>
          <cell r="C2071">
            <v>2025</v>
          </cell>
          <cell r="D2071" t="str">
            <v>Q1</v>
          </cell>
        </row>
        <row r="2072">
          <cell r="A2072">
            <v>45716</v>
          </cell>
          <cell r="B2072">
            <v>73.424999999999997</v>
          </cell>
          <cell r="C2072">
            <v>2025</v>
          </cell>
          <cell r="D2072" t="str">
            <v>Q1</v>
          </cell>
        </row>
        <row r="2073">
          <cell r="A2073">
            <v>45719</v>
          </cell>
          <cell r="B2073">
            <v>73.825000000000003</v>
          </cell>
          <cell r="C2073">
            <v>2025</v>
          </cell>
          <cell r="D2073" t="str">
            <v>Q1</v>
          </cell>
        </row>
        <row r="2074">
          <cell r="A2074">
            <v>45720</v>
          </cell>
          <cell r="B2074">
            <v>71.745000000000005</v>
          </cell>
          <cell r="C2074">
            <v>2025</v>
          </cell>
          <cell r="D2074" t="str">
            <v>Q1</v>
          </cell>
        </row>
        <row r="2075">
          <cell r="A2075">
            <v>45721</v>
          </cell>
          <cell r="B2075">
            <v>69.814999999999998</v>
          </cell>
          <cell r="C2075">
            <v>2025</v>
          </cell>
          <cell r="D2075" t="str">
            <v>Q1</v>
          </cell>
        </row>
        <row r="2076">
          <cell r="A2076">
            <v>45722</v>
          </cell>
          <cell r="B2076">
            <v>70.290000000000006</v>
          </cell>
          <cell r="C2076">
            <v>2025</v>
          </cell>
          <cell r="D2076" t="str">
            <v>Q1</v>
          </cell>
        </row>
        <row r="2077">
          <cell r="A2077">
            <v>45723</v>
          </cell>
          <cell r="B2077">
            <v>72.045000000000002</v>
          </cell>
          <cell r="C2077">
            <v>2025</v>
          </cell>
          <cell r="D2077" t="str">
            <v>Q1</v>
          </cell>
        </row>
        <row r="2078">
          <cell r="A2078">
            <v>45726</v>
          </cell>
          <cell r="B2078">
            <v>71.11</v>
          </cell>
          <cell r="C2078">
            <v>2025</v>
          </cell>
          <cell r="D2078" t="str">
            <v>Q1</v>
          </cell>
        </row>
        <row r="2079">
          <cell r="A2079">
            <v>45727</v>
          </cell>
          <cell r="B2079">
            <v>71.2</v>
          </cell>
          <cell r="C2079">
            <v>2025</v>
          </cell>
          <cell r="D2079" t="str">
            <v>Q1</v>
          </cell>
        </row>
        <row r="2080">
          <cell r="A2080">
            <v>45728</v>
          </cell>
          <cell r="B2080">
            <v>72.245000000000005</v>
          </cell>
          <cell r="C2080">
            <v>2025</v>
          </cell>
          <cell r="D2080" t="str">
            <v>Q1</v>
          </cell>
        </row>
        <row r="2081">
          <cell r="A2081">
            <v>45729</v>
          </cell>
          <cell r="B2081">
            <v>71.405000000000001</v>
          </cell>
          <cell r="C2081">
            <v>2025</v>
          </cell>
          <cell r="D2081" t="str">
            <v>Q1</v>
          </cell>
        </row>
        <row r="2082">
          <cell r="A2082">
            <v>45730</v>
          </cell>
          <cell r="B2082">
            <v>71.61</v>
          </cell>
          <cell r="C2082">
            <v>2025</v>
          </cell>
          <cell r="D2082" t="str">
            <v>Q1</v>
          </cell>
        </row>
        <row r="2083">
          <cell r="A2083">
            <v>45733</v>
          </cell>
          <cell r="B2083">
            <v>72.37</v>
          </cell>
          <cell r="C2083">
            <v>2025</v>
          </cell>
          <cell r="D2083" t="str">
            <v>Q1</v>
          </cell>
        </row>
        <row r="2084">
          <cell r="A2084">
            <v>45734</v>
          </cell>
          <cell r="B2084">
            <v>71.775000000000006</v>
          </cell>
          <cell r="C2084">
            <v>2025</v>
          </cell>
          <cell r="D2084" t="str">
            <v>Q1</v>
          </cell>
        </row>
        <row r="2085">
          <cell r="A2085">
            <v>45735</v>
          </cell>
          <cell r="B2085">
            <v>71.5</v>
          </cell>
          <cell r="C2085">
            <v>2025</v>
          </cell>
          <cell r="D2085" t="str">
            <v>Q1</v>
          </cell>
        </row>
        <row r="2086">
          <cell r="A2086">
            <v>45736</v>
          </cell>
          <cell r="B2086">
            <v>72.515000000000001</v>
          </cell>
          <cell r="C2086">
            <v>2025</v>
          </cell>
          <cell r="D2086" t="str">
            <v>Q1</v>
          </cell>
        </row>
        <row r="2087">
          <cell r="A2087">
            <v>45737</v>
          </cell>
          <cell r="B2087">
            <v>72.510000000000005</v>
          </cell>
          <cell r="C2087">
            <v>2025</v>
          </cell>
          <cell r="D2087" t="str">
            <v>Q1</v>
          </cell>
        </row>
        <row r="2088">
          <cell r="A2088">
            <v>45740</v>
          </cell>
          <cell r="B2088">
            <v>73.709999999999994</v>
          </cell>
          <cell r="C2088">
            <v>2025</v>
          </cell>
          <cell r="D2088" t="str">
            <v>Q1</v>
          </cell>
        </row>
        <row r="2089">
          <cell r="A2089">
            <v>45741</v>
          </cell>
          <cell r="B2089">
            <v>73.525000000000006</v>
          </cell>
          <cell r="C2089">
            <v>2025</v>
          </cell>
          <cell r="D2089" t="str">
            <v>Q1</v>
          </cell>
        </row>
        <row r="2090">
          <cell r="A2090">
            <v>45742</v>
          </cell>
          <cell r="B2090">
            <v>74.760000000000005</v>
          </cell>
          <cell r="C2090">
            <v>2025</v>
          </cell>
          <cell r="D2090" t="str">
            <v>Q1</v>
          </cell>
        </row>
        <row r="2091">
          <cell r="A2091">
            <v>45743</v>
          </cell>
          <cell r="B2091">
            <v>74.495000000000005</v>
          </cell>
          <cell r="C2091">
            <v>2025</v>
          </cell>
          <cell r="D2091" t="str">
            <v>Q1</v>
          </cell>
        </row>
        <row r="2092">
          <cell r="A2092">
            <v>45744</v>
          </cell>
          <cell r="B2092">
            <v>74.435000000000002</v>
          </cell>
          <cell r="C2092">
            <v>2025</v>
          </cell>
          <cell r="D2092" t="str">
            <v>Q1</v>
          </cell>
        </row>
        <row r="2093">
          <cell r="A2093">
            <v>45747</v>
          </cell>
          <cell r="B2093">
            <v>77.165000000000006</v>
          </cell>
          <cell r="C2093">
            <v>2025</v>
          </cell>
          <cell r="D2093" t="str">
            <v>Q1</v>
          </cell>
        </row>
        <row r="2094">
          <cell r="A2094">
            <v>45748</v>
          </cell>
          <cell r="B2094">
            <v>77.62</v>
          </cell>
          <cell r="C2094">
            <v>2025</v>
          </cell>
          <cell r="D2094" t="str">
            <v>Q2</v>
          </cell>
        </row>
        <row r="2095">
          <cell r="A2095">
            <v>45749</v>
          </cell>
          <cell r="B2095">
            <v>77.33</v>
          </cell>
          <cell r="C2095">
            <v>2025</v>
          </cell>
          <cell r="D2095" t="str">
            <v>Q2</v>
          </cell>
        </row>
        <row r="2096">
          <cell r="A2096">
            <v>45750</v>
          </cell>
          <cell r="B2096">
            <v>72.424999999999997</v>
          </cell>
          <cell r="C2096">
            <v>2025</v>
          </cell>
          <cell r="D2096" t="str">
            <v>Q2</v>
          </cell>
        </row>
        <row r="2097">
          <cell r="A2097">
            <v>45751</v>
          </cell>
          <cell r="B2097">
            <v>67.94</v>
          </cell>
          <cell r="C2097">
            <v>2025</v>
          </cell>
          <cell r="D2097" t="str">
            <v>Q2</v>
          </cell>
        </row>
        <row r="2098">
          <cell r="A2098">
            <v>45754</v>
          </cell>
          <cell r="B2098">
            <v>66.66</v>
          </cell>
          <cell r="C2098">
            <v>2025</v>
          </cell>
          <cell r="D2098" t="str">
            <v>Q2</v>
          </cell>
        </row>
        <row r="2099">
          <cell r="A2099">
            <v>45755</v>
          </cell>
          <cell r="B2099">
            <v>66.150000000000006</v>
          </cell>
          <cell r="C2099">
            <v>2025</v>
          </cell>
          <cell r="D2099" t="str">
            <v>Q2</v>
          </cell>
        </row>
        <row r="2100">
          <cell r="A2100">
            <v>45756</v>
          </cell>
          <cell r="B2100">
            <v>62.6</v>
          </cell>
          <cell r="C2100">
            <v>2025</v>
          </cell>
          <cell r="D2100" t="str">
            <v>Q2</v>
          </cell>
        </row>
        <row r="2101">
          <cell r="A2101">
            <v>45757</v>
          </cell>
          <cell r="B2101">
            <v>65.385000000000005</v>
          </cell>
          <cell r="C2101">
            <v>2025</v>
          </cell>
          <cell r="D2101" t="str">
            <v>Q2</v>
          </cell>
        </row>
        <row r="2102">
          <cell r="A2102">
            <v>45758</v>
          </cell>
          <cell r="B2102">
            <v>65.825000000000003</v>
          </cell>
          <cell r="C2102">
            <v>2025</v>
          </cell>
          <cell r="D2102" t="str">
            <v>Q2</v>
          </cell>
        </row>
        <row r="2103">
          <cell r="A2103">
            <v>45761</v>
          </cell>
          <cell r="B2103">
            <v>66.81</v>
          </cell>
          <cell r="C2103">
            <v>2025</v>
          </cell>
          <cell r="D2103" t="str">
            <v>Q2</v>
          </cell>
        </row>
        <row r="2104">
          <cell r="A2104">
            <v>45762</v>
          </cell>
          <cell r="B2104">
            <v>66.34</v>
          </cell>
          <cell r="C2104">
            <v>2025</v>
          </cell>
          <cell r="D2104" t="str">
            <v>Q2</v>
          </cell>
        </row>
        <row r="2105">
          <cell r="A2105">
            <v>45763</v>
          </cell>
          <cell r="B2105">
            <v>67.605000000000004</v>
          </cell>
          <cell r="C2105">
            <v>2025</v>
          </cell>
          <cell r="D2105" t="str">
            <v>Q2</v>
          </cell>
        </row>
        <row r="2106">
          <cell r="A2106">
            <v>45764</v>
          </cell>
          <cell r="B2106">
            <v>68.12</v>
          </cell>
          <cell r="C2106">
            <v>2025</v>
          </cell>
          <cell r="D2106" t="str">
            <v>Q2</v>
          </cell>
        </row>
        <row r="2107">
          <cell r="A2107">
            <v>45769</v>
          </cell>
          <cell r="B2107">
            <v>69</v>
          </cell>
          <cell r="C2107">
            <v>2025</v>
          </cell>
          <cell r="D2107" t="str">
            <v>Q2</v>
          </cell>
        </row>
        <row r="2108">
          <cell r="A2108">
            <v>45770</v>
          </cell>
          <cell r="B2108">
            <v>66.944999999999993</v>
          </cell>
          <cell r="C2108">
            <v>2025</v>
          </cell>
          <cell r="D2108" t="str">
            <v>Q2</v>
          </cell>
        </row>
        <row r="2109">
          <cell r="A2109">
            <v>45771</v>
          </cell>
          <cell r="B2109">
            <v>67.265000000000001</v>
          </cell>
          <cell r="C2109">
            <v>2025</v>
          </cell>
          <cell r="D2109" t="str">
            <v>Q2</v>
          </cell>
        </row>
        <row r="2110">
          <cell r="A2110">
            <v>45772</v>
          </cell>
          <cell r="B2110">
            <v>67.484999999999999</v>
          </cell>
          <cell r="C2110">
            <v>2025</v>
          </cell>
          <cell r="D2110" t="str">
            <v>Q2</v>
          </cell>
        </row>
        <row r="2111">
          <cell r="A2111">
            <v>45775</v>
          </cell>
          <cell r="B2111">
            <v>65.849999999999994</v>
          </cell>
          <cell r="C2111">
            <v>2025</v>
          </cell>
          <cell r="D2111" t="str">
            <v>Q2</v>
          </cell>
        </row>
        <row r="2112">
          <cell r="A2112">
            <v>45776</v>
          </cell>
          <cell r="B2112">
            <v>64.344999999999999</v>
          </cell>
          <cell r="C2112">
            <v>2025</v>
          </cell>
          <cell r="D2112" t="str">
            <v>Q2</v>
          </cell>
        </row>
        <row r="2113">
          <cell r="A2113">
            <v>45777</v>
          </cell>
          <cell r="B2113">
            <v>63.2</v>
          </cell>
          <cell r="C2113">
            <v>2025</v>
          </cell>
          <cell r="D2113" t="str">
            <v>Q2</v>
          </cell>
        </row>
        <row r="2114">
          <cell r="A2114">
            <v>45778</v>
          </cell>
          <cell r="B2114">
            <v>61.52</v>
          </cell>
          <cell r="C2114">
            <v>2025</v>
          </cell>
          <cell r="D2114" t="str">
            <v>Q2</v>
          </cell>
        </row>
        <row r="2115">
          <cell r="A2115">
            <v>45779</v>
          </cell>
          <cell r="B2115">
            <v>61.405000000000001</v>
          </cell>
          <cell r="C2115">
            <v>2025</v>
          </cell>
          <cell r="D2115" t="str">
            <v>Q2</v>
          </cell>
        </row>
        <row r="2116">
          <cell r="A2116">
            <v>45783</v>
          </cell>
          <cell r="B2116">
            <v>62.704999999999998</v>
          </cell>
          <cell r="C2116">
            <v>2025</v>
          </cell>
          <cell r="D2116" t="str">
            <v>Q2</v>
          </cell>
        </row>
        <row r="2117">
          <cell r="A2117">
            <v>45784</v>
          </cell>
          <cell r="B2117">
            <v>61.07</v>
          </cell>
          <cell r="C2117">
            <v>2025</v>
          </cell>
          <cell r="D2117" t="str">
            <v>Q2</v>
          </cell>
        </row>
        <row r="2118">
          <cell r="A2118">
            <v>45785</v>
          </cell>
          <cell r="B2118">
            <v>62.3</v>
          </cell>
          <cell r="C2118">
            <v>2025</v>
          </cell>
          <cell r="D2118" t="str">
            <v>Q2</v>
          </cell>
        </row>
        <row r="2119">
          <cell r="A2119">
            <v>45786</v>
          </cell>
          <cell r="B2119">
            <v>63.414999999999999</v>
          </cell>
          <cell r="C2119">
            <v>2025</v>
          </cell>
          <cell r="D2119" t="str">
            <v>Q2</v>
          </cell>
        </row>
        <row r="2120">
          <cell r="A2120">
            <v>45789</v>
          </cell>
          <cell r="B2120">
            <v>64.95</v>
          </cell>
          <cell r="C2120">
            <v>2025</v>
          </cell>
          <cell r="D2120" t="str">
            <v>Q2</v>
          </cell>
        </row>
        <row r="2121">
          <cell r="A2121">
            <v>45790</v>
          </cell>
          <cell r="B2121">
            <v>66.144999999999996</v>
          </cell>
          <cell r="C2121">
            <v>2025</v>
          </cell>
          <cell r="D2121" t="str">
            <v>Q2</v>
          </cell>
        </row>
        <row r="2122">
          <cell r="A2122">
            <v>45791</v>
          </cell>
          <cell r="B2122">
            <v>65.915000000000006</v>
          </cell>
          <cell r="C2122">
            <v>2025</v>
          </cell>
          <cell r="D2122" t="str">
            <v>Q2</v>
          </cell>
        </row>
        <row r="2123">
          <cell r="A2123">
            <v>45792</v>
          </cell>
          <cell r="B2123">
            <v>64.015000000000001</v>
          </cell>
          <cell r="C2123">
            <v>2025</v>
          </cell>
          <cell r="D2123" t="str">
            <v>Q2</v>
          </cell>
        </row>
        <row r="2124">
          <cell r="A2124">
            <v>45793</v>
          </cell>
          <cell r="B2124">
            <v>65.075000000000003</v>
          </cell>
          <cell r="C2124">
            <v>2025</v>
          </cell>
          <cell r="D2124" t="str">
            <v>Q2</v>
          </cell>
        </row>
        <row r="2125">
          <cell r="A2125">
            <v>45796</v>
          </cell>
          <cell r="B2125">
            <v>66.034999999999997</v>
          </cell>
          <cell r="C2125">
            <v>2025</v>
          </cell>
          <cell r="D2125" t="str">
            <v>Q2</v>
          </cell>
        </row>
        <row r="2126">
          <cell r="A2126">
            <v>45797</v>
          </cell>
          <cell r="B2126">
            <v>65.55</v>
          </cell>
          <cell r="C2126">
            <v>2025</v>
          </cell>
          <cell r="D2126" t="str">
            <v>Q2</v>
          </cell>
        </row>
        <row r="2127">
          <cell r="A2127">
            <v>45798</v>
          </cell>
          <cell r="B2127">
            <v>65.42</v>
          </cell>
          <cell r="C2127">
            <v>2025</v>
          </cell>
          <cell r="D2127" t="str">
            <v>Q2</v>
          </cell>
        </row>
        <row r="2128">
          <cell r="A2128">
            <v>45799</v>
          </cell>
          <cell r="B2128">
            <v>64.680000000000007</v>
          </cell>
          <cell r="C2128">
            <v>2025</v>
          </cell>
          <cell r="D2128" t="str">
            <v>Q2</v>
          </cell>
        </row>
        <row r="2129">
          <cell r="A2129">
            <v>45800</v>
          </cell>
          <cell r="B2129">
            <v>65.53</v>
          </cell>
          <cell r="C2129">
            <v>2025</v>
          </cell>
          <cell r="D2129" t="str">
            <v>Q2</v>
          </cell>
        </row>
        <row r="2130">
          <cell r="A2130">
            <v>45804</v>
          </cell>
          <cell r="B2130">
            <v>64.254999999999995</v>
          </cell>
          <cell r="C2130">
            <v>2025</v>
          </cell>
          <cell r="D2130" t="str">
            <v>Q2</v>
          </cell>
        </row>
        <row r="2131">
          <cell r="A2131">
            <v>45805</v>
          </cell>
          <cell r="B2131">
            <v>65.465000000000003</v>
          </cell>
          <cell r="C2131">
            <v>2025</v>
          </cell>
          <cell r="D2131" t="str">
            <v>Q2</v>
          </cell>
        </row>
        <row r="2132">
          <cell r="A2132">
            <v>45806</v>
          </cell>
          <cell r="B2132">
            <v>64.760000000000005</v>
          </cell>
          <cell r="C2132">
            <v>2025</v>
          </cell>
          <cell r="D2132" t="str">
            <v>Q2</v>
          </cell>
        </row>
        <row r="2133">
          <cell r="A2133">
            <v>45807</v>
          </cell>
          <cell r="B2133">
            <v>63.91</v>
          </cell>
          <cell r="C2133">
            <v>2025</v>
          </cell>
          <cell r="D2133" t="str">
            <v>Q2</v>
          </cell>
        </row>
        <row r="2134">
          <cell r="A2134">
            <v>45810</v>
          </cell>
          <cell r="B2134">
            <v>66.78</v>
          </cell>
          <cell r="C2134">
            <v>2025</v>
          </cell>
          <cell r="D2134" t="str">
            <v>Q2</v>
          </cell>
        </row>
        <row r="2135">
          <cell r="A2135">
            <v>45811</v>
          </cell>
          <cell r="B2135">
            <v>67.88</v>
          </cell>
          <cell r="C2135">
            <v>2025</v>
          </cell>
          <cell r="D2135" t="str">
            <v>Q2</v>
          </cell>
        </row>
        <row r="2136">
          <cell r="A2136">
            <v>45812</v>
          </cell>
          <cell r="B2136">
            <v>66.5</v>
          </cell>
          <cell r="C2136">
            <v>2025</v>
          </cell>
          <cell r="D2136" t="str">
            <v>Q2</v>
          </cell>
        </row>
        <row r="2137">
          <cell r="A2137">
            <v>45813</v>
          </cell>
          <cell r="B2137">
            <v>67.25</v>
          </cell>
          <cell r="C2137">
            <v>2025</v>
          </cell>
          <cell r="D2137" t="str">
            <v>Q2</v>
          </cell>
        </row>
        <row r="2138">
          <cell r="A2138">
            <v>45814</v>
          </cell>
          <cell r="B2138">
            <v>68.165000000000006</v>
          </cell>
          <cell r="C2138">
            <v>2025</v>
          </cell>
          <cell r="D2138" t="str">
            <v>Q2</v>
          </cell>
        </row>
        <row r="2139">
          <cell r="A2139">
            <v>45817</v>
          </cell>
          <cell r="B2139">
            <v>68.894999999999996</v>
          </cell>
          <cell r="C2139">
            <v>2025</v>
          </cell>
          <cell r="D2139" t="str">
            <v>Q2</v>
          </cell>
        </row>
        <row r="2140">
          <cell r="A2140">
            <v>45818</v>
          </cell>
          <cell r="B2140">
            <v>69.674999999999997</v>
          </cell>
          <cell r="C2140">
            <v>2025</v>
          </cell>
          <cell r="D2140" t="str">
            <v>Q2</v>
          </cell>
        </row>
        <row r="2141">
          <cell r="A2141">
            <v>45819</v>
          </cell>
          <cell r="B2141">
            <v>69.67</v>
          </cell>
          <cell r="C2141">
            <v>2025</v>
          </cell>
          <cell r="D2141" t="str">
            <v>Q2</v>
          </cell>
        </row>
        <row r="2142">
          <cell r="A2142">
            <v>45820</v>
          </cell>
          <cell r="B2142">
            <v>70.864999999999995</v>
          </cell>
          <cell r="C2142">
            <v>2025</v>
          </cell>
          <cell r="D2142" t="str">
            <v>Q2</v>
          </cell>
        </row>
        <row r="2143">
          <cell r="A2143">
            <v>45821</v>
          </cell>
          <cell r="B2143">
            <v>75.185000000000002</v>
          </cell>
          <cell r="C2143">
            <v>2025</v>
          </cell>
          <cell r="D2143" t="str">
            <v>Q2</v>
          </cell>
        </row>
        <row r="2144">
          <cell r="A2144">
            <v>45824</v>
          </cell>
          <cell r="B2144">
            <v>73.614999999999995</v>
          </cell>
          <cell r="C2144">
            <v>2025</v>
          </cell>
          <cell r="D2144" t="str">
            <v>Q2</v>
          </cell>
        </row>
        <row r="2145">
          <cell r="A2145">
            <v>45825</v>
          </cell>
          <cell r="B2145">
            <v>77.385000000000005</v>
          </cell>
          <cell r="C2145">
            <v>2025</v>
          </cell>
          <cell r="D2145" t="str">
            <v>Q2</v>
          </cell>
        </row>
        <row r="2146">
          <cell r="A2146">
            <v>45826</v>
          </cell>
          <cell r="B2146">
            <v>77.045000000000002</v>
          </cell>
          <cell r="C2146">
            <v>2025</v>
          </cell>
          <cell r="D2146" t="str">
            <v>Q2</v>
          </cell>
        </row>
        <row r="2147">
          <cell r="A2147">
            <v>45827</v>
          </cell>
          <cell r="B2147">
            <v>80.594999999999999</v>
          </cell>
          <cell r="C2147">
            <v>2025</v>
          </cell>
          <cell r="D2147" t="str">
            <v>Q2</v>
          </cell>
        </row>
        <row r="2148">
          <cell r="A2148">
            <v>45828</v>
          </cell>
          <cell r="B2148">
            <v>78.155000000000001</v>
          </cell>
          <cell r="C2148">
            <v>2025</v>
          </cell>
          <cell r="D2148" t="str">
            <v>Q2</v>
          </cell>
        </row>
        <row r="2149">
          <cell r="A2149">
            <v>45831</v>
          </cell>
          <cell r="B2149">
            <v>77.655000000000001</v>
          </cell>
          <cell r="C2149">
            <v>2025</v>
          </cell>
          <cell r="D2149" t="str">
            <v>Q2</v>
          </cell>
        </row>
        <row r="2150">
          <cell r="A2150">
            <v>45832</v>
          </cell>
          <cell r="B2150">
            <v>69.14</v>
          </cell>
          <cell r="C2150">
            <v>2025</v>
          </cell>
          <cell r="D2150" t="str">
            <v>Q2</v>
          </cell>
        </row>
        <row r="2151">
          <cell r="A2151">
            <v>45833</v>
          </cell>
          <cell r="B2151">
            <v>69.215000000000003</v>
          </cell>
          <cell r="C2151">
            <v>2025</v>
          </cell>
          <cell r="D2151" t="str">
            <v>Q2</v>
          </cell>
        </row>
        <row r="2152">
          <cell r="A2152">
            <v>45834</v>
          </cell>
          <cell r="B2152">
            <v>69.814999999999998</v>
          </cell>
          <cell r="C2152">
            <v>2025</v>
          </cell>
          <cell r="D2152" t="str">
            <v>Q2</v>
          </cell>
        </row>
        <row r="2153">
          <cell r="A2153">
            <v>45835</v>
          </cell>
          <cell r="B2153">
            <v>69.010000000000005</v>
          </cell>
          <cell r="C2153">
            <v>2025</v>
          </cell>
          <cell r="D2153" t="str">
            <v>Q2</v>
          </cell>
        </row>
        <row r="2154">
          <cell r="A2154">
            <v>45838</v>
          </cell>
          <cell r="B2154">
            <v>67.959999999999994</v>
          </cell>
          <cell r="C2154">
            <v>2025</v>
          </cell>
          <cell r="D2154" t="str">
            <v>Q2</v>
          </cell>
        </row>
        <row r="2155">
          <cell r="A2155">
            <v>45839</v>
          </cell>
          <cell r="B2155">
            <v>68.665000000000006</v>
          </cell>
          <cell r="C2155">
            <v>2025</v>
          </cell>
          <cell r="D2155" t="str">
            <v>Q3</v>
          </cell>
        </row>
        <row r="2156">
          <cell r="A2156">
            <v>45840</v>
          </cell>
          <cell r="B2156">
            <v>69.754999999999995</v>
          </cell>
          <cell r="C2156">
            <v>2025</v>
          </cell>
          <cell r="D2156" t="str">
            <v>Q3</v>
          </cell>
        </row>
        <row r="2157">
          <cell r="A2157">
            <v>45841</v>
          </cell>
          <cell r="B2157">
            <v>71.204999999999998</v>
          </cell>
          <cell r="C2157">
            <v>2025</v>
          </cell>
          <cell r="D2157" t="str">
            <v>Q3</v>
          </cell>
        </row>
        <row r="2158">
          <cell r="A2158">
            <v>45842</v>
          </cell>
          <cell r="B2158">
            <v>70.75</v>
          </cell>
          <cell r="C2158">
            <v>2025</v>
          </cell>
          <cell r="D2158" t="str">
            <v>Q3</v>
          </cell>
        </row>
        <row r="2159">
          <cell r="A2159">
            <v>45845</v>
          </cell>
          <cell r="B2159">
            <v>71.41</v>
          </cell>
          <cell r="C2159">
            <v>2025</v>
          </cell>
          <cell r="D2159" t="str">
            <v>Q3</v>
          </cell>
        </row>
        <row r="2160">
          <cell r="A2160">
            <v>45846</v>
          </cell>
          <cell r="B2160">
            <v>71.944999999999993</v>
          </cell>
          <cell r="C2160">
            <v>2025</v>
          </cell>
          <cell r="D2160" t="str">
            <v>Q3</v>
          </cell>
        </row>
        <row r="2161">
          <cell r="A2161">
            <v>45847</v>
          </cell>
          <cell r="B2161">
            <v>72.424999999999997</v>
          </cell>
          <cell r="C2161">
            <v>2025</v>
          </cell>
          <cell r="D2161" t="str">
            <v>Q3</v>
          </cell>
        </row>
        <row r="2162">
          <cell r="A2162">
            <v>45848</v>
          </cell>
          <cell r="B2162">
            <v>70.454999999999998</v>
          </cell>
          <cell r="C2162">
            <v>2025</v>
          </cell>
          <cell r="D2162" t="str">
            <v>Q3</v>
          </cell>
        </row>
        <row r="2163">
          <cell r="A2163">
            <v>45849</v>
          </cell>
          <cell r="B2163">
            <v>72.44</v>
          </cell>
          <cell r="C2163">
            <v>2025</v>
          </cell>
          <cell r="D2163" t="str">
            <v>Q3</v>
          </cell>
        </row>
        <row r="2164">
          <cell r="A2164">
            <v>45852</v>
          </cell>
          <cell r="B2164">
            <v>71.36</v>
          </cell>
          <cell r="C2164">
            <v>2025</v>
          </cell>
          <cell r="D2164" t="str">
            <v>Q3</v>
          </cell>
        </row>
        <row r="2165">
          <cell r="A2165">
            <v>45853</v>
          </cell>
          <cell r="B2165">
            <v>71.209999999999994</v>
          </cell>
          <cell r="C2165">
            <v>2025</v>
          </cell>
          <cell r="D2165" t="str">
            <v>Q3</v>
          </cell>
        </row>
        <row r="2166">
          <cell r="A2166">
            <v>45854</v>
          </cell>
          <cell r="B2166">
            <v>69.97</v>
          </cell>
          <cell r="C2166">
            <v>2025</v>
          </cell>
          <cell r="D2166" t="str">
            <v>Q3</v>
          </cell>
        </row>
        <row r="2167">
          <cell r="A2167">
            <v>45855</v>
          </cell>
          <cell r="B2167">
            <v>70.86</v>
          </cell>
          <cell r="C2167">
            <v>2025</v>
          </cell>
          <cell r="D2167" t="str">
            <v>Q3</v>
          </cell>
        </row>
        <row r="2168">
          <cell r="A2168">
            <v>45856</v>
          </cell>
          <cell r="B2168">
            <v>71.11</v>
          </cell>
          <cell r="C2168">
            <v>2025</v>
          </cell>
          <cell r="D2168" t="str">
            <v>Q3</v>
          </cell>
        </row>
        <row r="2169">
          <cell r="A2169">
            <v>45859</v>
          </cell>
          <cell r="B2169">
            <v>70.555000000000007</v>
          </cell>
          <cell r="C2169">
            <v>2025</v>
          </cell>
          <cell r="D2169" t="str">
            <v>Q3</v>
          </cell>
        </row>
        <row r="2170">
          <cell r="A2170">
            <v>45860</v>
          </cell>
          <cell r="B2170">
            <v>69.825000000000003</v>
          </cell>
          <cell r="C2170">
            <v>2025</v>
          </cell>
          <cell r="D2170" t="str">
            <v>Q3</v>
          </cell>
        </row>
        <row r="2171">
          <cell r="A2171">
            <v>45861</v>
          </cell>
          <cell r="B2171">
            <v>69.745000000000005</v>
          </cell>
          <cell r="C2171">
            <v>2025</v>
          </cell>
          <cell r="D2171" t="str">
            <v>Q3</v>
          </cell>
        </row>
        <row r="2172">
          <cell r="A2172">
            <v>45862</v>
          </cell>
          <cell r="B2172">
            <v>70.7</v>
          </cell>
          <cell r="C2172">
            <v>2025</v>
          </cell>
          <cell r="D2172" t="str">
            <v>Q3</v>
          </cell>
        </row>
        <row r="2173">
          <cell r="A2173">
            <v>45863</v>
          </cell>
          <cell r="B2173">
            <v>69.394999999999996</v>
          </cell>
          <cell r="C2173">
            <v>2025</v>
          </cell>
          <cell r="D2173" t="str">
            <v>Q3</v>
          </cell>
        </row>
        <row r="2174">
          <cell r="A2174">
            <v>45866</v>
          </cell>
          <cell r="B2174">
            <v>70.254999999999995</v>
          </cell>
          <cell r="C2174">
            <v>2025</v>
          </cell>
          <cell r="D2174" t="str">
            <v>Q3</v>
          </cell>
        </row>
        <row r="2175">
          <cell r="A2175">
            <v>45867</v>
          </cell>
          <cell r="B2175">
            <v>71.474999999999994</v>
          </cell>
          <cell r="C2175">
            <v>2025</v>
          </cell>
          <cell r="D2175" t="str">
            <v>Q3</v>
          </cell>
        </row>
        <row r="2176">
          <cell r="A2176">
            <v>45868</v>
          </cell>
          <cell r="B2176">
            <v>73.644999999999996</v>
          </cell>
          <cell r="C2176">
            <v>2025</v>
          </cell>
          <cell r="D2176" t="str">
            <v>Q3</v>
          </cell>
        </row>
        <row r="2177">
          <cell r="A2177">
            <v>45869</v>
          </cell>
          <cell r="B2177">
            <v>72.709999999999994</v>
          </cell>
          <cell r="C2177">
            <v>2025</v>
          </cell>
          <cell r="D2177" t="str">
            <v>Q3</v>
          </cell>
        </row>
        <row r="2178">
          <cell r="A2178">
            <v>45870</v>
          </cell>
          <cell r="B2178">
            <v>71.39</v>
          </cell>
          <cell r="C2178">
            <v>2025</v>
          </cell>
          <cell r="D2178" t="str">
            <v>Q3</v>
          </cell>
        </row>
        <row r="2179">
          <cell r="A2179">
            <v>45873</v>
          </cell>
          <cell r="B2179">
            <v>70.83</v>
          </cell>
          <cell r="C2179">
            <v>2025</v>
          </cell>
          <cell r="D2179" t="str">
            <v>Q3</v>
          </cell>
        </row>
        <row r="2180">
          <cell r="A2180">
            <v>45874</v>
          </cell>
          <cell r="B2180">
            <v>69.39</v>
          </cell>
          <cell r="C2180">
            <v>2025</v>
          </cell>
          <cell r="D2180" t="str">
            <v>Q3</v>
          </cell>
        </row>
        <row r="2181">
          <cell r="A2181">
            <v>45875</v>
          </cell>
          <cell r="B2181">
            <v>69.584999999999994</v>
          </cell>
          <cell r="C2181">
            <v>2025</v>
          </cell>
          <cell r="D2181" t="str">
            <v>Q3</v>
          </cell>
        </row>
        <row r="2182">
          <cell r="A2182">
            <v>45876</v>
          </cell>
          <cell r="B2182">
            <v>67.739999999999995</v>
          </cell>
          <cell r="C2182">
            <v>2025</v>
          </cell>
          <cell r="D2182" t="str">
            <v>Q3</v>
          </cell>
        </row>
        <row r="2183">
          <cell r="A2183">
            <v>45877</v>
          </cell>
          <cell r="B2183">
            <v>67.864999999999995</v>
          </cell>
          <cell r="C2183">
            <v>2025</v>
          </cell>
          <cell r="D2183" t="str">
            <v>Q3</v>
          </cell>
        </row>
        <row r="2184">
          <cell r="A2184">
            <v>45880</v>
          </cell>
          <cell r="B2184">
            <v>68.034999999999997</v>
          </cell>
          <cell r="C2184">
            <v>2025</v>
          </cell>
          <cell r="D2184" t="str">
            <v>Q3</v>
          </cell>
        </row>
        <row r="2185">
          <cell r="A2185">
            <v>45881</v>
          </cell>
          <cell r="B2185">
            <v>67.55</v>
          </cell>
          <cell r="C2185">
            <v>2025</v>
          </cell>
          <cell r="D2185" t="str">
            <v>Q3</v>
          </cell>
        </row>
        <row r="2186">
          <cell r="A2186">
            <v>45882</v>
          </cell>
          <cell r="B2186">
            <v>66.87</v>
          </cell>
          <cell r="C2186">
            <v>2025</v>
          </cell>
          <cell r="D2186" t="str">
            <v>Q3</v>
          </cell>
        </row>
        <row r="2187">
          <cell r="A2187">
            <v>45883</v>
          </cell>
          <cell r="B2187">
            <v>68.194999999999993</v>
          </cell>
          <cell r="C2187">
            <v>2025</v>
          </cell>
          <cell r="D2187" t="str">
            <v>Q3</v>
          </cell>
        </row>
        <row r="2188">
          <cell r="A2188">
            <v>45884</v>
          </cell>
          <cell r="B2188">
            <v>67.819999999999993</v>
          </cell>
          <cell r="C2188">
            <v>2025</v>
          </cell>
          <cell r="D2188" t="str">
            <v>Q3</v>
          </cell>
        </row>
        <row r="2189">
          <cell r="A2189">
            <v>45887</v>
          </cell>
          <cell r="B2189">
            <v>67.36</v>
          </cell>
          <cell r="C2189">
            <v>2025</v>
          </cell>
          <cell r="D2189" t="str">
            <v>Q3</v>
          </cell>
        </row>
        <row r="2190">
          <cell r="A2190">
            <v>45888</v>
          </cell>
          <cell r="B2190">
            <v>67.28</v>
          </cell>
          <cell r="C2190">
            <v>2025</v>
          </cell>
          <cell r="D2190" t="str">
            <v>Q3</v>
          </cell>
        </row>
        <row r="2191">
          <cell r="A2191">
            <v>45889</v>
          </cell>
          <cell r="B2191">
            <v>67.709999999999994</v>
          </cell>
          <cell r="C2191">
            <v>2025</v>
          </cell>
          <cell r="D2191" t="str">
            <v>Q3</v>
          </cell>
        </row>
        <row r="2192">
          <cell r="A2192">
            <v>45890</v>
          </cell>
          <cell r="B2192">
            <v>68.105000000000004</v>
          </cell>
          <cell r="C2192">
            <v>2025</v>
          </cell>
          <cell r="D2192" t="str">
            <v>Q3</v>
          </cell>
        </row>
        <row r="2193">
          <cell r="A2193">
            <v>45891</v>
          </cell>
          <cell r="B2193">
            <v>68.27</v>
          </cell>
          <cell r="C2193">
            <v>2025</v>
          </cell>
          <cell r="D2193" t="str">
            <v>Q3</v>
          </cell>
        </row>
        <row r="2194">
          <cell r="A2194">
            <v>45895</v>
          </cell>
          <cell r="B2194">
            <v>67.47</v>
          </cell>
          <cell r="C2194">
            <v>2025</v>
          </cell>
          <cell r="D2194" t="str">
            <v>Q3</v>
          </cell>
        </row>
        <row r="2195">
          <cell r="A2195">
            <v>45896</v>
          </cell>
          <cell r="B2195">
            <v>67.41</v>
          </cell>
          <cell r="C2195">
            <v>2025</v>
          </cell>
          <cell r="D2195" t="str">
            <v>Q3</v>
          </cell>
        </row>
        <row r="2196">
          <cell r="A2196">
            <v>45897</v>
          </cell>
          <cell r="B2196">
            <v>67.594999999999999</v>
          </cell>
          <cell r="C2196">
            <v>2025</v>
          </cell>
          <cell r="D2196" t="str">
            <v>Q3</v>
          </cell>
        </row>
        <row r="2197">
          <cell r="A2197">
            <v>45898</v>
          </cell>
          <cell r="B2197">
            <v>67.58</v>
          </cell>
          <cell r="C2197">
            <v>2025</v>
          </cell>
          <cell r="D2197" t="str">
            <v>Q3</v>
          </cell>
        </row>
        <row r="2198">
          <cell r="A2198">
            <v>45901</v>
          </cell>
          <cell r="B2198">
            <v>68.905000000000001</v>
          </cell>
          <cell r="C2198">
            <v>2025</v>
          </cell>
          <cell r="D2198" t="str">
            <v>Q3</v>
          </cell>
        </row>
        <row r="2199">
          <cell r="A2199">
            <v>45902</v>
          </cell>
          <cell r="B2199">
            <v>69.36</v>
          </cell>
          <cell r="C2199">
            <v>2025</v>
          </cell>
          <cell r="D2199" t="str">
            <v>Q3</v>
          </cell>
        </row>
        <row r="2200">
          <cell r="A2200">
            <v>45903</v>
          </cell>
          <cell r="B2200">
            <v>67.555000000000007</v>
          </cell>
          <cell r="C2200">
            <v>2025</v>
          </cell>
          <cell r="D2200" t="str">
            <v>Q3</v>
          </cell>
        </row>
        <row r="2201">
          <cell r="A2201">
            <v>45904</v>
          </cell>
          <cell r="B2201">
            <v>67.135000000000005</v>
          </cell>
          <cell r="C2201">
            <v>2025</v>
          </cell>
          <cell r="D2201" t="str">
            <v>Q3</v>
          </cell>
        </row>
        <row r="2202">
          <cell r="A2202">
            <v>45905</v>
          </cell>
          <cell r="B2202">
            <v>65.099999999999994</v>
          </cell>
          <cell r="C2202">
            <v>2025</v>
          </cell>
          <cell r="D2202" t="str">
            <v>Q3</v>
          </cell>
        </row>
        <row r="2203">
          <cell r="A2203">
            <v>45908</v>
          </cell>
          <cell r="B2203">
            <v>66.355000000000004</v>
          </cell>
          <cell r="C2203">
            <v>2025</v>
          </cell>
          <cell r="D2203" t="str">
            <v>Q3</v>
          </cell>
        </row>
        <row r="2204">
          <cell r="A2204">
            <v>45909</v>
          </cell>
          <cell r="B2204">
            <v>66.569999999999993</v>
          </cell>
          <cell r="C2204">
            <v>2025</v>
          </cell>
          <cell r="D2204" t="str">
            <v>Q3</v>
          </cell>
        </row>
        <row r="2205">
          <cell r="A2205">
            <v>45910</v>
          </cell>
          <cell r="B2205">
            <v>67.025000000000006</v>
          </cell>
          <cell r="C2205">
            <v>2025</v>
          </cell>
          <cell r="D2205" t="str">
            <v>Q3</v>
          </cell>
        </row>
        <row r="2206">
          <cell r="A2206">
            <v>45911</v>
          </cell>
          <cell r="B2206">
            <v>66.180000000000007</v>
          </cell>
          <cell r="C2206">
            <v>2025</v>
          </cell>
          <cell r="D2206" t="str">
            <v>Q3</v>
          </cell>
        </row>
        <row r="2207">
          <cell r="A2207">
            <v>45912</v>
          </cell>
          <cell r="B2207">
            <v>67.594999999999999</v>
          </cell>
          <cell r="C2207">
            <v>2025</v>
          </cell>
          <cell r="D2207" t="str">
            <v>Q3</v>
          </cell>
        </row>
        <row r="2208">
          <cell r="A2208">
            <v>45915</v>
          </cell>
          <cell r="B2208">
            <v>67.510000000000005</v>
          </cell>
          <cell r="C2208">
            <v>2025</v>
          </cell>
          <cell r="D2208" t="str">
            <v>Q3</v>
          </cell>
        </row>
        <row r="2209">
          <cell r="A2209">
            <v>45916</v>
          </cell>
          <cell r="B2209">
            <v>68.47</v>
          </cell>
          <cell r="C2209">
            <v>2025</v>
          </cell>
          <cell r="D2209" t="str">
            <v>Q3</v>
          </cell>
        </row>
        <row r="2210">
          <cell r="A2210">
            <v>45917</v>
          </cell>
          <cell r="B2210">
            <v>68.19</v>
          </cell>
          <cell r="C2210">
            <v>2025</v>
          </cell>
          <cell r="D2210" t="str">
            <v>Q3</v>
          </cell>
        </row>
        <row r="2211">
          <cell r="A2211">
            <v>45918</v>
          </cell>
          <cell r="B2211">
            <v>67.81</v>
          </cell>
          <cell r="C2211">
            <v>2025</v>
          </cell>
          <cell r="D2211" t="str">
            <v>Q3</v>
          </cell>
        </row>
        <row r="2212">
          <cell r="A2212">
            <v>45919</v>
          </cell>
          <cell r="B2212">
            <v>67.055000000000007</v>
          </cell>
          <cell r="C2212">
            <v>2025</v>
          </cell>
          <cell r="D2212" t="str">
            <v>Q3</v>
          </cell>
        </row>
        <row r="2213">
          <cell r="A2213">
            <v>45922</v>
          </cell>
          <cell r="B2213">
            <v>66.790000000000006</v>
          </cell>
          <cell r="C2213">
            <v>2025</v>
          </cell>
          <cell r="D2213" t="str">
            <v>Q3</v>
          </cell>
        </row>
        <row r="2214">
          <cell r="A2214">
            <v>45923</v>
          </cell>
          <cell r="B2214">
            <v>68.47</v>
          </cell>
          <cell r="C2214">
            <v>2025</v>
          </cell>
          <cell r="D2214" t="str">
            <v>Q3</v>
          </cell>
        </row>
        <row r="2215">
          <cell r="A2215">
            <v>45924</v>
          </cell>
          <cell r="B2215">
            <v>69.625</v>
          </cell>
          <cell r="C2215">
            <v>2025</v>
          </cell>
          <cell r="D2215" t="str">
            <v>Q3</v>
          </cell>
        </row>
        <row r="2216">
          <cell r="A2216">
            <v>45925</v>
          </cell>
          <cell r="B2216">
            <v>70.58</v>
          </cell>
          <cell r="C2216">
            <v>2025</v>
          </cell>
          <cell r="D2216" t="str">
            <v>Q3</v>
          </cell>
        </row>
        <row r="2217">
          <cell r="A2217">
            <v>45926</v>
          </cell>
          <cell r="B2217">
            <v>71.930000000000007</v>
          </cell>
          <cell r="C2217">
            <v>2025</v>
          </cell>
          <cell r="D2217" t="str">
            <v>Q3</v>
          </cell>
        </row>
        <row r="2218">
          <cell r="A2218">
            <v>45929</v>
          </cell>
          <cell r="B2218">
            <v>68.814999999999998</v>
          </cell>
          <cell r="C2218">
            <v>2025</v>
          </cell>
          <cell r="D2218" t="str">
            <v>Q3</v>
          </cell>
        </row>
        <row r="2219">
          <cell r="A2219">
            <v>45930</v>
          </cell>
          <cell r="B2219">
            <v>67.894999999999996</v>
          </cell>
          <cell r="C2219">
            <v>2025</v>
          </cell>
          <cell r="D2219" t="str">
            <v>Q3</v>
          </cell>
        </row>
        <row r="2220">
          <cell r="A2220">
            <v>45931</v>
          </cell>
          <cell r="B2220">
            <v>67.355000000000004</v>
          </cell>
          <cell r="C2220">
            <v>2025</v>
          </cell>
          <cell r="D2220" t="str">
            <v>Q4</v>
          </cell>
        </row>
        <row r="2221">
          <cell r="A2221">
            <v>45932</v>
          </cell>
          <cell r="B2221">
            <v>65.930000000000007</v>
          </cell>
          <cell r="C2221">
            <v>2025</v>
          </cell>
          <cell r="D2221" t="str">
            <v>Q4</v>
          </cell>
        </row>
        <row r="2222">
          <cell r="A2222">
            <v>45933</v>
          </cell>
          <cell r="B2222">
            <v>66.325000000000003</v>
          </cell>
          <cell r="C2222">
            <v>2025</v>
          </cell>
          <cell r="D2222" t="str">
            <v>Q4</v>
          </cell>
        </row>
        <row r="2223">
          <cell r="A2223">
            <v>45936</v>
          </cell>
          <cell r="B2223">
            <v>67.144999999999996</v>
          </cell>
          <cell r="C2223">
            <v>2025</v>
          </cell>
          <cell r="D2223" t="str">
            <v>Q4</v>
          </cell>
        </row>
        <row r="2224">
          <cell r="A2224">
            <v>45937</v>
          </cell>
          <cell r="B2224">
            <v>66.915000000000006</v>
          </cell>
          <cell r="C2224">
            <v>2025</v>
          </cell>
          <cell r="D2224" t="str">
            <v>Q4</v>
          </cell>
        </row>
        <row r="2225">
          <cell r="A2225">
            <v>45938</v>
          </cell>
          <cell r="B2225">
            <v>68.165000000000006</v>
          </cell>
          <cell r="C2225">
            <v>2025</v>
          </cell>
          <cell r="D2225" t="str">
            <v>Q4</v>
          </cell>
        </row>
        <row r="2226">
          <cell r="A2226">
            <v>45939</v>
          </cell>
          <cell r="B2226">
            <v>67.430000000000007</v>
          </cell>
          <cell r="C2226">
            <v>2025</v>
          </cell>
          <cell r="D2226" t="str">
            <v>Q4</v>
          </cell>
        </row>
        <row r="2227">
          <cell r="A2227">
            <v>45940</v>
          </cell>
          <cell r="B2227">
            <v>64.484999999999999</v>
          </cell>
          <cell r="C2227">
            <v>2025</v>
          </cell>
          <cell r="D2227" t="str">
            <v>Q4</v>
          </cell>
        </row>
        <row r="2228">
          <cell r="A2228">
            <v>45943</v>
          </cell>
          <cell r="B2228">
            <v>64.284999999999997</v>
          </cell>
          <cell r="C2228">
            <v>2025</v>
          </cell>
          <cell r="D2228" t="str">
            <v>Q4</v>
          </cell>
        </row>
        <row r="2229">
          <cell r="A2229">
            <v>45944</v>
          </cell>
          <cell r="B2229">
            <v>62.465000000000003</v>
          </cell>
          <cell r="C2229">
            <v>2025</v>
          </cell>
          <cell r="D2229" t="str">
            <v>Q4</v>
          </cell>
        </row>
        <row r="2230">
          <cell r="A2230">
            <v>45945</v>
          </cell>
          <cell r="B2230">
            <v>62.594999999999999</v>
          </cell>
          <cell r="C2230">
            <v>2025</v>
          </cell>
          <cell r="D2230" t="str">
            <v>Q4</v>
          </cell>
        </row>
        <row r="2231">
          <cell r="A2231">
            <v>45946</v>
          </cell>
          <cell r="B2231">
            <v>61.854999999999997</v>
          </cell>
          <cell r="C2231">
            <v>2025</v>
          </cell>
          <cell r="D2231" t="str">
            <v>Q4</v>
          </cell>
        </row>
        <row r="2232">
          <cell r="A2232">
            <v>45947</v>
          </cell>
          <cell r="B2232">
            <v>60.94</v>
          </cell>
          <cell r="C2232">
            <v>2025</v>
          </cell>
          <cell r="D2232" t="str">
            <v>Q4</v>
          </cell>
        </row>
        <row r="2233">
          <cell r="A2233">
            <v>45950</v>
          </cell>
          <cell r="B2233">
            <v>60.62</v>
          </cell>
          <cell r="C2233">
            <v>2025</v>
          </cell>
          <cell r="D2233" t="str">
            <v>Q4</v>
          </cell>
        </row>
        <row r="2234">
          <cell r="A2234">
            <v>45951</v>
          </cell>
          <cell r="B2234">
            <v>60.994999999999997</v>
          </cell>
          <cell r="C2234">
            <v>2025</v>
          </cell>
          <cell r="D2234" t="str">
            <v>Q4</v>
          </cell>
        </row>
        <row r="2235">
          <cell r="A2235">
            <v>45952</v>
          </cell>
          <cell r="B2235">
            <v>62.055</v>
          </cell>
          <cell r="C2235">
            <v>2025</v>
          </cell>
          <cell r="D2235" t="str">
            <v>Q4</v>
          </cell>
        </row>
        <row r="2236">
          <cell r="A2236">
            <v>45953</v>
          </cell>
          <cell r="B2236">
            <v>65.39</v>
          </cell>
          <cell r="C2236">
            <v>2025</v>
          </cell>
          <cell r="D2236" t="str">
            <v>Q4</v>
          </cell>
        </row>
        <row r="2237">
          <cell r="A2237">
            <v>45954</v>
          </cell>
          <cell r="B2237">
            <v>66.454999999999998</v>
          </cell>
          <cell r="C2237">
            <v>2025</v>
          </cell>
          <cell r="D2237" t="str">
            <v>Q4</v>
          </cell>
        </row>
        <row r="2238">
          <cell r="A2238">
            <v>45957</v>
          </cell>
          <cell r="B2238">
            <v>65.64</v>
          </cell>
          <cell r="C2238">
            <v>2025</v>
          </cell>
          <cell r="D2238" t="str">
            <v>Q4</v>
          </cell>
        </row>
        <row r="2239">
          <cell r="A2239">
            <v>45958</v>
          </cell>
          <cell r="B2239">
            <v>64.075000000000003</v>
          </cell>
          <cell r="C2239">
            <v>2025</v>
          </cell>
          <cell r="D2239" t="str">
            <v>Q4</v>
          </cell>
        </row>
        <row r="2240">
          <cell r="A2240">
            <v>45959</v>
          </cell>
          <cell r="B2240">
            <v>65.474999999999994</v>
          </cell>
          <cell r="C2240">
            <v>2025</v>
          </cell>
          <cell r="D2240" t="str">
            <v>Q4</v>
          </cell>
        </row>
        <row r="2241">
          <cell r="A2241">
            <v>45960</v>
          </cell>
          <cell r="B2241">
            <v>65.174999999999997</v>
          </cell>
          <cell r="C2241">
            <v>2025</v>
          </cell>
          <cell r="D2241" t="str">
            <v>Q4</v>
          </cell>
        </row>
        <row r="2242">
          <cell r="A2242">
            <v>45961</v>
          </cell>
          <cell r="B2242">
            <v>65.204999999999998</v>
          </cell>
          <cell r="C2242">
            <v>2025</v>
          </cell>
          <cell r="D2242" t="str">
            <v>Q4</v>
          </cell>
        </row>
        <row r="2243">
          <cell r="A2243">
            <v>45964</v>
          </cell>
          <cell r="B2243">
            <v>65.849999999999994</v>
          </cell>
          <cell r="C2243">
            <v>2025</v>
          </cell>
          <cell r="D2243" t="str">
            <v>Q4</v>
          </cell>
        </row>
        <row r="2244">
          <cell r="A2244">
            <v>45965</v>
          </cell>
          <cell r="B2244">
            <v>65.2</v>
          </cell>
          <cell r="C2244">
            <v>2025</v>
          </cell>
          <cell r="D2244" t="str">
            <v>Q4</v>
          </cell>
        </row>
        <row r="2245">
          <cell r="A2245">
            <v>45966</v>
          </cell>
          <cell r="B2245">
            <v>64.564999999999998</v>
          </cell>
          <cell r="C2245">
            <v>2025</v>
          </cell>
          <cell r="D2245" t="str">
            <v>Q4</v>
          </cell>
        </row>
        <row r="2246">
          <cell r="A2246">
            <v>45967</v>
          </cell>
          <cell r="B2246">
            <v>63.655000000000001</v>
          </cell>
          <cell r="C2246">
            <v>2025</v>
          </cell>
          <cell r="D2246" t="str">
            <v>Q4</v>
          </cell>
        </row>
        <row r="2247">
          <cell r="A2247">
            <v>45968</v>
          </cell>
          <cell r="B2247">
            <v>63.784999999999997</v>
          </cell>
          <cell r="C2247">
            <v>2025</v>
          </cell>
          <cell r="D2247" t="str">
            <v>Q4</v>
          </cell>
        </row>
        <row r="2248">
          <cell r="A2248">
            <v>45971</v>
          </cell>
          <cell r="B2248">
            <v>62.414999999999999</v>
          </cell>
          <cell r="C2248">
            <v>2025</v>
          </cell>
          <cell r="D2248" t="str">
            <v>Q4</v>
          </cell>
        </row>
        <row r="2249">
          <cell r="A2249">
            <v>45972</v>
          </cell>
          <cell r="B2249">
            <v>64.234999999999999</v>
          </cell>
          <cell r="C2249">
            <v>2025</v>
          </cell>
          <cell r="D2249" t="str">
            <v>Q4</v>
          </cell>
        </row>
        <row r="2250">
          <cell r="A2250">
            <v>45973</v>
          </cell>
          <cell r="B2250">
            <v>61.994999999999997</v>
          </cell>
          <cell r="C2250">
            <v>2025</v>
          </cell>
          <cell r="D2250" t="str">
            <v>Q4</v>
          </cell>
        </row>
        <row r="2251">
          <cell r="A2251">
            <v>45974</v>
          </cell>
          <cell r="B2251">
            <v>62.24</v>
          </cell>
          <cell r="C2251">
            <v>2025</v>
          </cell>
          <cell r="D2251" t="str">
            <v>Q4</v>
          </cell>
        </row>
        <row r="2252">
          <cell r="A2252">
            <v>45975</v>
          </cell>
          <cell r="B2252">
            <v>63.74</v>
          </cell>
          <cell r="C2252">
            <v>2025</v>
          </cell>
          <cell r="D2252" t="str">
            <v>Q4</v>
          </cell>
        </row>
        <row r="2253">
          <cell r="A2253">
            <v>45978</v>
          </cell>
          <cell r="B2253">
            <v>63.67</v>
          </cell>
          <cell r="C2253">
            <v>2025</v>
          </cell>
          <cell r="D2253" t="str">
            <v>Q4</v>
          </cell>
        </row>
        <row r="2254">
          <cell r="A2254">
            <v>45979</v>
          </cell>
          <cell r="B2254">
            <v>63.515000000000001</v>
          </cell>
          <cell r="C2254">
            <v>2025</v>
          </cell>
          <cell r="D2254" t="str">
            <v>Q4</v>
          </cell>
        </row>
        <row r="2255">
          <cell r="A2255">
            <v>45980</v>
          </cell>
          <cell r="B2255">
            <v>63.204999999999998</v>
          </cell>
          <cell r="C2255">
            <v>2025</v>
          </cell>
          <cell r="D2255" t="str">
            <v>Q4</v>
          </cell>
        </row>
        <row r="2256">
          <cell r="A2256">
            <v>45981</v>
          </cell>
          <cell r="B2256">
            <v>63.53</v>
          </cell>
          <cell r="C2256">
            <v>2025</v>
          </cell>
          <cell r="D2256" t="str">
            <v>Q4</v>
          </cell>
        </row>
        <row r="2257">
          <cell r="A2257">
            <v>45982</v>
          </cell>
          <cell r="B2257">
            <v>62.335000000000001</v>
          </cell>
          <cell r="C2257">
            <v>2025</v>
          </cell>
          <cell r="D2257" t="str">
            <v>Q4</v>
          </cell>
        </row>
        <row r="2258">
          <cell r="A2258">
            <v>45985</v>
          </cell>
          <cell r="B2258">
            <v>63.36</v>
          </cell>
          <cell r="C2258">
            <v>2025</v>
          </cell>
          <cell r="D2258" t="str">
            <v>Q4</v>
          </cell>
        </row>
        <row r="2259">
          <cell r="A2259">
            <v>45986</v>
          </cell>
          <cell r="B2259">
            <v>62.89</v>
          </cell>
          <cell r="C2259">
            <v>2025</v>
          </cell>
          <cell r="D2259" t="str">
            <v>Q4</v>
          </cell>
        </row>
        <row r="2260">
          <cell r="A2260">
            <v>45987</v>
          </cell>
          <cell r="B2260">
            <v>63.42</v>
          </cell>
          <cell r="C2260">
            <v>2025</v>
          </cell>
          <cell r="D2260" t="str">
            <v>Q4</v>
          </cell>
        </row>
        <row r="2261">
          <cell r="A2261">
            <v>45988</v>
          </cell>
          <cell r="B2261">
            <v>64.23</v>
          </cell>
          <cell r="C2261">
            <v>2025</v>
          </cell>
          <cell r="D2261" t="str">
            <v>Q4</v>
          </cell>
        </row>
        <row r="2262">
          <cell r="A2262">
            <v>45989</v>
          </cell>
          <cell r="B2262">
            <v>64.349999999999994</v>
          </cell>
          <cell r="C2262">
            <v>2025</v>
          </cell>
          <cell r="D2262" t="str">
            <v>Q4</v>
          </cell>
        </row>
        <row r="2263">
          <cell r="A2263">
            <v>45992</v>
          </cell>
          <cell r="B2263">
            <v>64.174999999999997</v>
          </cell>
          <cell r="C2263">
            <v>2025</v>
          </cell>
          <cell r="D2263" t="str">
            <v>Q4</v>
          </cell>
        </row>
        <row r="2264">
          <cell r="A2264">
            <v>45993</v>
          </cell>
          <cell r="B2264">
            <v>64.14</v>
          </cell>
          <cell r="C2264">
            <v>2025</v>
          </cell>
          <cell r="D2264" t="str">
            <v>Q4</v>
          </cell>
        </row>
        <row r="2265">
          <cell r="A2265">
            <v>45994</v>
          </cell>
          <cell r="B2265">
            <v>64.42</v>
          </cell>
          <cell r="C2265">
            <v>2025</v>
          </cell>
          <cell r="D2265" t="str">
            <v>Q4</v>
          </cell>
        </row>
        <row r="2266">
          <cell r="A2266">
            <v>45995</v>
          </cell>
          <cell r="B2266">
            <v>64.295000000000002</v>
          </cell>
          <cell r="C2266">
            <v>2025</v>
          </cell>
          <cell r="D2266" t="str">
            <v>Q4</v>
          </cell>
        </row>
        <row r="2267">
          <cell r="A2267">
            <v>45996</v>
          </cell>
          <cell r="B2267">
            <v>64.63</v>
          </cell>
          <cell r="C2267">
            <v>2025</v>
          </cell>
          <cell r="D2267" t="str">
            <v>Q4</v>
          </cell>
        </row>
        <row r="2268">
          <cell r="A2268">
            <v>45999</v>
          </cell>
          <cell r="B2268">
            <v>63.674999999999997</v>
          </cell>
          <cell r="C2268">
            <v>2025</v>
          </cell>
          <cell r="D2268" t="str">
            <v>Q4</v>
          </cell>
        </row>
        <row r="2269">
          <cell r="A2269">
            <v>46000</v>
          </cell>
          <cell r="B2269">
            <v>62.8</v>
          </cell>
          <cell r="C2269">
            <v>2025</v>
          </cell>
          <cell r="D2269" t="str">
            <v>Q4</v>
          </cell>
        </row>
        <row r="2270">
          <cell r="A2270">
            <v>46001</v>
          </cell>
          <cell r="B2270">
            <v>62.454999999999998</v>
          </cell>
          <cell r="C2270">
            <v>2025</v>
          </cell>
          <cell r="D2270" t="str">
            <v>Q4</v>
          </cell>
        </row>
        <row r="2271">
          <cell r="A2271">
            <v>46002</v>
          </cell>
          <cell r="B2271">
            <v>61.865000000000002</v>
          </cell>
          <cell r="C2271">
            <v>2025</v>
          </cell>
          <cell r="D2271" t="str">
            <v>Q4</v>
          </cell>
        </row>
        <row r="2272">
          <cell r="A2272">
            <v>46003</v>
          </cell>
          <cell r="B2272">
            <v>61.95</v>
          </cell>
          <cell r="C2272">
            <v>2025</v>
          </cell>
          <cell r="D2272" t="str">
            <v>Q4</v>
          </cell>
        </row>
        <row r="2273">
          <cell r="A2273">
            <v>46006</v>
          </cell>
          <cell r="B2273">
            <v>61.354999999999997</v>
          </cell>
          <cell r="C2273">
            <v>2025</v>
          </cell>
          <cell r="D2273" t="str">
            <v>Q4</v>
          </cell>
        </row>
        <row r="2274">
          <cell r="A2274">
            <v>46007</v>
          </cell>
          <cell r="B2274">
            <v>60.09</v>
          </cell>
          <cell r="C2274">
            <v>2025</v>
          </cell>
          <cell r="D2274" t="str">
            <v>Q4</v>
          </cell>
        </row>
        <row r="2275">
          <cell r="A2275">
            <v>46008</v>
          </cell>
          <cell r="B2275">
            <v>61.28</v>
          </cell>
          <cell r="C2275">
            <v>2025</v>
          </cell>
          <cell r="D2275" t="str">
            <v>Q4</v>
          </cell>
        </row>
        <row r="2276">
          <cell r="A2276">
            <v>46009</v>
          </cell>
          <cell r="B2276">
            <v>61.35</v>
          </cell>
          <cell r="C2276">
            <v>2025</v>
          </cell>
          <cell r="D2276" t="str">
            <v>Q4</v>
          </cell>
        </row>
        <row r="2277">
          <cell r="A2277">
            <v>46010</v>
          </cell>
          <cell r="B2277">
            <v>61.494999999999997</v>
          </cell>
          <cell r="C2277">
            <v>2025</v>
          </cell>
          <cell r="D2277" t="str">
            <v>Q4</v>
          </cell>
        </row>
        <row r="2278">
          <cell r="A2278">
            <v>46013</v>
          </cell>
          <cell r="B2278">
            <v>62.814999999999998</v>
          </cell>
          <cell r="C2278">
            <v>2025</v>
          </cell>
          <cell r="D2278" t="str">
            <v>Q4</v>
          </cell>
        </row>
        <row r="2279">
          <cell r="A2279">
            <v>46014</v>
          </cell>
          <cell r="B2279">
            <v>63.55</v>
          </cell>
          <cell r="C2279">
            <v>2025</v>
          </cell>
          <cell r="D2279" t="str">
            <v>Q4</v>
          </cell>
        </row>
        <row r="2280">
          <cell r="A2280">
            <v>46015</v>
          </cell>
          <cell r="B2280">
            <v>63.48</v>
          </cell>
          <cell r="C2280">
            <v>2025</v>
          </cell>
          <cell r="D2280" t="str">
            <v>Q4</v>
          </cell>
        </row>
        <row r="2281">
          <cell r="A2281">
            <v>46020</v>
          </cell>
          <cell r="B2281">
            <v>62.445</v>
          </cell>
          <cell r="C2281">
            <v>2025</v>
          </cell>
          <cell r="D2281" t="str">
            <v>Q4</v>
          </cell>
        </row>
        <row r="2282">
          <cell r="A2282">
            <v>46021</v>
          </cell>
          <cell r="B2282">
            <v>62.42</v>
          </cell>
          <cell r="C2282">
            <v>2025</v>
          </cell>
          <cell r="D2282" t="str">
            <v>Q4</v>
          </cell>
        </row>
        <row r="2283">
          <cell r="A2283">
            <v>46022</v>
          </cell>
          <cell r="B2283">
            <v>62.445</v>
          </cell>
          <cell r="C2283">
            <v>2025</v>
          </cell>
          <cell r="D2283" t="str">
            <v>Q4</v>
          </cell>
        </row>
        <row r="2284">
          <cell r="A2284">
            <v>46024</v>
          </cell>
          <cell r="B2284">
            <v>60.844999999999999</v>
          </cell>
          <cell r="C2284">
            <v>2026</v>
          </cell>
          <cell r="D2284" t="str">
            <v>Q1</v>
          </cell>
        </row>
        <row r="2285">
          <cell r="A2285">
            <v>46027</v>
          </cell>
          <cell r="B2285">
            <v>62.84</v>
          </cell>
          <cell r="C2285">
            <v>2026</v>
          </cell>
          <cell r="D2285" t="str">
            <v>Q1</v>
          </cell>
        </row>
        <row r="2286">
          <cell r="A2286">
            <v>46028</v>
          </cell>
          <cell r="B2286">
            <v>62.9</v>
          </cell>
          <cell r="C2286">
            <v>2026</v>
          </cell>
          <cell r="D2286" t="str">
            <v>Q1</v>
          </cell>
        </row>
        <row r="2287">
          <cell r="A2287">
            <v>46029</v>
          </cell>
          <cell r="B2287">
            <v>61.82</v>
          </cell>
          <cell r="C2287">
            <v>2026</v>
          </cell>
          <cell r="D2287" t="str">
            <v>Q1</v>
          </cell>
        </row>
        <row r="2288">
          <cell r="A2288">
            <v>46030</v>
          </cell>
          <cell r="B2288">
            <v>62.884999999999998</v>
          </cell>
          <cell r="C2288">
            <v>2026</v>
          </cell>
          <cell r="D2288" t="str">
            <v>Q1</v>
          </cell>
        </row>
        <row r="2289">
          <cell r="A2289">
            <v>46031</v>
          </cell>
          <cell r="B2289">
            <v>65.314999999999998</v>
          </cell>
          <cell r="C2289">
            <v>2026</v>
          </cell>
          <cell r="D2289" t="str">
            <v>Q1</v>
          </cell>
        </row>
        <row r="2290">
          <cell r="A2290">
            <v>46034</v>
          </cell>
          <cell r="B2290">
            <v>65.564999999999998</v>
          </cell>
          <cell r="C2290">
            <v>2026</v>
          </cell>
          <cell r="D2290" t="str">
            <v>Q1</v>
          </cell>
        </row>
        <row r="2291">
          <cell r="A2291">
            <v>46035</v>
          </cell>
          <cell r="B2291">
            <v>68.385000000000005</v>
          </cell>
          <cell r="C2291">
            <v>2026</v>
          </cell>
          <cell r="D2291" t="str">
            <v>Q1</v>
          </cell>
        </row>
        <row r="2292">
          <cell r="A2292">
            <v>46036</v>
          </cell>
          <cell r="B2292">
            <v>68.674999999999997</v>
          </cell>
          <cell r="C2292">
            <v>2026</v>
          </cell>
          <cell r="D2292" t="str">
            <v>Q1</v>
          </cell>
        </row>
        <row r="2293">
          <cell r="A2293">
            <v>46037</v>
          </cell>
          <cell r="B2293">
            <v>66.260000000000005</v>
          </cell>
          <cell r="C2293">
            <v>2026</v>
          </cell>
          <cell r="D2293" t="str">
            <v>Q1</v>
          </cell>
        </row>
        <row r="2294">
          <cell r="A2294">
            <v>46038</v>
          </cell>
          <cell r="B2294">
            <v>67.61</v>
          </cell>
          <cell r="C2294">
            <v>2026</v>
          </cell>
          <cell r="D2294" t="str">
            <v>Q1</v>
          </cell>
        </row>
        <row r="2295">
          <cell r="A2295">
            <v>46041</v>
          </cell>
          <cell r="B2295">
            <v>67.150000000000006</v>
          </cell>
          <cell r="C2295">
            <v>2026</v>
          </cell>
          <cell r="D2295" t="str">
            <v>Q1</v>
          </cell>
        </row>
        <row r="2296">
          <cell r="A2296">
            <v>46042</v>
          </cell>
          <cell r="B2296">
            <v>68</v>
          </cell>
          <cell r="C2296">
            <v>2026</v>
          </cell>
          <cell r="D2296" t="str">
            <v>Q1</v>
          </cell>
        </row>
        <row r="2297">
          <cell r="A2297">
            <v>46043</v>
          </cell>
          <cell r="B2297">
            <v>67.655000000000001</v>
          </cell>
          <cell r="C2297">
            <v>2026</v>
          </cell>
          <cell r="D2297" t="str">
            <v>Q1</v>
          </cell>
        </row>
        <row r="2298">
          <cell r="A2298">
            <v>46044</v>
          </cell>
          <cell r="B2298">
            <v>66.234999999999999</v>
          </cell>
          <cell r="C2298">
            <v>2026</v>
          </cell>
          <cell r="D2298" t="str">
            <v>Q1</v>
          </cell>
        </row>
        <row r="2299">
          <cell r="A2299">
            <v>46045</v>
          </cell>
          <cell r="B2299">
            <v>68.08</v>
          </cell>
          <cell r="C2299">
            <v>2026</v>
          </cell>
          <cell r="D2299" t="str">
            <v>Q1</v>
          </cell>
        </row>
        <row r="2300">
          <cell r="A2300">
            <v>46048</v>
          </cell>
          <cell r="B2300">
            <v>67.655000000000001</v>
          </cell>
          <cell r="C2300">
            <v>2026</v>
          </cell>
          <cell r="D2300" t="str">
            <v>Q1</v>
          </cell>
        </row>
        <row r="2301">
          <cell r="A2301">
            <v>46049</v>
          </cell>
          <cell r="B2301">
            <v>69.155000000000001</v>
          </cell>
          <cell r="C2301">
            <v>2026</v>
          </cell>
          <cell r="D2301" t="str">
            <v>Q1</v>
          </cell>
        </row>
        <row r="2302">
          <cell r="A2302">
            <v>46050</v>
          </cell>
          <cell r="B2302">
            <v>70.015000000000001</v>
          </cell>
          <cell r="C2302">
            <v>2026</v>
          </cell>
          <cell r="D2302" t="str">
            <v>Q1</v>
          </cell>
        </row>
        <row r="2303">
          <cell r="A2303">
            <v>46051</v>
          </cell>
          <cell r="B2303">
            <v>72.325000000000003</v>
          </cell>
          <cell r="C2303">
            <v>2026</v>
          </cell>
          <cell r="D2303" t="str">
            <v>Q1</v>
          </cell>
        </row>
        <row r="2304">
          <cell r="A2304">
            <v>46052</v>
          </cell>
          <cell r="B2304">
            <v>72.72</v>
          </cell>
          <cell r="C2304">
            <v>2026</v>
          </cell>
          <cell r="D2304" t="str">
            <v>Q1</v>
          </cell>
        </row>
        <row r="2305">
          <cell r="A2305">
            <v>46055</v>
          </cell>
          <cell r="B2305">
            <v>68.63</v>
          </cell>
          <cell r="C2305">
            <v>2026</v>
          </cell>
          <cell r="D2305" t="str">
            <v>Q1</v>
          </cell>
        </row>
        <row r="2306">
          <cell r="A2306">
            <v>46056</v>
          </cell>
          <cell r="B2306">
            <v>69.655000000000001</v>
          </cell>
          <cell r="C2306">
            <v>2026</v>
          </cell>
          <cell r="D2306" t="str">
            <v>Q1</v>
          </cell>
        </row>
        <row r="2307">
          <cell r="A2307">
            <v>46057</v>
          </cell>
          <cell r="B2307">
            <v>69.84</v>
          </cell>
          <cell r="C2307">
            <v>2026</v>
          </cell>
          <cell r="D2307" t="str">
            <v>Q1</v>
          </cell>
        </row>
        <row r="2308">
          <cell r="A2308">
            <v>46058</v>
          </cell>
          <cell r="B2308">
            <v>69.674999999999997</v>
          </cell>
          <cell r="C2308">
            <v>2026</v>
          </cell>
          <cell r="D2308" t="str">
            <v>Q1</v>
          </cell>
        </row>
        <row r="2309">
          <cell r="A2309">
            <v>46059</v>
          </cell>
          <cell r="B2309">
            <v>71.064999999999998</v>
          </cell>
          <cell r="C2309">
            <v>2026</v>
          </cell>
          <cell r="D2309" t="str">
            <v>Q1</v>
          </cell>
        </row>
        <row r="2310">
          <cell r="A2310">
            <v>46062</v>
          </cell>
          <cell r="B2310">
            <v>71.98</v>
          </cell>
          <cell r="C2310">
            <v>2026</v>
          </cell>
          <cell r="D2310" t="str">
            <v>Q1</v>
          </cell>
        </row>
        <row r="2311">
          <cell r="A2311">
            <v>46063</v>
          </cell>
          <cell r="B2311">
            <v>71.989999999999995</v>
          </cell>
          <cell r="C2311">
            <v>2026</v>
          </cell>
          <cell r="D2311" t="str">
            <v>Q1</v>
          </cell>
        </row>
        <row r="2312">
          <cell r="A2312">
            <v>46064</v>
          </cell>
          <cell r="B2312">
            <v>73.099999999999994</v>
          </cell>
          <cell r="C2312">
            <v>2026</v>
          </cell>
          <cell r="D2312" t="str">
            <v>Q1</v>
          </cell>
        </row>
        <row r="2313">
          <cell r="A2313">
            <v>46065</v>
          </cell>
          <cell r="B2313">
            <v>70.83</v>
          </cell>
          <cell r="C2313">
            <v>2026</v>
          </cell>
          <cell r="D2313" t="str">
            <v>Q1</v>
          </cell>
        </row>
        <row r="2314">
          <cell r="A2314">
            <v>46066</v>
          </cell>
          <cell r="B2314">
            <v>70.114999999999995</v>
          </cell>
          <cell r="C2314">
            <v>2026</v>
          </cell>
          <cell r="D2314" t="str">
            <v>Q1</v>
          </cell>
        </row>
        <row r="2315">
          <cell r="A2315">
            <v>46069</v>
          </cell>
          <cell r="B2315">
            <v>71.275000000000006</v>
          </cell>
          <cell r="C2315">
            <v>2026</v>
          </cell>
          <cell r="D2315" t="str">
            <v>Q1</v>
          </cell>
        </row>
        <row r="2316">
          <cell r="A2316">
            <v>46070</v>
          </cell>
          <cell r="B2316">
            <v>69.69</v>
          </cell>
          <cell r="C2316">
            <v>2026</v>
          </cell>
          <cell r="D2316" t="str">
            <v>Q1</v>
          </cell>
        </row>
        <row r="2317">
          <cell r="A2317">
            <v>46071</v>
          </cell>
          <cell r="B2317">
            <v>71.284999999999997</v>
          </cell>
          <cell r="C2317">
            <v>2026</v>
          </cell>
          <cell r="D2317" t="str">
            <v>Q1</v>
          </cell>
        </row>
        <row r="2318">
          <cell r="A2318">
            <v>46072</v>
          </cell>
          <cell r="B2318">
            <v>72.83</v>
          </cell>
          <cell r="C2318">
            <v>2026</v>
          </cell>
          <cell r="D2318" t="str">
            <v>Q1</v>
          </cell>
        </row>
        <row r="2319">
          <cell r="A2319">
            <v>46073</v>
          </cell>
          <cell r="B2319">
            <v>72.27</v>
          </cell>
          <cell r="C2319">
            <v>2026</v>
          </cell>
          <cell r="D2319" t="str">
            <v>Q1</v>
          </cell>
        </row>
        <row r="2320">
          <cell r="A2320">
            <v>46076</v>
          </cell>
          <cell r="B2320">
            <v>73.02</v>
          </cell>
          <cell r="C2320">
            <v>2026</v>
          </cell>
          <cell r="D2320" t="str">
            <v>Q1</v>
          </cell>
        </row>
        <row r="2321">
          <cell r="A2321">
            <v>46077</v>
          </cell>
          <cell r="B2321">
            <v>71.349999999999994</v>
          </cell>
          <cell r="C2321">
            <v>2026</v>
          </cell>
          <cell r="D2321" t="str">
            <v>Q1</v>
          </cell>
        </row>
        <row r="2322">
          <cell r="A2322">
            <v>46078</v>
          </cell>
          <cell r="B2322">
            <v>70.795000000000002</v>
          </cell>
          <cell r="C2322">
            <v>2026</v>
          </cell>
          <cell r="D2322" t="str">
            <v>Q1</v>
          </cell>
        </row>
        <row r="2323">
          <cell r="A2323">
            <v>46079</v>
          </cell>
          <cell r="B2323">
            <v>72.055000000000007</v>
          </cell>
          <cell r="C2323">
            <v>2026</v>
          </cell>
          <cell r="D2323" t="str">
            <v>Q1</v>
          </cell>
        </row>
        <row r="2324">
          <cell r="A2324">
            <v>46080</v>
          </cell>
          <cell r="B2324">
            <v>70.83</v>
          </cell>
          <cell r="C2324">
            <v>2026</v>
          </cell>
          <cell r="D2324" t="str">
            <v>Q1</v>
          </cell>
        </row>
        <row r="2325">
          <cell r="A2325">
            <v>46083</v>
          </cell>
          <cell r="B2325">
            <v>77.709999999999994</v>
          </cell>
          <cell r="C2325">
            <v>2026</v>
          </cell>
          <cell r="D2325" t="str">
            <v>Q1</v>
          </cell>
        </row>
        <row r="2326">
          <cell r="A2326">
            <v>46084</v>
          </cell>
          <cell r="B2326">
            <v>84.625</v>
          </cell>
          <cell r="C2326">
            <v>2026</v>
          </cell>
          <cell r="D2326" t="str">
            <v>Q1</v>
          </cell>
        </row>
        <row r="2327">
          <cell r="A2327">
            <v>46085</v>
          </cell>
          <cell r="B2327">
            <v>81.03</v>
          </cell>
          <cell r="C2327">
            <v>2026</v>
          </cell>
          <cell r="D2327" t="str">
            <v>Q1</v>
          </cell>
        </row>
        <row r="2328">
          <cell r="A2328">
            <v>46086</v>
          </cell>
          <cell r="B2328">
            <v>87.915000000000006</v>
          </cell>
          <cell r="C2328">
            <v>2026</v>
          </cell>
          <cell r="D2328" t="str">
            <v>Q1</v>
          </cell>
        </row>
        <row r="2329">
          <cell r="A2329">
            <v>46087</v>
          </cell>
          <cell r="B2329">
            <v>94.305000000000007</v>
          </cell>
          <cell r="C2329">
            <v>2026</v>
          </cell>
          <cell r="D2329" t="str">
            <v>Q1</v>
          </cell>
        </row>
        <row r="2330">
          <cell r="A2330">
            <v>46090</v>
          </cell>
          <cell r="B2330">
            <v>102.93</v>
          </cell>
          <cell r="C2330">
            <v>2026</v>
          </cell>
          <cell r="D2330" t="str">
            <v>Q1</v>
          </cell>
        </row>
        <row r="2331">
          <cell r="A2331">
            <v>46091</v>
          </cell>
          <cell r="B2331">
            <v>88.334999999999994</v>
          </cell>
          <cell r="C2331">
            <v>2026</v>
          </cell>
          <cell r="D2331" t="str">
            <v>Q1</v>
          </cell>
        </row>
        <row r="2332">
          <cell r="A2332">
            <v>46092</v>
          </cell>
          <cell r="B2332">
            <v>91.47</v>
          </cell>
          <cell r="C2332">
            <v>2026</v>
          </cell>
          <cell r="D2332" t="str">
            <v>Q1</v>
          </cell>
        </row>
        <row r="2333">
          <cell r="A2333">
            <v>46093</v>
          </cell>
          <cell r="B2333">
            <v>100.26</v>
          </cell>
          <cell r="C2333">
            <v>2026</v>
          </cell>
          <cell r="D2333" t="str">
            <v>Q1</v>
          </cell>
        </row>
        <row r="2334">
          <cell r="A2334">
            <v>46094</v>
          </cell>
          <cell r="B2334">
            <v>103.565</v>
          </cell>
          <cell r="C2334">
            <v>2026</v>
          </cell>
          <cell r="D2334" t="str">
            <v>Q1</v>
          </cell>
        </row>
        <row r="2335">
          <cell r="A2335">
            <v>46097</v>
          </cell>
          <cell r="B2335">
            <v>103.705</v>
          </cell>
          <cell r="C2335">
            <v>2026</v>
          </cell>
          <cell r="D2335" t="str">
            <v>Q1</v>
          </cell>
        </row>
        <row r="2336">
          <cell r="A2336">
            <v>46098</v>
          </cell>
          <cell r="B2336">
            <v>103.04</v>
          </cell>
          <cell r="C2336">
            <v>2026</v>
          </cell>
          <cell r="D2336" t="str">
            <v>Q1</v>
          </cell>
        </row>
        <row r="2337">
          <cell r="A2337">
            <v>46099</v>
          </cell>
          <cell r="B2337">
            <v>112.285</v>
          </cell>
          <cell r="C2337">
            <v>2026</v>
          </cell>
          <cell r="D2337" t="str">
            <v>Q1</v>
          </cell>
        </row>
        <row r="2338">
          <cell r="A2338">
            <v>46100</v>
          </cell>
          <cell r="B2338">
            <v>116.41</v>
          </cell>
          <cell r="C2338">
            <v>2026</v>
          </cell>
          <cell r="D2338" t="str">
            <v>Q1</v>
          </cell>
        </row>
        <row r="2339">
          <cell r="A2339">
            <v>46101</v>
          </cell>
          <cell r="B2339">
            <v>116.24</v>
          </cell>
          <cell r="C2339">
            <v>2026</v>
          </cell>
          <cell r="D2339" t="str">
            <v>Q1</v>
          </cell>
        </row>
        <row r="2340">
          <cell r="A2340">
            <v>46104</v>
          </cell>
          <cell r="B2340">
            <v>109.88500000000001</v>
          </cell>
          <cell r="C2340">
            <v>2026</v>
          </cell>
          <cell r="D2340" t="str">
            <v>Q1</v>
          </cell>
        </row>
        <row r="2341">
          <cell r="A2341">
            <v>46105</v>
          </cell>
          <cell r="B2341">
            <v>110.41500000000001</v>
          </cell>
          <cell r="C2341">
            <v>2026</v>
          </cell>
          <cell r="D2341" t="str">
            <v>Q1</v>
          </cell>
        </row>
        <row r="2342">
          <cell r="A2342">
            <v>46106</v>
          </cell>
          <cell r="B2342">
            <v>109.395</v>
          </cell>
          <cell r="C2342">
            <v>2026</v>
          </cell>
          <cell r="D2342" t="str">
            <v>Q1</v>
          </cell>
        </row>
        <row r="2343">
          <cell r="A2343">
            <v>46107</v>
          </cell>
          <cell r="B2343">
            <v>117.38</v>
          </cell>
          <cell r="C2343">
            <v>2026</v>
          </cell>
          <cell r="D2343" t="str">
            <v>Q1</v>
          </cell>
        </row>
        <row r="2344">
          <cell r="A2344">
            <v>46108</v>
          </cell>
          <cell r="B2344">
            <v>120.31</v>
          </cell>
          <cell r="C2344">
            <v>2026</v>
          </cell>
          <cell r="D2344" t="str">
            <v>Q1</v>
          </cell>
        </row>
        <row r="2345">
          <cell r="A2345">
            <v>46111</v>
          </cell>
          <cell r="B2345">
            <v>122.98</v>
          </cell>
          <cell r="C2345">
            <v>2026</v>
          </cell>
          <cell r="D2345" t="str">
            <v>Q1</v>
          </cell>
        </row>
        <row r="2346">
          <cell r="A2346">
            <v>46112</v>
          </cell>
          <cell r="B2346">
            <v>126.965</v>
          </cell>
          <cell r="C2346">
            <v>2026</v>
          </cell>
          <cell r="D2346" t="str">
            <v>Q1</v>
          </cell>
        </row>
        <row r="2347">
          <cell r="A2347">
            <v>46113</v>
          </cell>
          <cell r="B2347">
            <v>126.46</v>
          </cell>
          <cell r="C2347">
            <v>2026</v>
          </cell>
          <cell r="D2347" t="str">
            <v>Q2</v>
          </cell>
        </row>
        <row r="2348">
          <cell r="A2348">
            <v>46114</v>
          </cell>
          <cell r="B2348">
            <v>141.26</v>
          </cell>
          <cell r="C2348">
            <v>2026</v>
          </cell>
          <cell r="D2348" t="str">
            <v>Q2</v>
          </cell>
        </row>
        <row r="2349">
          <cell r="A2349">
            <v>46119</v>
          </cell>
          <cell r="B2349">
            <v>144.46</v>
          </cell>
          <cell r="C2349">
            <v>2026</v>
          </cell>
          <cell r="D2349" t="str">
            <v>Q2</v>
          </cell>
        </row>
        <row r="2350">
          <cell r="A2350">
            <v>46120</v>
          </cell>
          <cell r="B2350">
            <v>124.53</v>
          </cell>
          <cell r="C2350">
            <v>2026</v>
          </cell>
          <cell r="D2350" t="str">
            <v>Q2</v>
          </cell>
        </row>
        <row r="2351">
          <cell r="A2351">
            <v>46121</v>
          </cell>
          <cell r="B2351">
            <v>131.785</v>
          </cell>
          <cell r="C2351">
            <v>2026</v>
          </cell>
          <cell r="D2351" t="str">
            <v>Q2</v>
          </cell>
        </row>
        <row r="2352">
          <cell r="A2352">
            <v>46122</v>
          </cell>
          <cell r="B2352">
            <v>125.88</v>
          </cell>
          <cell r="C2352">
            <v>2026</v>
          </cell>
          <cell r="D2352" t="str">
            <v>Q2</v>
          </cell>
        </row>
        <row r="2353">
          <cell r="A2353">
            <v>46125</v>
          </cell>
          <cell r="B2353">
            <v>132.45500000000001</v>
          </cell>
          <cell r="C2353">
            <v>2026</v>
          </cell>
          <cell r="D2353" t="str">
            <v>Q2</v>
          </cell>
        </row>
        <row r="2354">
          <cell r="A2354">
            <v>46126</v>
          </cell>
          <cell r="B2354">
            <v>124.63500000000001</v>
          </cell>
          <cell r="C2354">
            <v>2026</v>
          </cell>
          <cell r="D2354" t="str">
            <v>Q2</v>
          </cell>
        </row>
        <row r="2355">
          <cell r="A2355">
            <v>46127</v>
          </cell>
          <cell r="B2355">
            <v>116.735</v>
          </cell>
          <cell r="C2355">
            <v>2026</v>
          </cell>
          <cell r="D2355" t="str">
            <v>Q2</v>
          </cell>
        </row>
        <row r="2356">
          <cell r="A2356">
            <v>46128</v>
          </cell>
          <cell r="B2356">
            <v>116.45</v>
          </cell>
          <cell r="C2356">
            <v>2026</v>
          </cell>
          <cell r="D2356" t="str">
            <v>Q2</v>
          </cell>
        </row>
        <row r="2357">
          <cell r="A2357">
            <v>46129</v>
          </cell>
          <cell r="B2357">
            <v>98.944999999999993</v>
          </cell>
          <cell r="C2357">
            <v>2026</v>
          </cell>
          <cell r="D2357" t="str">
            <v>Q2</v>
          </cell>
        </row>
        <row r="2358">
          <cell r="A2358">
            <v>46132</v>
          </cell>
          <cell r="B2358">
            <v>106.02</v>
          </cell>
          <cell r="C2358">
            <v>2026</v>
          </cell>
          <cell r="D2358" t="str">
            <v>Q2</v>
          </cell>
        </row>
        <row r="2359">
          <cell r="A2359">
            <v>46133</v>
          </cell>
          <cell r="B2359">
            <v>107.66</v>
          </cell>
          <cell r="C2359">
            <v>2026</v>
          </cell>
          <cell r="D2359" t="str">
            <v>Q2</v>
          </cell>
        </row>
        <row r="2360">
          <cell r="A2360">
            <v>46134</v>
          </cell>
          <cell r="B2360">
            <v>111.77500000000001</v>
          </cell>
          <cell r="C2360">
            <v>2026</v>
          </cell>
          <cell r="D2360" t="str">
            <v>Q2</v>
          </cell>
        </row>
        <row r="2361">
          <cell r="A2361">
            <v>46135</v>
          </cell>
          <cell r="B2361">
            <v>111.33</v>
          </cell>
          <cell r="C2361">
            <v>2026</v>
          </cell>
          <cell r="D2361" t="str">
            <v>Q2</v>
          </cell>
        </row>
        <row r="2362">
          <cell r="A2362">
            <v>46136</v>
          </cell>
          <cell r="B2362">
            <v>112.91500000000001</v>
          </cell>
          <cell r="C2362">
            <v>2026</v>
          </cell>
          <cell r="D2362" t="str">
            <v>Q2</v>
          </cell>
        </row>
        <row r="2363">
          <cell r="A2363">
            <v>46139</v>
          </cell>
          <cell r="B2363">
            <v>113.33499999999999</v>
          </cell>
          <cell r="C2363">
            <v>2026</v>
          </cell>
          <cell r="D2363" t="str">
            <v>Q2</v>
          </cell>
        </row>
        <row r="2364">
          <cell r="A2364">
            <v>46140</v>
          </cell>
          <cell r="B2364">
            <v>115.87</v>
          </cell>
          <cell r="C2364">
            <v>2026</v>
          </cell>
          <cell r="D2364" t="str">
            <v>Q2</v>
          </cell>
        </row>
        <row r="2365">
          <cell r="A2365">
            <v>46141</v>
          </cell>
          <cell r="B2365">
            <v>123.37</v>
          </cell>
          <cell r="C2365">
            <v>2026</v>
          </cell>
          <cell r="D2365" t="str">
            <v>Q2</v>
          </cell>
        </row>
        <row r="2366">
          <cell r="A2366">
            <v>46142</v>
          </cell>
          <cell r="B2366">
            <v>122.58499999999999</v>
          </cell>
          <cell r="C2366">
            <v>2026</v>
          </cell>
          <cell r="D2366" t="str">
            <v>Q2</v>
          </cell>
        </row>
        <row r="2367">
          <cell r="A2367">
            <v>46143</v>
          </cell>
          <cell r="B2367">
            <v>117.355</v>
          </cell>
          <cell r="C2367">
            <v>2026</v>
          </cell>
          <cell r="D2367" t="str">
            <v>Q2</v>
          </cell>
        </row>
        <row r="2368">
          <cell r="A2368">
            <v>46147</v>
          </cell>
          <cell r="B2368">
            <v>115.14</v>
          </cell>
          <cell r="C2368">
            <v>2026</v>
          </cell>
          <cell r="D2368" t="str">
            <v>Q2</v>
          </cell>
        </row>
        <row r="2369">
          <cell r="A2369">
            <v>46148</v>
          </cell>
          <cell r="B2369">
            <v>104.075</v>
          </cell>
          <cell r="C2369">
            <v>2026</v>
          </cell>
          <cell r="D2369" t="str">
            <v>Q2</v>
          </cell>
        </row>
        <row r="2370">
          <cell r="A2370">
            <v>46149</v>
          </cell>
          <cell r="B2370">
            <v>100.47</v>
          </cell>
          <cell r="C2370">
            <v>2026</v>
          </cell>
          <cell r="D2370" t="str">
            <v>Q2</v>
          </cell>
        </row>
        <row r="2371">
          <cell r="A2371">
            <v>46150</v>
          </cell>
          <cell r="B2371">
            <v>104.94</v>
          </cell>
          <cell r="C2371">
            <v>2026</v>
          </cell>
          <cell r="D2371" t="str">
            <v>Q2</v>
          </cell>
        </row>
        <row r="2372">
          <cell r="A2372">
            <v>46153</v>
          </cell>
          <cell r="B2372">
            <v>105.62</v>
          </cell>
          <cell r="C2372">
            <v>2026</v>
          </cell>
          <cell r="D2372" t="str">
            <v>Q2</v>
          </cell>
        </row>
        <row r="2373">
          <cell r="A2373">
            <v>46154</v>
          </cell>
          <cell r="B2373">
            <v>111.13</v>
          </cell>
          <cell r="C2373">
            <v>2026</v>
          </cell>
          <cell r="D2373" t="str">
            <v>Q2</v>
          </cell>
        </row>
        <row r="2374">
          <cell r="A2374">
            <v>46155</v>
          </cell>
          <cell r="B2374">
            <v>110.78</v>
          </cell>
          <cell r="C2374">
            <v>2026</v>
          </cell>
          <cell r="D2374" t="str">
            <v>Q2</v>
          </cell>
        </row>
        <row r="2375">
          <cell r="A2375">
            <v>46156</v>
          </cell>
          <cell r="B2375">
            <v>109.55500000000001</v>
          </cell>
          <cell r="C2375">
            <v>2026</v>
          </cell>
          <cell r="D2375" t="str">
            <v>Q2</v>
          </cell>
        </row>
        <row r="2376">
          <cell r="A2376">
            <v>46157</v>
          </cell>
          <cell r="B2376">
            <v>112.145</v>
          </cell>
          <cell r="C2376">
            <v>2026</v>
          </cell>
          <cell r="D2376" t="str">
            <v>Q2</v>
          </cell>
        </row>
        <row r="2377">
          <cell r="A2377">
            <v>46160</v>
          </cell>
          <cell r="B2377">
            <v>115.12</v>
          </cell>
          <cell r="C2377">
            <v>2026</v>
          </cell>
          <cell r="D2377" t="str">
            <v>Q2</v>
          </cell>
        </row>
        <row r="2378">
          <cell r="A2378">
            <v>46161</v>
          </cell>
          <cell r="B2378">
            <v>114.67</v>
          </cell>
          <cell r="C2378">
            <v>2026</v>
          </cell>
          <cell r="D2378" t="str">
            <v>Q2</v>
          </cell>
        </row>
        <row r="2379">
          <cell r="A2379">
            <v>46162</v>
          </cell>
          <cell r="B2379">
            <v>109.76</v>
          </cell>
          <cell r="C2379">
            <v>2026</v>
          </cell>
          <cell r="D2379" t="str">
            <v>Q2</v>
          </cell>
        </row>
        <row r="2380">
          <cell r="A2380">
            <v>46163</v>
          </cell>
          <cell r="B2380">
            <v>111.605</v>
          </cell>
          <cell r="C2380">
            <v>2026</v>
          </cell>
          <cell r="D2380" t="str">
            <v>Q2</v>
          </cell>
        </row>
        <row r="2381">
          <cell r="A2381">
            <v>46164</v>
          </cell>
          <cell r="B2381">
            <v>107.19499999999999</v>
          </cell>
          <cell r="C2381">
            <v>2026</v>
          </cell>
          <cell r="D2381" t="str">
            <v>Q2</v>
          </cell>
        </row>
        <row r="2382">
          <cell r="A2382">
            <v>46168</v>
          </cell>
          <cell r="B2382">
            <v>103.73</v>
          </cell>
          <cell r="C2382">
            <v>2026</v>
          </cell>
          <cell r="D2382" t="str">
            <v>Q2</v>
          </cell>
        </row>
        <row r="2383">
          <cell r="A2383">
            <v>46169</v>
          </cell>
          <cell r="B2383">
            <v>99.674999999999997</v>
          </cell>
          <cell r="C2383">
            <v>2026</v>
          </cell>
          <cell r="D2383" t="str">
            <v>Q2</v>
          </cell>
        </row>
        <row r="2384">
          <cell r="A2384">
            <v>46170</v>
          </cell>
          <cell r="B2384">
            <v>96.84</v>
          </cell>
          <cell r="C2384">
            <v>2026</v>
          </cell>
          <cell r="D2384" t="str">
            <v>Q2</v>
          </cell>
        </row>
        <row r="2385">
          <cell r="A2385">
            <v>46171</v>
          </cell>
          <cell r="B2385">
            <v>93.364999999999995</v>
          </cell>
          <cell r="C2385">
            <v>2026</v>
          </cell>
          <cell r="D2385" t="str">
            <v>Q2</v>
          </cell>
        </row>
        <row r="2386">
          <cell r="A2386">
            <v>46174</v>
          </cell>
          <cell r="B2386">
            <v>99.915000000000006</v>
          </cell>
          <cell r="C2386">
            <v>2026</v>
          </cell>
          <cell r="D2386" t="str">
            <v>Q2</v>
          </cell>
        </row>
        <row r="2387">
          <cell r="A2387">
            <v>46175</v>
          </cell>
          <cell r="B2387">
            <v>97.284999999999997</v>
          </cell>
          <cell r="C2387">
            <v>2026</v>
          </cell>
          <cell r="D2387" t="str">
            <v>Q2</v>
          </cell>
        </row>
        <row r="2388">
          <cell r="A2388">
            <v>46176</v>
          </cell>
          <cell r="B2388">
            <v>100.895</v>
          </cell>
          <cell r="C2388">
            <v>2026</v>
          </cell>
          <cell r="D2388" t="str">
            <v>Q2</v>
          </cell>
        </row>
        <row r="2389">
          <cell r="A2389">
            <v>46177</v>
          </cell>
          <cell r="B2389">
            <v>98.545000000000002</v>
          </cell>
          <cell r="C2389">
            <v>2026</v>
          </cell>
          <cell r="D2389" t="str">
            <v>Q2</v>
          </cell>
        </row>
        <row r="2390">
          <cell r="A2390">
            <v>46178</v>
          </cell>
          <cell r="B2390">
            <v>97.625</v>
          </cell>
          <cell r="C2390">
            <v>2026</v>
          </cell>
          <cell r="D2390" t="str">
            <v>Q2</v>
          </cell>
        </row>
        <row r="2391">
          <cell r="A2391">
            <v>46181</v>
          </cell>
          <cell r="B2391">
            <v>98.314999999999998</v>
          </cell>
          <cell r="C2391">
            <v>2026</v>
          </cell>
          <cell r="D2391" t="str">
            <v>Q2</v>
          </cell>
        </row>
        <row r="2392">
          <cell r="A2392">
            <v>46182</v>
          </cell>
          <cell r="B2392">
            <v>93.424999999999997</v>
          </cell>
          <cell r="C2392">
            <v>2026</v>
          </cell>
          <cell r="D2392" t="str">
            <v>Q2</v>
          </cell>
        </row>
        <row r="2393">
          <cell r="A2393">
            <v>46183</v>
          </cell>
          <cell r="B2393">
            <v>94.515000000000001</v>
          </cell>
          <cell r="C2393">
            <v>2026</v>
          </cell>
          <cell r="D2393" t="str">
            <v>Q2</v>
          </cell>
        </row>
        <row r="2394">
          <cell r="A2394">
            <v>46184</v>
          </cell>
          <cell r="B2394">
            <v>95.194999999999993</v>
          </cell>
          <cell r="C2394">
            <v>2026</v>
          </cell>
          <cell r="D2394" t="str">
            <v>Q2</v>
          </cell>
        </row>
        <row r="2395">
          <cell r="A2395">
            <v>46185</v>
          </cell>
          <cell r="B2395">
            <v>88.43</v>
          </cell>
          <cell r="C2395">
            <v>2026</v>
          </cell>
          <cell r="D2395" t="str">
            <v>Q2</v>
          </cell>
        </row>
        <row r="2396">
          <cell r="A2396">
            <v>46188</v>
          </cell>
          <cell r="B2396">
            <v>84.575000000000003</v>
          </cell>
          <cell r="C2396">
            <v>2026</v>
          </cell>
          <cell r="D2396" t="str">
            <v>Q2</v>
          </cell>
        </row>
        <row r="2397">
          <cell r="A2397">
            <v>46189</v>
          </cell>
          <cell r="B2397">
            <v>80.760000000000005</v>
          </cell>
          <cell r="C2397">
            <v>2026</v>
          </cell>
          <cell r="D2397" t="str">
            <v>Q2</v>
          </cell>
        </row>
        <row r="2398">
          <cell r="A2398">
            <v>46190</v>
          </cell>
          <cell r="B2398">
            <v>80.38</v>
          </cell>
          <cell r="C2398">
            <v>2026</v>
          </cell>
          <cell r="D2398" t="str">
            <v>Q2</v>
          </cell>
        </row>
        <row r="2399">
          <cell r="A2399">
            <v>46191</v>
          </cell>
          <cell r="B2399">
            <v>77.305000000000007</v>
          </cell>
          <cell r="C2399">
            <v>2026</v>
          </cell>
          <cell r="D2399" t="str">
            <v>Q2</v>
          </cell>
        </row>
        <row r="2400">
          <cell r="A2400">
            <v>46192</v>
          </cell>
          <cell r="B2400">
            <v>80.34</v>
          </cell>
          <cell r="C2400">
            <v>2026</v>
          </cell>
          <cell r="D2400" t="str">
            <v>Q2</v>
          </cell>
        </row>
        <row r="2401">
          <cell r="A2401">
            <v>46195</v>
          </cell>
          <cell r="B2401">
            <v>76.325000000000003</v>
          </cell>
          <cell r="C2401">
            <v>2026</v>
          </cell>
          <cell r="D2401" t="str">
            <v>Q2</v>
          </cell>
        </row>
        <row r="2402">
          <cell r="A2402">
            <v>46196</v>
          </cell>
          <cell r="B2402">
            <v>75.430000000000007</v>
          </cell>
          <cell r="C2402">
            <v>2026</v>
          </cell>
          <cell r="D2402" t="str">
            <v>Q2</v>
          </cell>
        </row>
        <row r="2403">
          <cell r="A2403">
            <v>46197</v>
          </cell>
          <cell r="B2403">
            <v>72.125</v>
          </cell>
          <cell r="C2403">
            <v>2026</v>
          </cell>
          <cell r="D2403" t="str">
            <v>Q2</v>
          </cell>
        </row>
        <row r="2404">
          <cell r="A2404">
            <v>46198</v>
          </cell>
          <cell r="B2404">
            <v>73.344999999999999</v>
          </cell>
          <cell r="C2404">
            <v>2026</v>
          </cell>
          <cell r="D2404" t="str">
            <v>Q2</v>
          </cell>
        </row>
        <row r="2405">
          <cell r="A2405">
            <v>46199</v>
          </cell>
          <cell r="B2405">
            <v>70.665000000000006</v>
          </cell>
          <cell r="C2405">
            <v>2026</v>
          </cell>
          <cell r="D2405" t="str">
            <v>Q2</v>
          </cell>
        </row>
        <row r="2406">
          <cell r="A2406">
            <v>46202</v>
          </cell>
          <cell r="B2406">
            <v>71.465000000000003</v>
          </cell>
          <cell r="C2406">
            <v>2026</v>
          </cell>
          <cell r="D2406" t="str">
            <v>Q2</v>
          </cell>
        </row>
        <row r="2407">
          <cell r="A2407">
            <v>46203</v>
          </cell>
          <cell r="B2407">
            <v>71.52</v>
          </cell>
          <cell r="C2407">
            <v>2026</v>
          </cell>
          <cell r="D2407" t="str">
            <v>Q2</v>
          </cell>
        </row>
        <row r="2408">
          <cell r="A2408">
            <v>46204</v>
          </cell>
          <cell r="B2408">
            <v>68.77</v>
          </cell>
          <cell r="C2408">
            <v>2026</v>
          </cell>
          <cell r="D2408" t="str">
            <v>Q3</v>
          </cell>
        </row>
        <row r="2409">
          <cell r="A2409">
            <v>46205</v>
          </cell>
          <cell r="B2409">
            <v>68.099999999999994</v>
          </cell>
          <cell r="C2409">
            <v>2026</v>
          </cell>
          <cell r="D2409" t="str">
            <v>Q3</v>
          </cell>
        </row>
        <row r="2410">
          <cell r="A2410">
            <v>46206</v>
          </cell>
          <cell r="B2410">
            <v>69.254999999999995</v>
          </cell>
          <cell r="C2410">
            <v>2026</v>
          </cell>
          <cell r="D2410" t="str">
            <v>Q3</v>
          </cell>
        </row>
        <row r="2411">
          <cell r="A2411">
            <v>46209</v>
          </cell>
          <cell r="B2411">
            <v>69.885000000000005</v>
          </cell>
          <cell r="C2411">
            <v>2026</v>
          </cell>
          <cell r="D2411" t="str">
            <v>Q3</v>
          </cell>
        </row>
        <row r="2412">
          <cell r="A2412">
            <v>46210</v>
          </cell>
          <cell r="B2412">
            <v>71.864999999999995</v>
          </cell>
          <cell r="C2412">
            <v>2026</v>
          </cell>
          <cell r="D2412" t="str">
            <v>Q3</v>
          </cell>
        </row>
        <row r="2413">
          <cell r="A2413">
            <v>46211</v>
          </cell>
          <cell r="B2413">
            <v>78.33</v>
          </cell>
          <cell r="C2413">
            <v>2026</v>
          </cell>
          <cell r="D2413" t="str">
            <v>Q3</v>
          </cell>
        </row>
        <row r="2414">
          <cell r="A2414">
            <v>46212</v>
          </cell>
          <cell r="B2414">
            <v>75.424999999999997</v>
          </cell>
          <cell r="C2414">
            <v>2026</v>
          </cell>
          <cell r="D2414" t="str">
            <v>Q3</v>
          </cell>
        </row>
        <row r="2415">
          <cell r="A2415">
            <v>46213</v>
          </cell>
          <cell r="B2415">
            <v>74.204999999999998</v>
          </cell>
          <cell r="C2415">
            <v>2026</v>
          </cell>
          <cell r="D2415" t="str">
            <v>Q3</v>
          </cell>
        </row>
        <row r="2416">
          <cell r="A2416">
            <v>46216</v>
          </cell>
          <cell r="B2416">
            <v>77.42</v>
          </cell>
          <cell r="C2416">
            <v>2026</v>
          </cell>
          <cell r="D2416" t="str">
            <v>Q3</v>
          </cell>
        </row>
        <row r="2417">
          <cell r="A2417">
            <v>46217</v>
          </cell>
          <cell r="B2417">
            <v>82.635000000000005</v>
          </cell>
          <cell r="C2417">
            <v>2026</v>
          </cell>
          <cell r="D2417" t="str">
            <v>Q3</v>
          </cell>
        </row>
        <row r="2418">
          <cell r="A2418">
            <v>46218</v>
          </cell>
          <cell r="B2418">
            <v>82.194999999999993</v>
          </cell>
          <cell r="C2418">
            <v>2026</v>
          </cell>
          <cell r="D2418" t="str">
            <v>Q3</v>
          </cell>
        </row>
        <row r="2419">
          <cell r="A2419">
            <v>46219</v>
          </cell>
          <cell r="B2419">
            <v>83.05</v>
          </cell>
          <cell r="C2419">
            <v>2026</v>
          </cell>
          <cell r="D2419" t="str">
            <v>Q3</v>
          </cell>
        </row>
        <row r="2420">
          <cell r="A2420">
            <v>46220</v>
          </cell>
          <cell r="B2420">
            <v>84.6</v>
          </cell>
          <cell r="C2420">
            <v>2026</v>
          </cell>
          <cell r="D2420" t="str">
            <v>Q3</v>
          </cell>
        </row>
        <row r="2421">
          <cell r="A2421">
            <v>46223</v>
          </cell>
          <cell r="B2421">
            <v>86.82</v>
          </cell>
          <cell r="C2421">
            <v>2026</v>
          </cell>
          <cell r="D2421" t="str">
            <v>Q3</v>
          </cell>
        </row>
        <row r="2422">
          <cell r="A2422">
            <v>46224</v>
          </cell>
          <cell r="B2422">
            <v>91.8</v>
          </cell>
          <cell r="C2422">
            <v>2026</v>
          </cell>
          <cell r="D2422" t="str">
            <v>Q3</v>
          </cell>
        </row>
        <row r="2423">
          <cell r="A2423">
            <v>46225</v>
          </cell>
          <cell r="B2423">
            <v>94.165000000000006</v>
          </cell>
          <cell r="C2423">
            <v>2026</v>
          </cell>
          <cell r="D2423" t="str">
            <v>Q3</v>
          </cell>
        </row>
        <row r="2424">
          <cell r="A2424">
            <v>46226</v>
          </cell>
          <cell r="B2424">
            <v>105.59</v>
          </cell>
          <cell r="C2424">
            <v>2026</v>
          </cell>
          <cell r="D2424" t="str">
            <v>Q3</v>
          </cell>
        </row>
        <row r="2425">
          <cell r="A2425">
            <v>46227</v>
          </cell>
          <cell r="B2425">
            <v>98.79</v>
          </cell>
          <cell r="C2425">
            <v>2026</v>
          </cell>
          <cell r="D2425" t="str">
            <v>Q3</v>
          </cell>
        </row>
        <row r="2426">
          <cell r="A2426">
            <v>46230</v>
          </cell>
          <cell r="B2426">
            <v>90.575000000000003</v>
          </cell>
          <cell r="C2426">
            <v>2026</v>
          </cell>
          <cell r="D2426" t="str">
            <v>Q3</v>
          </cell>
        </row>
        <row r="2427">
          <cell r="A2427">
            <v>46231</v>
          </cell>
          <cell r="B2427">
            <v>85.734999999999999</v>
          </cell>
          <cell r="C2427">
            <v>2026</v>
          </cell>
          <cell r="D2427" t="str">
            <v>Q3</v>
          </cell>
        </row>
        <row r="2428">
          <cell r="A2428">
            <v>46232</v>
          </cell>
          <cell r="B2428">
            <v>91.19</v>
          </cell>
          <cell r="C2428">
            <v>2026</v>
          </cell>
          <cell r="D2428" t="str">
            <v>Q3</v>
          </cell>
        </row>
        <row r="2429">
          <cell r="A2429">
            <v>46233</v>
          </cell>
          <cell r="B2429">
            <v>91.93</v>
          </cell>
          <cell r="C2429">
            <v>2026</v>
          </cell>
          <cell r="D2429" t="str">
            <v>Q3</v>
          </cell>
        </row>
        <row r="2430">
          <cell r="A2430">
            <v>46234</v>
          </cell>
          <cell r="B2430">
            <v>96.22</v>
          </cell>
          <cell r="C2430">
            <v>2026</v>
          </cell>
          <cell r="D2430" t="str">
            <v>Q3</v>
          </cell>
        </row>
        <row r="2431">
          <cell r="A2431">
            <v>46237</v>
          </cell>
          <cell r="B2431">
            <v>91.56</v>
          </cell>
          <cell r="C2431">
            <v>2026</v>
          </cell>
          <cell r="D2431" t="str">
            <v>Q3</v>
          </cell>
        </row>
        <row r="2432">
          <cell r="A2432">
            <v>46238</v>
          </cell>
          <cell r="B2432">
            <v>86.23</v>
          </cell>
          <cell r="C2432">
            <v>2026</v>
          </cell>
          <cell r="D2432" t="str">
            <v>Q3</v>
          </cell>
        </row>
        <row r="2433">
          <cell r="A2433">
            <v>46239</v>
          </cell>
          <cell r="B2433">
            <v>85.25</v>
          </cell>
          <cell r="C2433">
            <v>2026</v>
          </cell>
          <cell r="D2433" t="str">
            <v>Q3</v>
          </cell>
        </row>
        <row r="2434">
          <cell r="A2434">
            <v>46240</v>
          </cell>
          <cell r="B2434">
            <v>87.644999999999996</v>
          </cell>
          <cell r="C2434">
            <v>2026</v>
          </cell>
          <cell r="D2434" t="str">
            <v>Q3</v>
          </cell>
        </row>
        <row r="2435">
          <cell r="A2435">
            <v>46241</v>
          </cell>
          <cell r="B2435">
            <v>89.07</v>
          </cell>
          <cell r="C2435">
            <v>2026</v>
          </cell>
          <cell r="D2435" t="str">
            <v>Q3</v>
          </cell>
        </row>
        <row r="2436">
          <cell r="A2436">
            <v>46244</v>
          </cell>
          <cell r="B2436">
            <v>91.885000000000005</v>
          </cell>
          <cell r="C2436">
            <v>2026</v>
          </cell>
          <cell r="D2436" t="str">
            <v>Q3</v>
          </cell>
        </row>
        <row r="2437">
          <cell r="A2437">
            <v>46245</v>
          </cell>
          <cell r="B2437">
            <v>93.17</v>
          </cell>
          <cell r="C2437">
            <v>2026</v>
          </cell>
          <cell r="D2437" t="str">
            <v>Q3</v>
          </cell>
        </row>
        <row r="2438">
          <cell r="A2438">
            <v>46246</v>
          </cell>
          <cell r="B2438">
            <v>93.575000000000003</v>
          </cell>
          <cell r="C2438">
            <v>2026</v>
          </cell>
          <cell r="D2438" t="str">
            <v>Q3</v>
          </cell>
        </row>
        <row r="2439">
          <cell r="A2439">
            <v>46247</v>
          </cell>
          <cell r="B2439">
            <v>92.694999999999993</v>
          </cell>
          <cell r="C2439">
            <v>2026</v>
          </cell>
          <cell r="D2439" t="str">
            <v>Q3</v>
          </cell>
        </row>
        <row r="2440">
          <cell r="A2440">
            <v>46248</v>
          </cell>
          <cell r="B2440">
            <v>92.045000000000002</v>
          </cell>
          <cell r="C2440">
            <v>2026</v>
          </cell>
          <cell r="D2440" t="str">
            <v>Q3</v>
          </cell>
        </row>
        <row r="2441">
          <cell r="A2441">
            <v>46251</v>
          </cell>
          <cell r="B2441">
            <v>90</v>
          </cell>
          <cell r="C2441">
            <v>2026</v>
          </cell>
          <cell r="D2441" t="str">
            <v>Q3</v>
          </cell>
        </row>
        <row r="2442">
          <cell r="A2442">
            <v>46252</v>
          </cell>
          <cell r="B2442">
            <v>92.844999999999999</v>
          </cell>
          <cell r="C2442">
            <v>2026</v>
          </cell>
          <cell r="D2442" t="str">
            <v>Q3</v>
          </cell>
        </row>
        <row r="2443">
          <cell r="A2443">
            <v>46253</v>
          </cell>
          <cell r="B2443">
            <v>93.495000000000005</v>
          </cell>
          <cell r="C2443">
            <v>2026</v>
          </cell>
          <cell r="D2443" t="str">
            <v>Q3</v>
          </cell>
        </row>
        <row r="2444">
          <cell r="A2444">
            <v>46254</v>
          </cell>
          <cell r="B2444">
            <v>94.415000000000006</v>
          </cell>
          <cell r="C2444">
            <v>2026</v>
          </cell>
          <cell r="D2444" t="str">
            <v>Q3</v>
          </cell>
        </row>
        <row r="2445">
          <cell r="A2445">
            <v>46255</v>
          </cell>
          <cell r="B2445">
            <v>94.454999999999998</v>
          </cell>
          <cell r="C2445">
            <v>2026</v>
          </cell>
          <cell r="D2445" t="str">
            <v>Q3</v>
          </cell>
        </row>
        <row r="2446">
          <cell r="A2446">
            <v>46258</v>
          </cell>
          <cell r="B2446">
            <v>92.89</v>
          </cell>
          <cell r="C2446">
            <v>2026</v>
          </cell>
          <cell r="D2446" t="str">
            <v>Q3</v>
          </cell>
        </row>
        <row r="2447">
          <cell r="A2447">
            <v>46259</v>
          </cell>
          <cell r="B2447">
            <v>89.194999999999993</v>
          </cell>
          <cell r="C2447">
            <v>2026</v>
          </cell>
          <cell r="D2447" t="str">
            <v>Q3</v>
          </cell>
        </row>
        <row r="2448">
          <cell r="A2448">
            <v>46260</v>
          </cell>
          <cell r="B2448">
            <v>89.424999999999997</v>
          </cell>
          <cell r="C2448">
            <v>2026</v>
          </cell>
          <cell r="D2448" t="str">
            <v>Q3</v>
          </cell>
        </row>
        <row r="2449">
          <cell r="A2449">
            <v>46261</v>
          </cell>
          <cell r="B2449">
            <v>89.25</v>
          </cell>
          <cell r="C2449">
            <v>2026</v>
          </cell>
          <cell r="D2449" t="str">
            <v>Q3</v>
          </cell>
        </row>
        <row r="2450">
          <cell r="A2450">
            <v>46262</v>
          </cell>
          <cell r="B2450">
            <v>89.71</v>
          </cell>
          <cell r="C2450">
            <v>2026</v>
          </cell>
          <cell r="D2450" t="str">
            <v>Q3</v>
          </cell>
        </row>
        <row r="2451">
          <cell r="A2451">
            <v>46266</v>
          </cell>
          <cell r="B2451">
            <v>94.114999999999995</v>
          </cell>
          <cell r="C2451">
            <v>2026</v>
          </cell>
          <cell r="D2451" t="str">
            <v>Q3</v>
          </cell>
        </row>
        <row r="2452">
          <cell r="A2452">
            <v>46267</v>
          </cell>
          <cell r="B2452">
            <v>98.405000000000001</v>
          </cell>
          <cell r="C2452">
            <v>2026</v>
          </cell>
          <cell r="D2452" t="str">
            <v>Q3</v>
          </cell>
        </row>
        <row r="2453">
          <cell r="A2453">
            <v>46268</v>
          </cell>
          <cell r="B2453">
            <v>101.66500000000001</v>
          </cell>
          <cell r="C2453">
            <v>2026</v>
          </cell>
          <cell r="D2453" t="str">
            <v>Q3</v>
          </cell>
        </row>
        <row r="2454">
          <cell r="A2454">
            <v>46269</v>
          </cell>
          <cell r="B2454">
            <v>100.65</v>
          </cell>
          <cell r="C2454">
            <v>2026</v>
          </cell>
          <cell r="D2454" t="str">
            <v>Q3</v>
          </cell>
        </row>
        <row r="2455">
          <cell r="A2455">
            <v>46272</v>
          </cell>
          <cell r="B2455">
            <v>106.77500000000001</v>
          </cell>
          <cell r="C2455">
            <v>2026</v>
          </cell>
          <cell r="D2455" t="str">
            <v>Q3</v>
          </cell>
        </row>
        <row r="2456">
          <cell r="A2456">
            <v>46273</v>
          </cell>
          <cell r="B2456">
            <v>108.22</v>
          </cell>
          <cell r="C2456">
            <v>2026</v>
          </cell>
          <cell r="D2456" t="str">
            <v>Q3</v>
          </cell>
        </row>
        <row r="2457">
          <cell r="A2457">
            <v>46274</v>
          </cell>
          <cell r="B2457">
            <v>114.45</v>
          </cell>
          <cell r="C2457">
            <v>2026</v>
          </cell>
          <cell r="D2457" t="str">
            <v>Q3</v>
          </cell>
        </row>
        <row r="2458">
          <cell r="A2458">
            <v>46275</v>
          </cell>
          <cell r="B2458">
            <v>120.28</v>
          </cell>
          <cell r="C2458">
            <v>2026</v>
          </cell>
          <cell r="D2458" t="str">
            <v>Q3</v>
          </cell>
        </row>
        <row r="2459">
          <cell r="A2459">
            <v>46276</v>
          </cell>
          <cell r="B2459">
            <v>118.56</v>
          </cell>
          <cell r="C2459">
            <v>2026</v>
          </cell>
          <cell r="D2459" t="str">
            <v>Q3</v>
          </cell>
        </row>
        <row r="2460">
          <cell r="A2460">
            <v>46279</v>
          </cell>
          <cell r="B2460">
            <v>130.65</v>
          </cell>
          <cell r="C2460">
            <v>2026</v>
          </cell>
          <cell r="D2460" t="str">
            <v>Q3</v>
          </cell>
        </row>
        <row r="2461">
          <cell r="A2461">
            <v>46280</v>
          </cell>
          <cell r="B2461">
            <v>131.76499999999999</v>
          </cell>
          <cell r="C2461">
            <v>2026</v>
          </cell>
          <cell r="D2461" t="str">
            <v>Q3</v>
          </cell>
        </row>
        <row r="2462">
          <cell r="A2462">
            <v>46281</v>
          </cell>
          <cell r="B2462">
            <v>126.795</v>
          </cell>
          <cell r="C2462">
            <v>2026</v>
          </cell>
          <cell r="D2462" t="str">
            <v>Q3</v>
          </cell>
        </row>
        <row r="2463">
          <cell r="A2463">
            <v>46282</v>
          </cell>
          <cell r="B2463">
            <v>125.395</v>
          </cell>
          <cell r="C2463">
            <v>2026</v>
          </cell>
          <cell r="D2463" t="str">
            <v>Q3</v>
          </cell>
        </row>
        <row r="2464">
          <cell r="A2464">
            <v>46283</v>
          </cell>
          <cell r="B2464">
            <v>125.38500000000001</v>
          </cell>
          <cell r="C2464">
            <v>2026</v>
          </cell>
          <cell r="D2464" t="str">
            <v>Q3</v>
          </cell>
        </row>
        <row r="2465">
          <cell r="A2465">
            <v>46286</v>
          </cell>
          <cell r="B2465">
            <v>118.38500000000001</v>
          </cell>
          <cell r="C2465">
            <v>2026</v>
          </cell>
          <cell r="D2465" t="str">
            <v>Q3</v>
          </cell>
        </row>
        <row r="2466">
          <cell r="A2466">
            <v>46287</v>
          </cell>
          <cell r="B2466">
            <v>116.45</v>
          </cell>
          <cell r="C2466">
            <v>2026</v>
          </cell>
          <cell r="D2466" t="str">
            <v>Q3</v>
          </cell>
        </row>
        <row r="2467">
          <cell r="A2467">
            <v>46288</v>
          </cell>
          <cell r="B2467">
            <v>119.855</v>
          </cell>
          <cell r="C2467">
            <v>2026</v>
          </cell>
          <cell r="D2467" t="str">
            <v>Q3</v>
          </cell>
        </row>
        <row r="2468">
          <cell r="A2468">
            <v>46289</v>
          </cell>
          <cell r="B2468">
            <v>125.52500000000001</v>
          </cell>
          <cell r="C2468">
            <v>2026</v>
          </cell>
          <cell r="D2468" t="str">
            <v>Q3</v>
          </cell>
        </row>
        <row r="2469">
          <cell r="A2469">
            <v>46290</v>
          </cell>
          <cell r="B2469">
            <v>123.02500000000001</v>
          </cell>
          <cell r="C2469">
            <v>2026</v>
          </cell>
          <cell r="D2469" t="str">
            <v>Q3</v>
          </cell>
        </row>
        <row r="2470">
          <cell r="A2470">
            <v>46293</v>
          </cell>
          <cell r="B2470">
            <v>123.78</v>
          </cell>
          <cell r="C2470">
            <v>2026</v>
          </cell>
          <cell r="D2470" t="str">
            <v>Q3</v>
          </cell>
        </row>
        <row r="2471">
          <cell r="A2471">
            <v>46294</v>
          </cell>
          <cell r="B2471">
            <v>119.245</v>
          </cell>
          <cell r="C2471">
            <v>2026</v>
          </cell>
          <cell r="D2471" t="str">
            <v>Q3</v>
          </cell>
        </row>
        <row r="2472">
          <cell r="A2472">
            <v>46295</v>
          </cell>
          <cell r="B2472">
            <v>120.17</v>
          </cell>
          <cell r="C2472">
            <v>2026</v>
          </cell>
          <cell r="D2472" t="str">
            <v>Q3</v>
          </cell>
        </row>
        <row r="2473">
          <cell r="A2473">
            <v>46296</v>
          </cell>
          <cell r="B2473">
            <v>126.895</v>
          </cell>
          <cell r="C2473">
            <v>2026</v>
          </cell>
          <cell r="D2473" t="str">
            <v>Q4</v>
          </cell>
        </row>
        <row r="2474">
          <cell r="A2474">
            <v>46297</v>
          </cell>
          <cell r="B2474">
            <v>126.625</v>
          </cell>
          <cell r="C2474">
            <v>2026</v>
          </cell>
          <cell r="D2474" t="str">
            <v>Q4</v>
          </cell>
        </row>
        <row r="2475">
          <cell r="A2475">
            <v>46300</v>
          </cell>
          <cell r="B2475">
            <v>128.46</v>
          </cell>
          <cell r="C2475">
            <v>2026</v>
          </cell>
          <cell r="D2475" t="str">
            <v>Q4</v>
          </cell>
        </row>
        <row r="2476">
          <cell r="A2476">
            <v>46301</v>
          </cell>
          <cell r="B2476">
            <v>125.185</v>
          </cell>
          <cell r="C2476">
            <v>2026</v>
          </cell>
          <cell r="D2476" t="str">
            <v>Q4</v>
          </cell>
        </row>
        <row r="2477">
          <cell r="A2477">
            <v>46302</v>
          </cell>
          <cell r="B2477">
            <v>129.18</v>
          </cell>
          <cell r="C2477">
            <v>2026</v>
          </cell>
          <cell r="D2477" t="str">
            <v>Q4</v>
          </cell>
        </row>
        <row r="2478">
          <cell r="A2478">
            <v>46303</v>
          </cell>
          <cell r="B2478">
            <v>135.66</v>
          </cell>
          <cell r="C2478">
            <v>2026</v>
          </cell>
          <cell r="D2478" t="str">
            <v>Q4</v>
          </cell>
        </row>
        <row r="2479">
          <cell r="A2479">
            <v>46304</v>
          </cell>
          <cell r="B2479">
            <v>132.78</v>
          </cell>
          <cell r="C2479">
            <v>2026</v>
          </cell>
          <cell r="D2479" t="str">
            <v>Q4</v>
          </cell>
        </row>
        <row r="2480">
          <cell r="A2480">
            <v>46307</v>
          </cell>
          <cell r="B2480">
            <v>134.13999999999999</v>
          </cell>
          <cell r="C2480">
            <v>2026</v>
          </cell>
          <cell r="D2480" t="str">
            <v>Q4</v>
          </cell>
        </row>
        <row r="2481">
          <cell r="A2481">
            <v>46308</v>
          </cell>
          <cell r="B2481">
            <v>130.04</v>
          </cell>
          <cell r="C2481">
            <v>2026</v>
          </cell>
          <cell r="D2481" t="str">
            <v>Q4</v>
          </cell>
        </row>
        <row r="2482">
          <cell r="A2482">
            <v>46309</v>
          </cell>
          <cell r="B2482">
            <v>127.345</v>
          </cell>
          <cell r="C2482">
            <v>2026</v>
          </cell>
          <cell r="D2482" t="str">
            <v>Q4</v>
          </cell>
        </row>
        <row r="2483">
          <cell r="A2483">
            <v>46310</v>
          </cell>
          <cell r="B2483">
            <v>126.405</v>
          </cell>
          <cell r="C2483">
            <v>2026</v>
          </cell>
          <cell r="D2483" t="str">
            <v>Q4</v>
          </cell>
        </row>
        <row r="2484">
          <cell r="A2484">
            <v>46311</v>
          </cell>
          <cell r="B2484">
            <v>116.605</v>
          </cell>
          <cell r="C2484">
            <v>2026</v>
          </cell>
          <cell r="D2484" t="str">
            <v>Q4</v>
          </cell>
        </row>
        <row r="2485">
          <cell r="A2485">
            <v>46312</v>
          </cell>
          <cell r="B2485">
            <v>117.735</v>
          </cell>
          <cell r="C2485">
            <v>2026</v>
          </cell>
          <cell r="D2485" t="str">
            <v>Q4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87" workbookViewId="0">
      <pane xSplit="2" ySplit="1" topLeftCell="C2" activePane="bottomRight" state="frozen"/>
      <selection pane="topRight"/>
      <selection pane="bottomLeft"/>
      <selection pane="bottomRight" activeCell="K17" sqref="K17"/>
    </sheetView>
  </sheetViews>
  <sheetFormatPr defaultRowHeight="14.5" x14ac:dyDescent="0.35"/>
  <cols>
    <col min="1" max="1" width="8" customWidth="1"/>
    <col min="2" max="2" width="12" customWidth="1"/>
    <col min="3" max="4" width="14" customWidth="1"/>
    <col min="5" max="7" width="16" customWidth="1"/>
    <col min="8" max="9" width="18" customWidth="1"/>
    <col min="10" max="10" width="22" customWidth="1"/>
    <col min="11" max="11" width="16" customWidth="1"/>
    <col min="12" max="12" width="24" customWidth="1"/>
  </cols>
  <sheetData>
    <row r="1" spans="1:12" ht="4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2017</v>
      </c>
      <c r="B2" s="3" t="s">
        <v>12</v>
      </c>
      <c r="C2" s="12">
        <f>MEDIAN(C4:C7)</f>
        <v>11.379633999999999</v>
      </c>
      <c r="D2" s="12">
        <f>MEDIAN(D4:D7)</f>
        <v>15.000185</v>
      </c>
      <c r="E2" s="5">
        <v>66.468333333333305</v>
      </c>
      <c r="F2" s="5">
        <v>3.57</v>
      </c>
      <c r="G2" s="5">
        <v>4.96</v>
      </c>
      <c r="H2" s="5">
        <v>53.706666666666699</v>
      </c>
      <c r="I2" s="5">
        <v>53.689531250000002</v>
      </c>
      <c r="J2" s="3" t="s">
        <v>13</v>
      </c>
      <c r="K2" s="3">
        <v>64</v>
      </c>
      <c r="L2" s="3" t="s">
        <v>14</v>
      </c>
    </row>
    <row r="3" spans="1:12" x14ac:dyDescent="0.35">
      <c r="A3" s="2">
        <v>2017</v>
      </c>
      <c r="B3" s="3" t="s">
        <v>15</v>
      </c>
      <c r="C3" s="12">
        <f>MEDIAN(C4:C7)</f>
        <v>11.379633999999999</v>
      </c>
      <c r="D3" s="12">
        <f>MEDIAN(D4:D7)</f>
        <v>15.000185</v>
      </c>
      <c r="E3" s="5">
        <v>64.444999999999993</v>
      </c>
      <c r="F3" s="5">
        <v>2.21</v>
      </c>
      <c r="G3" s="5">
        <v>2.33666666666667</v>
      </c>
      <c r="H3" s="5">
        <v>49.273333333333298</v>
      </c>
      <c r="I3" s="5">
        <v>49.762500000000003</v>
      </c>
      <c r="J3" s="3" t="s">
        <v>13</v>
      </c>
      <c r="K3" s="3">
        <v>64</v>
      </c>
      <c r="L3" s="3" t="s">
        <v>14</v>
      </c>
    </row>
    <row r="4" spans="1:12" x14ac:dyDescent="0.35">
      <c r="A4" s="2">
        <v>2017</v>
      </c>
      <c r="B4" s="3" t="s">
        <v>16</v>
      </c>
      <c r="C4" s="4">
        <v>9.0818499999999993</v>
      </c>
      <c r="D4" s="4">
        <v>10.478135999999999</v>
      </c>
      <c r="E4" s="5">
        <v>64.456666666666706</v>
      </c>
      <c r="F4" s="5">
        <v>2.9733333333333301</v>
      </c>
      <c r="G4" s="5">
        <v>2.7533333333333299</v>
      </c>
      <c r="H4" s="5">
        <v>54.47</v>
      </c>
      <c r="I4" s="5">
        <v>52.699076923076902</v>
      </c>
      <c r="J4" s="3" t="s">
        <v>13</v>
      </c>
      <c r="K4" s="3">
        <v>65</v>
      </c>
      <c r="L4" s="3" t="s">
        <v>17</v>
      </c>
    </row>
    <row r="5" spans="1:12" x14ac:dyDescent="0.35">
      <c r="A5" s="2">
        <v>2017</v>
      </c>
      <c r="B5" s="3" t="s">
        <v>18</v>
      </c>
      <c r="C5" s="4">
        <v>14.099746</v>
      </c>
      <c r="D5" s="4">
        <v>19.068881999999999</v>
      </c>
      <c r="E5" s="5">
        <v>64.358766666666696</v>
      </c>
      <c r="F5" s="5">
        <v>4.5566666666666702</v>
      </c>
      <c r="G5" s="5">
        <v>3.76</v>
      </c>
      <c r="H5" s="5">
        <v>64.06</v>
      </c>
      <c r="I5" s="5">
        <v>61.639841269841298</v>
      </c>
      <c r="J5" s="3" t="s">
        <v>13</v>
      </c>
      <c r="K5" s="3">
        <v>63</v>
      </c>
      <c r="L5" s="3" t="s">
        <v>17</v>
      </c>
    </row>
    <row r="6" spans="1:12" x14ac:dyDescent="0.35">
      <c r="A6" s="2">
        <v>2018</v>
      </c>
      <c r="B6" s="3" t="s">
        <v>12</v>
      </c>
      <c r="C6" s="4">
        <v>10.424458</v>
      </c>
      <c r="D6" s="4">
        <v>13.951083000000001</v>
      </c>
      <c r="E6" s="5">
        <v>64.647099999999995</v>
      </c>
      <c r="F6" s="5">
        <v>4.5966666666666702</v>
      </c>
      <c r="G6" s="5">
        <v>2.8333333333333299</v>
      </c>
      <c r="H6" s="5">
        <v>67.536666666666704</v>
      </c>
      <c r="I6" s="5">
        <v>66.7969841269841</v>
      </c>
      <c r="J6" s="3" t="s">
        <v>13</v>
      </c>
      <c r="K6" s="3">
        <v>63</v>
      </c>
      <c r="L6" s="3" t="s">
        <v>17</v>
      </c>
    </row>
    <row r="7" spans="1:12" x14ac:dyDescent="0.35">
      <c r="A7" s="2">
        <v>2018</v>
      </c>
      <c r="B7" s="3" t="s">
        <v>15</v>
      </c>
      <c r="C7" s="4">
        <v>12.334809999999999</v>
      </c>
      <c r="D7" s="4">
        <v>16.049287</v>
      </c>
      <c r="E7" s="5">
        <v>67.509200000000007</v>
      </c>
      <c r="F7" s="5">
        <v>4.79</v>
      </c>
      <c r="G7" s="5">
        <v>4.6933333333333298</v>
      </c>
      <c r="H7" s="5">
        <v>75.8066666666667</v>
      </c>
      <c r="I7" s="5">
        <v>73.881031746031795</v>
      </c>
      <c r="J7" s="3" t="s">
        <v>13</v>
      </c>
      <c r="K7" s="3">
        <v>63</v>
      </c>
      <c r="L7" s="3" t="s">
        <v>17</v>
      </c>
    </row>
    <row r="8" spans="1:12" x14ac:dyDescent="0.35">
      <c r="A8" s="2">
        <v>2018</v>
      </c>
      <c r="B8" s="3" t="s">
        <v>16</v>
      </c>
      <c r="C8" s="4">
        <v>2.0286209999999998</v>
      </c>
      <c r="D8" s="4">
        <v>2.238998</v>
      </c>
      <c r="E8" s="5">
        <v>70.677899999999994</v>
      </c>
      <c r="F8" s="5">
        <v>3.8533333333333299</v>
      </c>
      <c r="G8" s="5">
        <v>5.0366666666666697</v>
      </c>
      <c r="H8" s="5">
        <v>77.209999999999994</v>
      </c>
      <c r="I8" s="5">
        <v>74.303124999999994</v>
      </c>
      <c r="J8" s="3" t="s">
        <v>13</v>
      </c>
      <c r="K8" s="3">
        <v>64</v>
      </c>
      <c r="L8" s="3" t="s">
        <v>17</v>
      </c>
    </row>
    <row r="9" spans="1:12" x14ac:dyDescent="0.35">
      <c r="A9" s="2">
        <v>2018</v>
      </c>
      <c r="B9" s="3" t="s">
        <v>18</v>
      </c>
      <c r="C9" s="4">
        <v>0.42675200000000002</v>
      </c>
      <c r="D9" s="4">
        <v>-0.17000999999999999</v>
      </c>
      <c r="E9" s="5">
        <v>71.103300000000004</v>
      </c>
      <c r="F9" s="5">
        <v>2.60666666666667</v>
      </c>
      <c r="G9" s="5">
        <v>4.49</v>
      </c>
      <c r="H9" s="5">
        <v>60.926666666666698</v>
      </c>
      <c r="I9" s="5">
        <v>67.571692307692302</v>
      </c>
      <c r="J9" s="3" t="s">
        <v>13</v>
      </c>
      <c r="K9" s="3">
        <v>65</v>
      </c>
      <c r="L9" s="3" t="s">
        <v>17</v>
      </c>
    </row>
    <row r="10" spans="1:12" x14ac:dyDescent="0.35">
      <c r="A10" s="2">
        <v>2019</v>
      </c>
      <c r="B10" s="3" t="s">
        <v>12</v>
      </c>
      <c r="C10" s="4">
        <v>-10.543203</v>
      </c>
      <c r="D10" s="4">
        <v>-10.825468000000001</v>
      </c>
      <c r="E10" s="5">
        <v>70.326266666666697</v>
      </c>
      <c r="F10" s="5">
        <v>2.4666666666666699</v>
      </c>
      <c r="G10" s="5">
        <v>2.93</v>
      </c>
      <c r="H10" s="5">
        <v>65.258333333333297</v>
      </c>
      <c r="I10" s="5">
        <v>62.900390625</v>
      </c>
      <c r="J10" s="3" t="s">
        <v>13</v>
      </c>
      <c r="K10" s="3">
        <v>64</v>
      </c>
      <c r="L10" s="3" t="s">
        <v>17</v>
      </c>
    </row>
    <row r="11" spans="1:12" x14ac:dyDescent="0.35">
      <c r="A11" s="2">
        <v>2019</v>
      </c>
      <c r="B11" s="3" t="s">
        <v>15</v>
      </c>
      <c r="C11" s="4">
        <v>2.4113530000000001</v>
      </c>
      <c r="D11" s="4">
        <v>1.4623520000000001</v>
      </c>
      <c r="E11" s="5">
        <v>69.427099999999996</v>
      </c>
      <c r="F11" s="5">
        <v>3.0733333333333301</v>
      </c>
      <c r="G11" s="5">
        <v>2.68333333333333</v>
      </c>
      <c r="H11" s="5">
        <v>68.438333333333304</v>
      </c>
      <c r="I11" s="5">
        <v>69.128606557377097</v>
      </c>
      <c r="J11" s="3" t="s">
        <v>13</v>
      </c>
      <c r="K11" s="3">
        <v>61</v>
      </c>
      <c r="L11" s="3" t="s">
        <v>17</v>
      </c>
    </row>
    <row r="12" spans="1:12" x14ac:dyDescent="0.35">
      <c r="A12" s="2">
        <v>2019</v>
      </c>
      <c r="B12" s="3" t="s">
        <v>16</v>
      </c>
      <c r="C12" s="4">
        <v>7.4789700000000003</v>
      </c>
      <c r="D12" s="4">
        <v>7.3679880000000004</v>
      </c>
      <c r="E12" s="5">
        <v>70.357500000000002</v>
      </c>
      <c r="F12" s="5">
        <v>3.4733333333333301</v>
      </c>
      <c r="G12" s="5">
        <v>0.89</v>
      </c>
      <c r="H12" s="5">
        <v>61.9866666666667</v>
      </c>
      <c r="I12" s="5">
        <v>62.278692307692303</v>
      </c>
      <c r="J12" s="3" t="s">
        <v>13</v>
      </c>
      <c r="K12" s="3">
        <v>65</v>
      </c>
      <c r="L12" s="3" t="s">
        <v>17</v>
      </c>
    </row>
    <row r="13" spans="1:12" x14ac:dyDescent="0.35">
      <c r="A13" s="2">
        <v>2019</v>
      </c>
      <c r="B13" s="3" t="s">
        <v>18</v>
      </c>
      <c r="C13" s="4">
        <v>12.743739</v>
      </c>
      <c r="D13" s="4">
        <v>26.313948</v>
      </c>
      <c r="E13" s="5">
        <v>71.347933333333302</v>
      </c>
      <c r="F13" s="5">
        <v>5.8366666666666696</v>
      </c>
      <c r="G13" s="5">
        <v>1.11333333333333</v>
      </c>
      <c r="H13" s="5">
        <v>64.709999999999994</v>
      </c>
      <c r="I13" s="5">
        <v>64.0932307692308</v>
      </c>
      <c r="J13" s="3" t="s">
        <v>13</v>
      </c>
      <c r="K13" s="3">
        <v>65</v>
      </c>
      <c r="L13" s="3" t="s">
        <v>17</v>
      </c>
    </row>
    <row r="14" spans="1:12" x14ac:dyDescent="0.35">
      <c r="A14" s="2">
        <v>2020</v>
      </c>
      <c r="B14" s="3" t="s">
        <v>12</v>
      </c>
      <c r="C14" s="4">
        <v>-13.147261</v>
      </c>
      <c r="D14" s="4">
        <v>5.3270289999999996</v>
      </c>
      <c r="E14" s="5">
        <v>73.023766666666702</v>
      </c>
      <c r="F14" s="5">
        <v>6.67</v>
      </c>
      <c r="G14" s="5">
        <v>2.06666666666667</v>
      </c>
      <c r="H14" s="5">
        <v>43.81</v>
      </c>
      <c r="I14" s="5">
        <v>51.634461538461501</v>
      </c>
      <c r="J14" s="3" t="s">
        <v>13</v>
      </c>
      <c r="K14" s="3">
        <v>65</v>
      </c>
      <c r="L14" s="3" t="s">
        <v>17</v>
      </c>
    </row>
    <row r="15" spans="1:12" x14ac:dyDescent="0.35">
      <c r="A15" s="2">
        <v>2020</v>
      </c>
      <c r="B15" s="3" t="s">
        <v>15</v>
      </c>
      <c r="C15" s="4">
        <v>4.9382339999999996</v>
      </c>
      <c r="D15" s="4">
        <v>18.072457</v>
      </c>
      <c r="E15" s="5">
        <v>75.408733333333302</v>
      </c>
      <c r="F15" s="5">
        <v>6.5733333333333297</v>
      </c>
      <c r="G15" s="5">
        <v>-2.25</v>
      </c>
      <c r="H15" s="5">
        <v>32.108333333333299</v>
      </c>
      <c r="I15" s="5">
        <v>29.997540983606601</v>
      </c>
      <c r="J15" s="3" t="s">
        <v>13</v>
      </c>
      <c r="K15" s="3">
        <v>61</v>
      </c>
      <c r="L15" s="3" t="s">
        <v>17</v>
      </c>
    </row>
    <row r="16" spans="1:12" x14ac:dyDescent="0.35">
      <c r="A16" s="2">
        <v>2020</v>
      </c>
      <c r="B16" s="3" t="s">
        <v>16</v>
      </c>
      <c r="C16" s="4">
        <v>-10.524881000000001</v>
      </c>
      <c r="D16" s="4">
        <v>10.59019</v>
      </c>
      <c r="E16" s="5">
        <v>74.065399999999997</v>
      </c>
      <c r="F16" s="5">
        <v>6.8966666666666701</v>
      </c>
      <c r="G16" s="5">
        <v>0.49333333333333301</v>
      </c>
      <c r="H16" s="5">
        <v>44.158333333333303</v>
      </c>
      <c r="I16" s="5">
        <v>44.351230769230803</v>
      </c>
      <c r="J16" s="3" t="s">
        <v>13</v>
      </c>
      <c r="K16" s="3">
        <v>65</v>
      </c>
      <c r="L16" s="3" t="s">
        <v>17</v>
      </c>
    </row>
    <row r="17" spans="1:12" x14ac:dyDescent="0.35">
      <c r="A17" s="2">
        <v>2020</v>
      </c>
      <c r="B17" s="3" t="s">
        <v>18</v>
      </c>
      <c r="C17" s="4">
        <v>-371.625249</v>
      </c>
      <c r="D17" s="4">
        <v>-201.39121800000001</v>
      </c>
      <c r="E17" s="5">
        <v>73.738333333333301</v>
      </c>
      <c r="F17" s="5">
        <v>6.3766666666666696</v>
      </c>
      <c r="G17" s="5">
        <v>1.85</v>
      </c>
      <c r="H17" s="5">
        <v>45.381666666666703</v>
      </c>
      <c r="I17" s="5">
        <v>44.972734375000002</v>
      </c>
      <c r="J17" s="3" t="s">
        <v>13</v>
      </c>
      <c r="K17" s="3">
        <v>64</v>
      </c>
      <c r="L17" s="3" t="s">
        <v>17</v>
      </c>
    </row>
    <row r="18" spans="1:12" x14ac:dyDescent="0.35">
      <c r="A18" s="2">
        <v>2021</v>
      </c>
      <c r="B18" s="3" t="s">
        <v>12</v>
      </c>
      <c r="C18" s="4">
        <v>-43.589440000000003</v>
      </c>
      <c r="D18" s="4">
        <v>-11.214128000000001</v>
      </c>
      <c r="E18" s="5">
        <v>73.177099999999996</v>
      </c>
      <c r="F18" s="5">
        <v>4.87</v>
      </c>
      <c r="G18" s="5">
        <v>5.0766666666666698</v>
      </c>
      <c r="H18" s="5">
        <v>61.506666666666703</v>
      </c>
      <c r="I18" s="5">
        <v>61.305158730158702</v>
      </c>
      <c r="J18" s="3" t="s">
        <v>13</v>
      </c>
      <c r="K18" s="3">
        <v>63</v>
      </c>
      <c r="L18" s="3" t="s">
        <v>17</v>
      </c>
    </row>
    <row r="19" spans="1:12" x14ac:dyDescent="0.35">
      <c r="A19" s="2">
        <v>2021</v>
      </c>
      <c r="B19" s="3" t="s">
        <v>15</v>
      </c>
      <c r="C19" s="4">
        <v>-12.761371</v>
      </c>
      <c r="D19" s="4">
        <v>12.963488999999999</v>
      </c>
      <c r="E19" s="5">
        <v>73.6779333333333</v>
      </c>
      <c r="F19" s="5">
        <v>5.5966666666666702</v>
      </c>
      <c r="G19" s="5">
        <v>11.973333333333301</v>
      </c>
      <c r="H19" s="5">
        <v>70.888333333333307</v>
      </c>
      <c r="I19" s="5">
        <v>68.262950819672099</v>
      </c>
      <c r="J19" s="3" t="s">
        <v>13</v>
      </c>
      <c r="K19" s="3">
        <v>61</v>
      </c>
      <c r="L19" s="3" t="s">
        <v>17</v>
      </c>
    </row>
    <row r="20" spans="1:12" x14ac:dyDescent="0.35">
      <c r="A20" s="2">
        <v>2021</v>
      </c>
      <c r="B20" s="3" t="s">
        <v>16</v>
      </c>
      <c r="C20" s="4">
        <v>-18.625398000000001</v>
      </c>
      <c r="D20" s="4">
        <v>10.710853999999999</v>
      </c>
      <c r="E20" s="5">
        <v>73.887533333333295</v>
      </c>
      <c r="F20" s="5">
        <v>5.08</v>
      </c>
      <c r="G20" s="5">
        <v>11.67</v>
      </c>
      <c r="H20" s="5">
        <v>75.4166666666667</v>
      </c>
      <c r="I20" s="5">
        <v>73.256076923076904</v>
      </c>
      <c r="J20" s="3" t="s">
        <v>13</v>
      </c>
      <c r="K20" s="3">
        <v>65</v>
      </c>
      <c r="L20" s="3" t="s">
        <v>17</v>
      </c>
    </row>
    <row r="21" spans="1:12" x14ac:dyDescent="0.35">
      <c r="A21" s="2">
        <v>2021</v>
      </c>
      <c r="B21" s="3" t="s">
        <v>18</v>
      </c>
      <c r="C21" s="4">
        <v>-105.731859</v>
      </c>
      <c r="D21" s="4">
        <v>-36.666874</v>
      </c>
      <c r="E21" s="5">
        <v>74.794566666666697</v>
      </c>
      <c r="F21" s="5">
        <v>5.0166666666666702</v>
      </c>
      <c r="G21" s="5">
        <v>14.3233333333333</v>
      </c>
      <c r="H21" s="5">
        <v>76.808333333333294</v>
      </c>
      <c r="I21" s="5">
        <v>79.154062499999995</v>
      </c>
      <c r="J21" s="3" t="s">
        <v>13</v>
      </c>
      <c r="K21" s="3">
        <v>64</v>
      </c>
      <c r="L21" s="3" t="s">
        <v>17</v>
      </c>
    </row>
    <row r="22" spans="1:12" x14ac:dyDescent="0.35">
      <c r="A22" s="2">
        <v>2022</v>
      </c>
      <c r="B22" s="3" t="s">
        <v>12</v>
      </c>
      <c r="C22" s="4">
        <v>-25.682811999999998</v>
      </c>
      <c r="D22" s="4">
        <v>2.7141850000000001</v>
      </c>
      <c r="E22" s="5">
        <v>75.250399999999999</v>
      </c>
      <c r="F22" s="5">
        <v>6.3433333333333302</v>
      </c>
      <c r="G22" s="5">
        <v>13.9133333333333</v>
      </c>
      <c r="H22" s="5">
        <v>102.036666666667</v>
      </c>
      <c r="I22" s="5">
        <v>102.18761904761899</v>
      </c>
      <c r="J22" s="3" t="s">
        <v>13</v>
      </c>
      <c r="K22" s="3">
        <v>63</v>
      </c>
      <c r="L22" s="3" t="s">
        <v>17</v>
      </c>
    </row>
    <row r="23" spans="1:12" x14ac:dyDescent="0.35">
      <c r="A23" s="2">
        <v>2022</v>
      </c>
      <c r="B23" s="3" t="s">
        <v>15</v>
      </c>
      <c r="C23" s="4">
        <v>1.3819600000000001</v>
      </c>
      <c r="D23" s="4">
        <v>19.07957</v>
      </c>
      <c r="E23" s="5">
        <v>77.680833333333297</v>
      </c>
      <c r="F23" s="5">
        <v>7.28</v>
      </c>
      <c r="G23" s="5">
        <v>16.079999999999998</v>
      </c>
      <c r="H23" s="5">
        <v>117.598333333333</v>
      </c>
      <c r="I23" s="5">
        <v>113.88833333333299</v>
      </c>
      <c r="J23" s="3" t="s">
        <v>13</v>
      </c>
      <c r="K23" s="3">
        <v>60</v>
      </c>
      <c r="L23" s="3" t="s">
        <v>17</v>
      </c>
    </row>
    <row r="24" spans="1:12" x14ac:dyDescent="0.35">
      <c r="A24" s="2">
        <v>2022</v>
      </c>
      <c r="B24" s="3" t="s">
        <v>16</v>
      </c>
      <c r="C24" s="4">
        <v>-20.943062000000001</v>
      </c>
      <c r="D24" s="4">
        <v>8.0796340000000004</v>
      </c>
      <c r="E24" s="5">
        <v>80.025866666666701</v>
      </c>
      <c r="F24" s="5">
        <v>7.04</v>
      </c>
      <c r="G24" s="5">
        <v>12.366666666666699</v>
      </c>
      <c r="H24" s="5">
        <v>99.478333333333296</v>
      </c>
      <c r="I24" s="5">
        <v>100.79585937500001</v>
      </c>
      <c r="J24" s="3" t="s">
        <v>13</v>
      </c>
      <c r="K24" s="3">
        <v>64</v>
      </c>
      <c r="L24" s="3" t="s">
        <v>17</v>
      </c>
    </row>
    <row r="25" spans="1:12" x14ac:dyDescent="0.35">
      <c r="A25" s="2">
        <v>2022</v>
      </c>
      <c r="B25" s="3" t="s">
        <v>18</v>
      </c>
      <c r="C25" s="4">
        <v>-8.2878150000000002</v>
      </c>
      <c r="D25" s="4">
        <v>15.729232</v>
      </c>
      <c r="E25" s="5">
        <v>82.316233333333301</v>
      </c>
      <c r="F25" s="5">
        <v>6.1233333333333304</v>
      </c>
      <c r="G25" s="5">
        <v>6.6033333333333299</v>
      </c>
      <c r="H25" s="5">
        <v>86.903333333333293</v>
      </c>
      <c r="I25" s="5">
        <v>88.888968253968301</v>
      </c>
      <c r="J25" s="3" t="s">
        <v>13</v>
      </c>
      <c r="K25" s="3">
        <v>63</v>
      </c>
      <c r="L25" s="3" t="s">
        <v>17</v>
      </c>
    </row>
    <row r="26" spans="1:12" x14ac:dyDescent="0.35">
      <c r="A26" s="2">
        <v>2023</v>
      </c>
      <c r="B26" s="3" t="s">
        <v>12</v>
      </c>
      <c r="C26" s="4">
        <v>-12.686329000000001</v>
      </c>
      <c r="D26" s="4">
        <v>9.8171110000000006</v>
      </c>
      <c r="E26" s="5">
        <v>82.258766666666702</v>
      </c>
      <c r="F26" s="5">
        <v>6.2066666666666697</v>
      </c>
      <c r="G26" s="5">
        <v>3.3533333333333299</v>
      </c>
      <c r="H26" s="5">
        <v>82.21</v>
      </c>
      <c r="I26" s="5">
        <v>81.162421875000007</v>
      </c>
      <c r="J26" s="3" t="s">
        <v>13</v>
      </c>
      <c r="K26" s="3">
        <v>64</v>
      </c>
      <c r="L26" s="3" t="s">
        <v>17</v>
      </c>
    </row>
    <row r="27" spans="1:12" x14ac:dyDescent="0.35">
      <c r="A27" s="2">
        <v>2023</v>
      </c>
      <c r="B27" s="3" t="s">
        <v>15</v>
      </c>
      <c r="C27" s="4">
        <v>9.4969190000000001</v>
      </c>
      <c r="D27" s="4">
        <v>24.778098</v>
      </c>
      <c r="E27" s="5">
        <v>82.2</v>
      </c>
      <c r="F27" s="5">
        <v>4.6266666666666696</v>
      </c>
      <c r="G27" s="5">
        <v>-2.86</v>
      </c>
      <c r="H27" s="5">
        <v>76.653333333333293</v>
      </c>
      <c r="I27" s="5">
        <v>78.046333333333294</v>
      </c>
      <c r="J27" s="3" t="s">
        <v>13</v>
      </c>
      <c r="K27" s="3">
        <v>60</v>
      </c>
      <c r="L27" s="3" t="s">
        <v>17</v>
      </c>
    </row>
    <row r="28" spans="1:12" x14ac:dyDescent="0.35">
      <c r="A28" s="2">
        <v>2023</v>
      </c>
      <c r="B28" s="3" t="s">
        <v>16</v>
      </c>
      <c r="C28" s="4">
        <v>6.4687929999999998</v>
      </c>
      <c r="D28" s="4">
        <v>17.623142000000001</v>
      </c>
      <c r="E28" s="5">
        <v>82.692933333333301</v>
      </c>
      <c r="F28" s="5">
        <v>6.43</v>
      </c>
      <c r="G28" s="5">
        <v>-0.586666666666667</v>
      </c>
      <c r="H28" s="5">
        <v>89.783333333333402</v>
      </c>
      <c r="I28" s="5">
        <v>86.722109375000002</v>
      </c>
      <c r="J28" s="3" t="s">
        <v>13</v>
      </c>
      <c r="K28" s="3">
        <v>64</v>
      </c>
      <c r="L28" s="3" t="s">
        <v>17</v>
      </c>
    </row>
    <row r="29" spans="1:12" x14ac:dyDescent="0.35">
      <c r="A29" s="2">
        <v>2023</v>
      </c>
      <c r="B29" s="3" t="s">
        <v>18</v>
      </c>
      <c r="C29" s="4">
        <v>18.505282999999999</v>
      </c>
      <c r="D29" s="4">
        <v>29.082052999999998</v>
      </c>
      <c r="E29" s="5">
        <v>83.286666666666704</v>
      </c>
      <c r="F29" s="5">
        <v>5.37</v>
      </c>
      <c r="G29" s="5">
        <v>0.33</v>
      </c>
      <c r="H29" s="5">
        <v>82.236666666666693</v>
      </c>
      <c r="I29" s="5">
        <v>84.328174603174602</v>
      </c>
      <c r="J29" s="3" t="s">
        <v>13</v>
      </c>
      <c r="K29" s="3">
        <v>63</v>
      </c>
      <c r="L29" s="3" t="s">
        <v>17</v>
      </c>
    </row>
    <row r="30" spans="1:12" x14ac:dyDescent="0.35">
      <c r="A30" s="2">
        <v>2024</v>
      </c>
      <c r="B30" s="3" t="s">
        <v>12</v>
      </c>
      <c r="C30" s="4">
        <v>1.257104</v>
      </c>
      <c r="D30" s="4">
        <v>18.826816999999998</v>
      </c>
      <c r="E30" s="5">
        <v>83.119566666666699</v>
      </c>
      <c r="F30" s="5">
        <v>5.0133333333333301</v>
      </c>
      <c r="G30" s="5">
        <v>0.26333333333333298</v>
      </c>
      <c r="H30" s="5">
        <v>84.75</v>
      </c>
      <c r="I30" s="5">
        <v>83.072539682539698</v>
      </c>
      <c r="J30" s="3" t="s">
        <v>13</v>
      </c>
      <c r="K30" s="3">
        <v>63</v>
      </c>
      <c r="L30" s="3" t="s">
        <v>17</v>
      </c>
    </row>
    <row r="31" spans="1:12" x14ac:dyDescent="0.35">
      <c r="A31" s="2">
        <v>2024</v>
      </c>
      <c r="B31" s="3" t="s">
        <v>15</v>
      </c>
      <c r="C31" s="4">
        <v>15.414719</v>
      </c>
      <c r="D31" s="4">
        <v>26.707626000000001</v>
      </c>
      <c r="E31" s="5">
        <v>83.430833333333297</v>
      </c>
      <c r="F31" s="5">
        <v>4.9033333333333298</v>
      </c>
      <c r="G31" s="5">
        <v>1.7266666666666699</v>
      </c>
      <c r="H31" s="5">
        <v>84.893333333333302</v>
      </c>
      <c r="I31" s="5">
        <v>84.915967741935503</v>
      </c>
      <c r="J31" s="3" t="s">
        <v>13</v>
      </c>
      <c r="K31" s="3">
        <v>62</v>
      </c>
      <c r="L31" s="3" t="s">
        <v>17</v>
      </c>
    </row>
    <row r="32" spans="1:12" x14ac:dyDescent="0.35">
      <c r="A32" s="2">
        <v>2024</v>
      </c>
      <c r="B32" s="3" t="s">
        <v>16</v>
      </c>
      <c r="C32" s="4">
        <v>10.624722</v>
      </c>
      <c r="D32" s="4">
        <v>23.279174000000001</v>
      </c>
      <c r="E32" s="5">
        <v>83.8</v>
      </c>
      <c r="F32" s="5">
        <v>4.2466666666666697</v>
      </c>
      <c r="G32" s="5">
        <v>1.61333333333333</v>
      </c>
      <c r="H32" s="5">
        <v>78.11</v>
      </c>
      <c r="I32" s="5">
        <v>80.306461538461505</v>
      </c>
      <c r="J32" s="3" t="s">
        <v>13</v>
      </c>
      <c r="K32" s="3">
        <v>65</v>
      </c>
      <c r="L32" s="3" t="s">
        <v>17</v>
      </c>
    </row>
    <row r="33" spans="1:12" x14ac:dyDescent="0.35">
      <c r="A33" s="2">
        <v>2024</v>
      </c>
      <c r="B33" s="3" t="s">
        <v>18</v>
      </c>
      <c r="C33" s="4">
        <v>13.932562000000001</v>
      </c>
      <c r="D33" s="4">
        <v>26.588726999999999</v>
      </c>
      <c r="E33" s="5">
        <v>84.728300000000004</v>
      </c>
      <c r="F33" s="5">
        <v>5.6366666666666703</v>
      </c>
      <c r="G33" s="5">
        <v>2.0699999999999998</v>
      </c>
      <c r="H33" s="5">
        <v>73.883333333333297</v>
      </c>
      <c r="I33" s="5">
        <v>74.674765625000006</v>
      </c>
      <c r="J33" s="3" t="s">
        <v>13</v>
      </c>
      <c r="K33" s="3">
        <v>64</v>
      </c>
      <c r="L33" s="3" t="s">
        <v>17</v>
      </c>
    </row>
    <row r="34" spans="1:12" x14ac:dyDescent="0.35">
      <c r="A34" s="2">
        <v>2025</v>
      </c>
      <c r="B34" s="3" t="s">
        <v>12</v>
      </c>
      <c r="C34" s="4">
        <v>-5.8268899999999997</v>
      </c>
      <c r="D34" s="4">
        <v>10.951347999999999</v>
      </c>
      <c r="E34" s="5">
        <v>86.5304</v>
      </c>
      <c r="F34" s="5">
        <v>3.70333333333333</v>
      </c>
      <c r="G34" s="5">
        <v>1.5433333333333299</v>
      </c>
      <c r="H34" s="5">
        <v>75.856666666666698</v>
      </c>
      <c r="I34" s="5">
        <v>75.709841269841306</v>
      </c>
      <c r="J34" s="3" t="s">
        <v>13</v>
      </c>
      <c r="K34" s="3">
        <v>63</v>
      </c>
      <c r="L34" s="3" t="s">
        <v>17</v>
      </c>
    </row>
    <row r="35" spans="1:12" x14ac:dyDescent="0.35">
      <c r="A35" s="2">
        <v>2025</v>
      </c>
      <c r="B35" s="3" t="s">
        <v>15</v>
      </c>
      <c r="C35" s="4">
        <v>11.044426</v>
      </c>
      <c r="D35" s="4">
        <v>29.932566999999999</v>
      </c>
      <c r="E35" s="5">
        <v>85.2762666666667</v>
      </c>
      <c r="F35" s="5">
        <v>2.89333333333333</v>
      </c>
      <c r="G35" s="5">
        <v>0</v>
      </c>
      <c r="H35" s="5">
        <v>65.023333333333298</v>
      </c>
      <c r="I35" s="5">
        <v>67.860245901639402</v>
      </c>
      <c r="J35" s="3" t="s">
        <v>13</v>
      </c>
      <c r="K35" s="3">
        <v>61</v>
      </c>
      <c r="L35" s="3" t="s">
        <v>17</v>
      </c>
    </row>
    <row r="36" spans="1:12" x14ac:dyDescent="0.35">
      <c r="A36" s="2">
        <v>2025</v>
      </c>
      <c r="B36" s="3" t="s">
        <v>16</v>
      </c>
      <c r="C36" s="4">
        <v>13.874142000000001</v>
      </c>
      <c r="D36" s="4">
        <v>26.836403000000001</v>
      </c>
      <c r="E36" s="5">
        <v>88.198366666666701</v>
      </c>
      <c r="F36" s="5">
        <v>1.68</v>
      </c>
      <c r="G36" s="5">
        <v>-0.33</v>
      </c>
      <c r="H36" s="5">
        <v>69.394999999999996</v>
      </c>
      <c r="I36" s="5">
        <v>69.089769230769207</v>
      </c>
      <c r="J36" s="3" t="s">
        <v>13</v>
      </c>
      <c r="K36" s="3">
        <v>65</v>
      </c>
      <c r="L36" s="3" t="s">
        <v>17</v>
      </c>
    </row>
    <row r="37" spans="1:12" x14ac:dyDescent="0.35">
      <c r="A37" s="2">
        <v>2025</v>
      </c>
      <c r="B37" s="3" t="s">
        <v>18</v>
      </c>
      <c r="C37" s="4">
        <v>10.543854</v>
      </c>
      <c r="D37" s="4">
        <v>26.113005999999999</v>
      </c>
      <c r="E37" s="5">
        <v>89.368366666666702</v>
      </c>
      <c r="F37" s="5">
        <v>0.56666666666666698</v>
      </c>
      <c r="G37" s="5">
        <v>-0.49</v>
      </c>
      <c r="H37" s="5">
        <v>64</v>
      </c>
      <c r="I37" s="5">
        <v>63.692031249999999</v>
      </c>
      <c r="J37" s="3" t="s">
        <v>13</v>
      </c>
      <c r="K37" s="3">
        <v>64</v>
      </c>
      <c r="L37" s="3" t="s">
        <v>17</v>
      </c>
    </row>
    <row r="38" spans="1:12" x14ac:dyDescent="0.35">
      <c r="A38" s="2">
        <v>2026</v>
      </c>
      <c r="B38" s="3" t="s">
        <v>12</v>
      </c>
      <c r="C38" s="4">
        <v>-14.088158</v>
      </c>
      <c r="D38" s="4">
        <v>18.594148000000001</v>
      </c>
      <c r="E38" s="5">
        <v>92.6</v>
      </c>
      <c r="F38" s="5">
        <v>3.1166666666666698</v>
      </c>
      <c r="G38" s="5">
        <v>2.4500000000000002</v>
      </c>
      <c r="H38" s="5">
        <v>90.171666666666695</v>
      </c>
      <c r="I38" s="5">
        <v>81.040079365079393</v>
      </c>
      <c r="J38" s="3" t="s">
        <v>13</v>
      </c>
      <c r="K38" s="3">
        <v>63</v>
      </c>
      <c r="L38" s="3" t="s">
        <v>17</v>
      </c>
    </row>
    <row r="39" spans="1:12" x14ac:dyDescent="0.35">
      <c r="A39" s="2">
        <v>2026</v>
      </c>
      <c r="B39" s="3" t="s">
        <v>15</v>
      </c>
      <c r="C39" s="4">
        <v>2.6099290000000002</v>
      </c>
      <c r="D39" s="4">
        <v>27.563171000000001</v>
      </c>
      <c r="E39" s="5">
        <v>94.863766666666706</v>
      </c>
      <c r="F39" s="5">
        <v>3.93</v>
      </c>
      <c r="G39" s="5">
        <v>9.4033333333333307</v>
      </c>
      <c r="H39" s="5">
        <v>95.823333333333295</v>
      </c>
      <c r="I39" s="5">
        <v>103.77057377049201</v>
      </c>
      <c r="J39" s="3" t="s">
        <v>13</v>
      </c>
      <c r="K39" s="3">
        <v>61</v>
      </c>
      <c r="L39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38DC-281D-48E9-9FFA-F64D373861D5}">
  <dimension ref="A1:M197"/>
  <sheetViews>
    <sheetView topLeftCell="D227" workbookViewId="0">
      <selection activeCell="G6" sqref="G6"/>
    </sheetView>
  </sheetViews>
  <sheetFormatPr defaultRowHeight="14.5" x14ac:dyDescent="0.35"/>
  <cols>
    <col min="4" max="4" width="15.1796875" bestFit="1" customWidth="1"/>
    <col min="5" max="6" width="14.54296875" bestFit="1" customWidth="1"/>
    <col min="7" max="9" width="14.1796875" bestFit="1" customWidth="1"/>
    <col min="10" max="10" width="27" bestFit="1" customWidth="1"/>
    <col min="11" max="11" width="14.1796875" bestFit="1" customWidth="1"/>
    <col min="12" max="12" width="55.6328125" bestFit="1" customWidth="1"/>
    <col min="13" max="13" width="51.36328125" bestFit="1" customWidth="1"/>
  </cols>
  <sheetData>
    <row r="1" spans="1:13" x14ac:dyDescent="0.35">
      <c r="A1" s="6" t="s">
        <v>0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</row>
    <row r="2" spans="1:13" x14ac:dyDescent="0.35">
      <c r="A2" s="7">
        <v>2017</v>
      </c>
      <c r="B2" s="7" t="s">
        <v>12</v>
      </c>
      <c r="C2" s="7" t="s">
        <v>31</v>
      </c>
      <c r="D2" s="8">
        <v>42766</v>
      </c>
      <c r="E2" s="8">
        <v>42794</v>
      </c>
      <c r="F2" s="8">
        <v>42825</v>
      </c>
      <c r="G2" s="9">
        <v>67.864999999999995</v>
      </c>
      <c r="H2" s="9">
        <v>66.69</v>
      </c>
      <c r="I2" s="9">
        <v>64.849999999999994</v>
      </c>
      <c r="J2" s="7">
        <f t="shared" ref="J2:J65" si="0">COUNT(G2:I2)</f>
        <v>3</v>
      </c>
      <c r="K2" s="10">
        <f t="shared" ref="K2:K65" si="1">IF(J2=0,"",AVERAGE(G2:I2))</f>
        <v>66.468333333333334</v>
      </c>
      <c r="L2" s="7" t="s">
        <v>32</v>
      </c>
      <c r="M2" s="7" t="str">
        <f t="shared" ref="M2:M65" si="2">IF(J2=3,"Complete (3 of 3)",IF(J2=0,"No data - left blank","INCOMPLETE - "&amp;J2&amp;" of 3 months"))</f>
        <v>Complete (3 of 3)</v>
      </c>
    </row>
    <row r="3" spans="1:13" x14ac:dyDescent="0.35">
      <c r="A3" s="7">
        <v>2017</v>
      </c>
      <c r="B3" s="7" t="s">
        <v>15</v>
      </c>
      <c r="C3" s="7" t="s">
        <v>31</v>
      </c>
      <c r="D3" s="8">
        <v>42853</v>
      </c>
      <c r="E3" s="8">
        <v>42886</v>
      </c>
      <c r="F3" s="8">
        <v>42916</v>
      </c>
      <c r="G3" s="9">
        <v>64.245000000000005</v>
      </c>
      <c r="H3" s="9">
        <v>64.511200000000002</v>
      </c>
      <c r="I3" s="9">
        <v>64.578800000000001</v>
      </c>
      <c r="J3" s="7">
        <f t="shared" si="0"/>
        <v>3</v>
      </c>
      <c r="K3" s="10">
        <f t="shared" si="1"/>
        <v>64.445000000000007</v>
      </c>
      <c r="L3" s="7" t="s">
        <v>33</v>
      </c>
      <c r="M3" s="7" t="str">
        <f t="shared" si="2"/>
        <v>Complete (3 of 3)</v>
      </c>
    </row>
    <row r="4" spans="1:13" x14ac:dyDescent="0.35">
      <c r="A4" s="7">
        <v>2017</v>
      </c>
      <c r="B4" s="7" t="s">
        <v>16</v>
      </c>
      <c r="C4" s="7" t="s">
        <v>31</v>
      </c>
      <c r="D4" s="8">
        <v>42947</v>
      </c>
      <c r="E4" s="8">
        <v>42978</v>
      </c>
      <c r="F4" s="8">
        <v>43007</v>
      </c>
      <c r="G4" s="9">
        <v>64.1875</v>
      </c>
      <c r="H4" s="9">
        <v>63.906300000000002</v>
      </c>
      <c r="I4" s="9">
        <v>65.276200000000003</v>
      </c>
      <c r="J4" s="7">
        <f t="shared" si="0"/>
        <v>3</v>
      </c>
      <c r="K4" s="10">
        <f t="shared" si="1"/>
        <v>64.456666666666663</v>
      </c>
      <c r="L4" s="7" t="s">
        <v>34</v>
      </c>
      <c r="M4" s="7" t="str">
        <f t="shared" si="2"/>
        <v>Complete (3 of 3)</v>
      </c>
    </row>
    <row r="5" spans="1:13" x14ac:dyDescent="0.35">
      <c r="A5" s="7">
        <v>2017</v>
      </c>
      <c r="B5" s="7" t="s">
        <v>18</v>
      </c>
      <c r="C5" s="7" t="s">
        <v>31</v>
      </c>
      <c r="D5" s="8">
        <v>43039</v>
      </c>
      <c r="E5" s="8">
        <v>43069</v>
      </c>
      <c r="F5" s="8">
        <v>43098</v>
      </c>
      <c r="G5" s="9">
        <v>64.746200000000002</v>
      </c>
      <c r="H5" s="9">
        <v>64.458799999999997</v>
      </c>
      <c r="I5" s="9">
        <v>63.871299999999998</v>
      </c>
      <c r="J5" s="7">
        <f t="shared" si="0"/>
        <v>3</v>
      </c>
      <c r="K5" s="10">
        <f t="shared" si="1"/>
        <v>64.358766666666654</v>
      </c>
      <c r="L5" s="7" t="s">
        <v>35</v>
      </c>
      <c r="M5" s="7" t="str">
        <f t="shared" si="2"/>
        <v>Complete (3 of 3)</v>
      </c>
    </row>
    <row r="6" spans="1:13" x14ac:dyDescent="0.35">
      <c r="A6" s="7">
        <v>2018</v>
      </c>
      <c r="B6" s="7" t="s">
        <v>12</v>
      </c>
      <c r="C6" s="7" t="s">
        <v>31</v>
      </c>
      <c r="D6" s="8">
        <v>43131</v>
      </c>
      <c r="E6" s="8">
        <v>43159</v>
      </c>
      <c r="F6" s="8">
        <v>43189</v>
      </c>
      <c r="G6" s="9">
        <v>63.586300000000001</v>
      </c>
      <c r="H6" s="9">
        <v>65.177499999999995</v>
      </c>
      <c r="I6" s="9">
        <v>65.177499999999995</v>
      </c>
      <c r="J6" s="7">
        <f t="shared" si="0"/>
        <v>3</v>
      </c>
      <c r="K6" s="10">
        <f t="shared" si="1"/>
        <v>64.647100000000009</v>
      </c>
      <c r="L6" s="7" t="s">
        <v>36</v>
      </c>
      <c r="M6" s="7" t="str">
        <f t="shared" si="2"/>
        <v>Complete (3 of 3)</v>
      </c>
    </row>
    <row r="7" spans="1:13" x14ac:dyDescent="0.35">
      <c r="A7" s="7">
        <v>2018</v>
      </c>
      <c r="B7" s="7" t="s">
        <v>15</v>
      </c>
      <c r="C7" s="7" t="s">
        <v>31</v>
      </c>
      <c r="D7" s="8">
        <v>43220</v>
      </c>
      <c r="E7" s="8">
        <v>43251</v>
      </c>
      <c r="F7" s="8">
        <v>43280</v>
      </c>
      <c r="G7" s="9">
        <v>66.661299999999997</v>
      </c>
      <c r="H7" s="9">
        <v>67.396299999999997</v>
      </c>
      <c r="I7" s="9">
        <v>68.47</v>
      </c>
      <c r="J7" s="7">
        <f t="shared" si="0"/>
        <v>3</v>
      </c>
      <c r="K7" s="10">
        <f t="shared" si="1"/>
        <v>67.509199999999993</v>
      </c>
      <c r="L7" s="7" t="s">
        <v>37</v>
      </c>
      <c r="M7" s="7" t="str">
        <f t="shared" si="2"/>
        <v>Complete (3 of 3)</v>
      </c>
    </row>
    <row r="8" spans="1:13" x14ac:dyDescent="0.35">
      <c r="A8" s="7">
        <v>2018</v>
      </c>
      <c r="B8" s="7" t="s">
        <v>16</v>
      </c>
      <c r="C8" s="7" t="s">
        <v>31</v>
      </c>
      <c r="D8" s="8">
        <v>43312</v>
      </c>
      <c r="E8" s="8">
        <v>43343</v>
      </c>
      <c r="F8" s="8">
        <v>43371</v>
      </c>
      <c r="G8" s="9">
        <v>68.547499999999999</v>
      </c>
      <c r="H8" s="9">
        <v>70.996200000000002</v>
      </c>
      <c r="I8" s="9">
        <v>72.489999999999995</v>
      </c>
      <c r="J8" s="7">
        <f t="shared" si="0"/>
        <v>3</v>
      </c>
      <c r="K8" s="10">
        <f t="shared" si="1"/>
        <v>70.677900000000008</v>
      </c>
      <c r="L8" s="7" t="s">
        <v>38</v>
      </c>
      <c r="M8" s="7" t="str">
        <f t="shared" si="2"/>
        <v>Complete (3 of 3)</v>
      </c>
    </row>
    <row r="9" spans="1:13" x14ac:dyDescent="0.35">
      <c r="A9" s="7">
        <v>2018</v>
      </c>
      <c r="B9" s="7" t="s">
        <v>18</v>
      </c>
      <c r="C9" s="7" t="s">
        <v>31</v>
      </c>
      <c r="D9" s="8">
        <v>43404</v>
      </c>
      <c r="E9" s="8">
        <v>43434</v>
      </c>
      <c r="F9" s="8">
        <v>43465</v>
      </c>
      <c r="G9" s="9">
        <v>73.954999999999998</v>
      </c>
      <c r="H9" s="9">
        <v>69.583699999999993</v>
      </c>
      <c r="I9" s="9">
        <v>69.771199999999993</v>
      </c>
      <c r="J9" s="7">
        <f t="shared" si="0"/>
        <v>3</v>
      </c>
      <c r="K9" s="10">
        <f t="shared" si="1"/>
        <v>71.103300000000004</v>
      </c>
      <c r="L9" s="7" t="s">
        <v>39</v>
      </c>
      <c r="M9" s="7" t="str">
        <f t="shared" si="2"/>
        <v>Complete (3 of 3)</v>
      </c>
    </row>
    <row r="10" spans="1:13" x14ac:dyDescent="0.35">
      <c r="A10" s="7">
        <v>2019</v>
      </c>
      <c r="B10" s="7" t="s">
        <v>12</v>
      </c>
      <c r="C10" s="7" t="s">
        <v>31</v>
      </c>
      <c r="D10" s="8">
        <v>43496</v>
      </c>
      <c r="E10" s="8">
        <v>43524</v>
      </c>
      <c r="F10" s="8">
        <v>43553</v>
      </c>
      <c r="G10" s="9">
        <v>71.084999999999994</v>
      </c>
      <c r="H10" s="9">
        <v>70.745000000000005</v>
      </c>
      <c r="I10" s="9">
        <v>69.148799999999994</v>
      </c>
      <c r="J10" s="7">
        <f t="shared" si="0"/>
        <v>3</v>
      </c>
      <c r="K10" s="10">
        <f t="shared" si="1"/>
        <v>70.326266666666655</v>
      </c>
      <c r="L10" s="7" t="s">
        <v>40</v>
      </c>
      <c r="M10" s="7" t="str">
        <f t="shared" si="2"/>
        <v>Complete (3 of 3)</v>
      </c>
    </row>
    <row r="11" spans="1:13" x14ac:dyDescent="0.35">
      <c r="A11" s="7">
        <v>2019</v>
      </c>
      <c r="B11" s="7" t="s">
        <v>15</v>
      </c>
      <c r="C11" s="7" t="s">
        <v>31</v>
      </c>
      <c r="D11" s="8">
        <v>43585</v>
      </c>
      <c r="E11" s="8">
        <v>43616</v>
      </c>
      <c r="F11" s="8">
        <v>43644</v>
      </c>
      <c r="G11" s="9">
        <v>69.556299999999993</v>
      </c>
      <c r="H11" s="9">
        <v>69.697500000000005</v>
      </c>
      <c r="I11" s="9">
        <v>69.027500000000003</v>
      </c>
      <c r="J11" s="7">
        <f t="shared" si="0"/>
        <v>3</v>
      </c>
      <c r="K11" s="10">
        <f t="shared" si="1"/>
        <v>69.42710000000001</v>
      </c>
      <c r="L11" s="7" t="s">
        <v>41</v>
      </c>
      <c r="M11" s="7" t="str">
        <f t="shared" si="2"/>
        <v>Complete (3 of 3)</v>
      </c>
    </row>
    <row r="12" spans="1:13" x14ac:dyDescent="0.35">
      <c r="A12" s="7">
        <v>2019</v>
      </c>
      <c r="B12" s="7" t="s">
        <v>16</v>
      </c>
      <c r="C12" s="7" t="s">
        <v>31</v>
      </c>
      <c r="D12" s="8">
        <v>43677</v>
      </c>
      <c r="E12" s="8">
        <v>43707</v>
      </c>
      <c r="F12" s="8">
        <v>43738</v>
      </c>
      <c r="G12" s="9">
        <v>68.8</v>
      </c>
      <c r="H12" s="9">
        <v>71.405000000000001</v>
      </c>
      <c r="I12" s="9">
        <v>70.867500000000007</v>
      </c>
      <c r="J12" s="7">
        <f t="shared" si="0"/>
        <v>3</v>
      </c>
      <c r="K12" s="10">
        <f t="shared" si="1"/>
        <v>70.357500000000002</v>
      </c>
      <c r="L12" s="7" t="s">
        <v>42</v>
      </c>
      <c r="M12" s="7" t="str">
        <f t="shared" si="2"/>
        <v>Complete (3 of 3)</v>
      </c>
    </row>
    <row r="13" spans="1:13" x14ac:dyDescent="0.35">
      <c r="A13" s="7">
        <v>2019</v>
      </c>
      <c r="B13" s="7" t="s">
        <v>18</v>
      </c>
      <c r="C13" s="7" t="s">
        <v>31</v>
      </c>
      <c r="D13" s="8">
        <v>43769</v>
      </c>
      <c r="E13" s="8">
        <v>43798</v>
      </c>
      <c r="F13" s="8">
        <v>43830</v>
      </c>
      <c r="G13" s="9">
        <v>70.927499999999995</v>
      </c>
      <c r="H13" s="9">
        <v>71.737499999999997</v>
      </c>
      <c r="I13" s="9">
        <v>71.378799999999998</v>
      </c>
      <c r="J13" s="7">
        <f t="shared" si="0"/>
        <v>3</v>
      </c>
      <c r="K13" s="10">
        <f t="shared" si="1"/>
        <v>71.34793333333333</v>
      </c>
      <c r="L13" s="7" t="s">
        <v>43</v>
      </c>
      <c r="M13" s="7" t="str">
        <f t="shared" si="2"/>
        <v>Complete (3 of 3)</v>
      </c>
    </row>
    <row r="14" spans="1:13" x14ac:dyDescent="0.35">
      <c r="A14" s="7">
        <v>2020</v>
      </c>
      <c r="B14" s="7" t="s">
        <v>12</v>
      </c>
      <c r="C14" s="7" t="s">
        <v>31</v>
      </c>
      <c r="D14" s="8">
        <v>43861</v>
      </c>
      <c r="E14" s="8">
        <v>43889</v>
      </c>
      <c r="F14" s="8">
        <v>43921</v>
      </c>
      <c r="G14" s="9">
        <v>71.352500000000006</v>
      </c>
      <c r="H14" s="9">
        <v>72.176299999999998</v>
      </c>
      <c r="I14" s="9">
        <v>75.542500000000004</v>
      </c>
      <c r="J14" s="7">
        <f t="shared" si="0"/>
        <v>3</v>
      </c>
      <c r="K14" s="10">
        <f t="shared" si="1"/>
        <v>73.023766666666674</v>
      </c>
      <c r="L14" s="7" t="s">
        <v>44</v>
      </c>
      <c r="M14" s="7" t="str">
        <f t="shared" si="2"/>
        <v>Complete (3 of 3)</v>
      </c>
    </row>
    <row r="15" spans="1:13" x14ac:dyDescent="0.35">
      <c r="A15" s="7">
        <v>2020</v>
      </c>
      <c r="B15" s="7" t="s">
        <v>15</v>
      </c>
      <c r="C15" s="7" t="s">
        <v>31</v>
      </c>
      <c r="D15" s="8">
        <v>43951</v>
      </c>
      <c r="E15" s="8">
        <v>43980</v>
      </c>
      <c r="F15" s="8">
        <v>44012</v>
      </c>
      <c r="G15" s="9">
        <v>75.099999999999994</v>
      </c>
      <c r="H15" s="9">
        <v>75.617500000000007</v>
      </c>
      <c r="I15" s="9">
        <v>75.508700000000005</v>
      </c>
      <c r="J15" s="7">
        <f t="shared" si="0"/>
        <v>3</v>
      </c>
      <c r="K15" s="10">
        <f t="shared" si="1"/>
        <v>75.408733333333331</v>
      </c>
      <c r="L15" s="7" t="s">
        <v>45</v>
      </c>
      <c r="M15" s="7" t="str">
        <f t="shared" si="2"/>
        <v>Complete (3 of 3)</v>
      </c>
    </row>
    <row r="16" spans="1:13" x14ac:dyDescent="0.35">
      <c r="A16" s="7">
        <v>2020</v>
      </c>
      <c r="B16" s="7" t="s">
        <v>16</v>
      </c>
      <c r="C16" s="7" t="s">
        <v>31</v>
      </c>
      <c r="D16" s="8">
        <v>44043</v>
      </c>
      <c r="E16" s="8">
        <v>44074</v>
      </c>
      <c r="F16" s="8">
        <v>44104</v>
      </c>
      <c r="G16" s="9">
        <v>74.8125</v>
      </c>
      <c r="H16" s="9">
        <v>73.62</v>
      </c>
      <c r="I16" s="9">
        <v>73.7637</v>
      </c>
      <c r="J16" s="7">
        <f t="shared" si="0"/>
        <v>3</v>
      </c>
      <c r="K16" s="10">
        <f t="shared" si="1"/>
        <v>74.065399999999997</v>
      </c>
      <c r="L16" s="7" t="s">
        <v>46</v>
      </c>
      <c r="M16" s="7" t="str">
        <f t="shared" si="2"/>
        <v>Complete (3 of 3)</v>
      </c>
    </row>
    <row r="17" spans="1:13" x14ac:dyDescent="0.35">
      <c r="A17" s="7">
        <v>2020</v>
      </c>
      <c r="B17" s="7" t="s">
        <v>18</v>
      </c>
      <c r="C17" s="7" t="s">
        <v>31</v>
      </c>
      <c r="D17" s="8">
        <v>44134</v>
      </c>
      <c r="E17" s="8">
        <v>44165</v>
      </c>
      <c r="F17" s="8">
        <v>44196</v>
      </c>
      <c r="G17" s="9">
        <v>74.11</v>
      </c>
      <c r="H17" s="9">
        <v>74.040000000000006</v>
      </c>
      <c r="I17" s="9">
        <v>73.064999999999998</v>
      </c>
      <c r="J17" s="7">
        <f t="shared" si="0"/>
        <v>3</v>
      </c>
      <c r="K17" s="10">
        <f t="shared" si="1"/>
        <v>73.73833333333333</v>
      </c>
      <c r="L17" s="7" t="s">
        <v>47</v>
      </c>
      <c r="M17" s="7" t="str">
        <f t="shared" si="2"/>
        <v>Complete (3 of 3)</v>
      </c>
    </row>
    <row r="18" spans="1:13" x14ac:dyDescent="0.35">
      <c r="A18" s="7">
        <v>2021</v>
      </c>
      <c r="B18" s="7" t="s">
        <v>12</v>
      </c>
      <c r="C18" s="7" t="s">
        <v>31</v>
      </c>
      <c r="D18" s="8">
        <v>44225</v>
      </c>
      <c r="E18" s="8">
        <v>44253</v>
      </c>
      <c r="F18" s="8">
        <v>44286</v>
      </c>
      <c r="G18" s="9">
        <v>72.953800000000001</v>
      </c>
      <c r="H18" s="9">
        <v>73.465000000000003</v>
      </c>
      <c r="I18" s="9">
        <v>73.112499999999997</v>
      </c>
      <c r="J18" s="7">
        <f t="shared" si="0"/>
        <v>3</v>
      </c>
      <c r="K18" s="10">
        <f t="shared" si="1"/>
        <v>73.177099999999996</v>
      </c>
      <c r="L18" s="7" t="s">
        <v>48</v>
      </c>
      <c r="M18" s="7" t="str">
        <f t="shared" si="2"/>
        <v>Complete (3 of 3)</v>
      </c>
    </row>
    <row r="19" spans="1:13" x14ac:dyDescent="0.35">
      <c r="A19" s="7">
        <v>2021</v>
      </c>
      <c r="B19" s="7" t="s">
        <v>15</v>
      </c>
      <c r="C19" s="7" t="s">
        <v>31</v>
      </c>
      <c r="D19" s="8">
        <v>44316</v>
      </c>
      <c r="E19" s="8">
        <v>44347</v>
      </c>
      <c r="F19" s="8">
        <v>44377</v>
      </c>
      <c r="G19" s="9">
        <v>74.087500000000006</v>
      </c>
      <c r="H19" s="9">
        <v>72.614999999999995</v>
      </c>
      <c r="I19" s="9">
        <v>74.331299999999999</v>
      </c>
      <c r="J19" s="7">
        <f t="shared" si="0"/>
        <v>3</v>
      </c>
      <c r="K19" s="10">
        <f t="shared" si="1"/>
        <v>73.677933333333328</v>
      </c>
      <c r="L19" s="7" t="s">
        <v>49</v>
      </c>
      <c r="M19" s="7" t="str">
        <f t="shared" si="2"/>
        <v>Complete (3 of 3)</v>
      </c>
    </row>
    <row r="20" spans="1:13" x14ac:dyDescent="0.35">
      <c r="A20" s="7">
        <v>2021</v>
      </c>
      <c r="B20" s="7" t="s">
        <v>16</v>
      </c>
      <c r="C20" s="7" t="s">
        <v>31</v>
      </c>
      <c r="D20" s="8">
        <v>44407</v>
      </c>
      <c r="E20" s="8">
        <v>44439</v>
      </c>
      <c r="F20" s="8">
        <v>44469</v>
      </c>
      <c r="G20" s="9">
        <v>74.417500000000004</v>
      </c>
      <c r="H20" s="9">
        <v>73.006299999999996</v>
      </c>
      <c r="I20" s="9">
        <v>74.238799999999998</v>
      </c>
      <c r="J20" s="7">
        <f t="shared" si="0"/>
        <v>3</v>
      </c>
      <c r="K20" s="10">
        <f t="shared" si="1"/>
        <v>73.887533333333337</v>
      </c>
      <c r="L20" s="7" t="s">
        <v>50</v>
      </c>
      <c r="M20" s="7" t="str">
        <f t="shared" si="2"/>
        <v>Complete (3 of 3)</v>
      </c>
    </row>
    <row r="21" spans="1:13" x14ac:dyDescent="0.35">
      <c r="A21" s="7">
        <v>2021</v>
      </c>
      <c r="B21" s="7" t="s">
        <v>18</v>
      </c>
      <c r="C21" s="7" t="s">
        <v>31</v>
      </c>
      <c r="D21" s="8">
        <v>44498</v>
      </c>
      <c r="E21" s="8">
        <v>44530</v>
      </c>
      <c r="F21" s="8">
        <v>44561</v>
      </c>
      <c r="G21" s="9">
        <v>74.877499999999998</v>
      </c>
      <c r="H21" s="9">
        <v>75.168700000000001</v>
      </c>
      <c r="I21" s="9">
        <v>74.337500000000006</v>
      </c>
      <c r="J21" s="7">
        <f t="shared" si="0"/>
        <v>3</v>
      </c>
      <c r="K21" s="10">
        <f t="shared" si="1"/>
        <v>74.794566666666668</v>
      </c>
      <c r="L21" s="7" t="s">
        <v>51</v>
      </c>
      <c r="M21" s="7" t="str">
        <f t="shared" si="2"/>
        <v>Complete (3 of 3)</v>
      </c>
    </row>
    <row r="22" spans="1:13" x14ac:dyDescent="0.35">
      <c r="A22" s="7">
        <v>2022</v>
      </c>
      <c r="B22" s="7" t="s">
        <v>12</v>
      </c>
      <c r="C22" s="7" t="s">
        <v>31</v>
      </c>
      <c r="D22" s="8">
        <v>44592</v>
      </c>
      <c r="E22" s="8">
        <v>44620</v>
      </c>
      <c r="F22" s="8">
        <v>44651</v>
      </c>
      <c r="G22" s="9">
        <v>74.622500000000002</v>
      </c>
      <c r="H22" s="9">
        <v>75.342500000000001</v>
      </c>
      <c r="I22" s="9">
        <v>75.786199999999994</v>
      </c>
      <c r="J22" s="7">
        <f t="shared" si="0"/>
        <v>3</v>
      </c>
      <c r="K22" s="10">
        <f t="shared" si="1"/>
        <v>75.250399999999999</v>
      </c>
      <c r="L22" s="7" t="s">
        <v>52</v>
      </c>
      <c r="M22" s="7" t="str">
        <f t="shared" si="2"/>
        <v>Complete (3 of 3)</v>
      </c>
    </row>
    <row r="23" spans="1:13" x14ac:dyDescent="0.35">
      <c r="A23" s="7">
        <v>2022</v>
      </c>
      <c r="B23" s="7" t="s">
        <v>15</v>
      </c>
      <c r="C23" s="7" t="s">
        <v>31</v>
      </c>
      <c r="D23" s="8">
        <v>44680</v>
      </c>
      <c r="E23" s="8">
        <v>44712</v>
      </c>
      <c r="F23" s="8">
        <v>44742</v>
      </c>
      <c r="G23" s="9">
        <v>76.432500000000005</v>
      </c>
      <c r="H23" s="9">
        <v>77.637500000000003</v>
      </c>
      <c r="I23" s="9">
        <v>78.972499999999997</v>
      </c>
      <c r="J23" s="7">
        <f t="shared" si="0"/>
        <v>3</v>
      </c>
      <c r="K23" s="10">
        <f t="shared" si="1"/>
        <v>77.680833333333325</v>
      </c>
      <c r="L23" s="7" t="s">
        <v>53</v>
      </c>
      <c r="M23" s="7" t="str">
        <f t="shared" si="2"/>
        <v>Complete (3 of 3)</v>
      </c>
    </row>
    <row r="24" spans="1:13" x14ac:dyDescent="0.35">
      <c r="A24" s="7">
        <v>2022</v>
      </c>
      <c r="B24" s="7" t="s">
        <v>16</v>
      </c>
      <c r="C24" s="7" t="s">
        <v>31</v>
      </c>
      <c r="D24" s="8">
        <v>44771</v>
      </c>
      <c r="E24" s="8">
        <v>44804</v>
      </c>
      <c r="F24" s="8">
        <v>44834</v>
      </c>
      <c r="G24" s="9">
        <v>79.268799999999999</v>
      </c>
      <c r="H24" s="9">
        <v>79.459999999999994</v>
      </c>
      <c r="I24" s="9">
        <v>81.348799999999997</v>
      </c>
      <c r="J24" s="7">
        <f t="shared" si="0"/>
        <v>3</v>
      </c>
      <c r="K24" s="10">
        <f t="shared" si="1"/>
        <v>80.025866666666658</v>
      </c>
      <c r="L24" s="7" t="s">
        <v>54</v>
      </c>
      <c r="M24" s="7" t="str">
        <f t="shared" si="2"/>
        <v>Complete (3 of 3)</v>
      </c>
    </row>
    <row r="25" spans="1:13" x14ac:dyDescent="0.35">
      <c r="A25" s="7">
        <v>2022</v>
      </c>
      <c r="B25" s="7" t="s">
        <v>18</v>
      </c>
      <c r="C25" s="7" t="s">
        <v>31</v>
      </c>
      <c r="D25" s="8">
        <v>44865</v>
      </c>
      <c r="E25" s="8">
        <v>44895</v>
      </c>
      <c r="F25" s="8">
        <v>44925</v>
      </c>
      <c r="G25" s="9">
        <v>82.784999999999997</v>
      </c>
      <c r="H25" s="9">
        <v>81.428700000000006</v>
      </c>
      <c r="I25" s="9">
        <v>82.734999999999999</v>
      </c>
      <c r="J25" s="7">
        <f t="shared" si="0"/>
        <v>3</v>
      </c>
      <c r="K25" s="10">
        <f t="shared" si="1"/>
        <v>82.316233333333344</v>
      </c>
      <c r="L25" s="7" t="s">
        <v>55</v>
      </c>
      <c r="M25" s="7" t="str">
        <f t="shared" si="2"/>
        <v>Complete (3 of 3)</v>
      </c>
    </row>
    <row r="26" spans="1:13" x14ac:dyDescent="0.35">
      <c r="A26" s="7">
        <v>2023</v>
      </c>
      <c r="B26" s="7" t="s">
        <v>12</v>
      </c>
      <c r="C26" s="7" t="s">
        <v>31</v>
      </c>
      <c r="D26" s="8">
        <v>44957</v>
      </c>
      <c r="E26" s="8">
        <v>44985</v>
      </c>
      <c r="F26" s="8">
        <v>45016</v>
      </c>
      <c r="G26" s="9">
        <v>81.9238</v>
      </c>
      <c r="H26" s="9">
        <v>82.67</v>
      </c>
      <c r="I26" s="9">
        <v>82.182500000000005</v>
      </c>
      <c r="J26" s="7">
        <f t="shared" si="0"/>
        <v>3</v>
      </c>
      <c r="K26" s="10">
        <f t="shared" si="1"/>
        <v>82.258766666666659</v>
      </c>
      <c r="L26" s="7" t="s">
        <v>56</v>
      </c>
      <c r="M26" s="7" t="str">
        <f t="shared" si="2"/>
        <v>Complete (3 of 3)</v>
      </c>
    </row>
    <row r="27" spans="1:13" x14ac:dyDescent="0.35">
      <c r="A27" s="7">
        <v>2023</v>
      </c>
      <c r="B27" s="7" t="s">
        <v>15</v>
      </c>
      <c r="C27" s="7" t="s">
        <v>31</v>
      </c>
      <c r="D27" s="8">
        <v>45044</v>
      </c>
      <c r="E27" s="8">
        <v>45077</v>
      </c>
      <c r="F27" s="8">
        <v>45107</v>
      </c>
      <c r="G27" s="9">
        <v>81.832499999999996</v>
      </c>
      <c r="H27" s="9">
        <v>82.727500000000006</v>
      </c>
      <c r="I27" s="9">
        <v>82.04</v>
      </c>
      <c r="J27" s="7">
        <f t="shared" si="0"/>
        <v>3</v>
      </c>
      <c r="K27" s="10">
        <f t="shared" si="1"/>
        <v>82.2</v>
      </c>
      <c r="L27" s="7" t="s">
        <v>57</v>
      </c>
      <c r="M27" s="7" t="str">
        <f t="shared" si="2"/>
        <v>Complete (3 of 3)</v>
      </c>
    </row>
    <row r="28" spans="1:13" x14ac:dyDescent="0.35">
      <c r="A28" s="7">
        <v>2023</v>
      </c>
      <c r="B28" s="7" t="s">
        <v>16</v>
      </c>
      <c r="C28" s="7" t="s">
        <v>31</v>
      </c>
      <c r="D28" s="8">
        <v>45138</v>
      </c>
      <c r="E28" s="8">
        <v>45169</v>
      </c>
      <c r="F28" s="8">
        <v>45198</v>
      </c>
      <c r="G28" s="9">
        <v>82.253799999999998</v>
      </c>
      <c r="H28" s="9">
        <v>82.784999999999997</v>
      </c>
      <c r="I28" s="9">
        <v>83.04</v>
      </c>
      <c r="J28" s="7">
        <f t="shared" si="0"/>
        <v>3</v>
      </c>
      <c r="K28" s="10">
        <f t="shared" si="1"/>
        <v>82.692933333333329</v>
      </c>
      <c r="L28" s="7" t="s">
        <v>58</v>
      </c>
      <c r="M28" s="7" t="str">
        <f t="shared" si="2"/>
        <v>Complete (3 of 3)</v>
      </c>
    </row>
    <row r="29" spans="1:13" x14ac:dyDescent="0.35">
      <c r="A29" s="7">
        <v>2023</v>
      </c>
      <c r="B29" s="7" t="s">
        <v>18</v>
      </c>
      <c r="C29" s="7" t="s">
        <v>31</v>
      </c>
      <c r="D29" s="8">
        <v>45230</v>
      </c>
      <c r="E29" s="8">
        <v>45260</v>
      </c>
      <c r="F29" s="8">
        <v>45289</v>
      </c>
      <c r="G29" s="9">
        <v>83.254999999999995</v>
      </c>
      <c r="H29" s="9">
        <v>83.394999999999996</v>
      </c>
      <c r="I29" s="9">
        <v>83.21</v>
      </c>
      <c r="J29" s="7">
        <f t="shared" si="0"/>
        <v>3</v>
      </c>
      <c r="K29" s="10">
        <f t="shared" si="1"/>
        <v>83.286666666666648</v>
      </c>
      <c r="L29" s="7" t="s">
        <v>59</v>
      </c>
      <c r="M29" s="7" t="str">
        <f t="shared" si="2"/>
        <v>Complete (3 of 3)</v>
      </c>
    </row>
    <row r="30" spans="1:13" x14ac:dyDescent="0.35">
      <c r="A30" s="7">
        <v>2024</v>
      </c>
      <c r="B30" s="7" t="s">
        <v>12</v>
      </c>
      <c r="C30" s="7" t="s">
        <v>31</v>
      </c>
      <c r="D30" s="8">
        <v>45322</v>
      </c>
      <c r="E30" s="8">
        <v>45351</v>
      </c>
      <c r="F30" s="8">
        <v>45380</v>
      </c>
      <c r="G30" s="9">
        <v>83.041200000000003</v>
      </c>
      <c r="H30" s="9">
        <v>82.913799999999995</v>
      </c>
      <c r="I30" s="9">
        <v>83.403700000000001</v>
      </c>
      <c r="J30" s="7">
        <f t="shared" si="0"/>
        <v>3</v>
      </c>
      <c r="K30" s="10">
        <f t="shared" si="1"/>
        <v>83.119566666666671</v>
      </c>
      <c r="L30" s="7" t="s">
        <v>60</v>
      </c>
      <c r="M30" s="7" t="str">
        <f t="shared" si="2"/>
        <v>Complete (3 of 3)</v>
      </c>
    </row>
    <row r="31" spans="1:13" x14ac:dyDescent="0.35">
      <c r="A31" s="7">
        <v>2024</v>
      </c>
      <c r="B31" s="7" t="s">
        <v>15</v>
      </c>
      <c r="C31" s="7" t="s">
        <v>31</v>
      </c>
      <c r="D31" s="8">
        <v>45412</v>
      </c>
      <c r="E31" s="8">
        <v>45443</v>
      </c>
      <c r="F31" s="8">
        <v>45471</v>
      </c>
      <c r="G31" s="9">
        <v>83.436199999999999</v>
      </c>
      <c r="H31" s="9">
        <v>83.465000000000003</v>
      </c>
      <c r="I31" s="9">
        <v>83.391300000000001</v>
      </c>
      <c r="J31" s="7">
        <f t="shared" si="0"/>
        <v>3</v>
      </c>
      <c r="K31" s="10">
        <f t="shared" si="1"/>
        <v>83.430833333333339</v>
      </c>
      <c r="L31" s="7" t="s">
        <v>61</v>
      </c>
      <c r="M31" s="7" t="str">
        <f t="shared" si="2"/>
        <v>Complete (3 of 3)</v>
      </c>
    </row>
    <row r="32" spans="1:13" x14ac:dyDescent="0.35">
      <c r="A32" s="7">
        <v>2024</v>
      </c>
      <c r="B32" s="7" t="s">
        <v>16</v>
      </c>
      <c r="C32" s="7" t="s">
        <v>31</v>
      </c>
      <c r="D32" s="8">
        <v>45504</v>
      </c>
      <c r="E32" s="8">
        <v>45534</v>
      </c>
      <c r="F32" s="8">
        <v>45565</v>
      </c>
      <c r="G32" s="9">
        <v>83.727500000000006</v>
      </c>
      <c r="H32" s="9">
        <v>83.871200000000002</v>
      </c>
      <c r="I32" s="9">
        <v>83.801299999999998</v>
      </c>
      <c r="J32" s="7">
        <f t="shared" si="0"/>
        <v>3</v>
      </c>
      <c r="K32" s="10">
        <f t="shared" si="1"/>
        <v>83.8</v>
      </c>
      <c r="L32" s="7" t="s">
        <v>62</v>
      </c>
      <c r="M32" s="7" t="str">
        <f t="shared" si="2"/>
        <v>Complete (3 of 3)</v>
      </c>
    </row>
    <row r="33" spans="1:13" x14ac:dyDescent="0.35">
      <c r="A33" s="7">
        <v>2024</v>
      </c>
      <c r="B33" s="7" t="s">
        <v>18</v>
      </c>
      <c r="C33" s="7" t="s">
        <v>31</v>
      </c>
      <c r="D33" s="8">
        <v>45596</v>
      </c>
      <c r="E33" s="8">
        <v>45625</v>
      </c>
      <c r="F33" s="8">
        <v>45657</v>
      </c>
      <c r="G33" s="9">
        <v>84.083699999999993</v>
      </c>
      <c r="H33" s="9">
        <v>84.492500000000007</v>
      </c>
      <c r="I33" s="9">
        <v>85.608699999999999</v>
      </c>
      <c r="J33" s="7">
        <f t="shared" si="0"/>
        <v>3</v>
      </c>
      <c r="K33" s="10">
        <f t="shared" si="1"/>
        <v>84.728300000000004</v>
      </c>
      <c r="L33" s="7" t="s">
        <v>63</v>
      </c>
      <c r="M33" s="7" t="str">
        <f t="shared" si="2"/>
        <v>Complete (3 of 3)</v>
      </c>
    </row>
    <row r="34" spans="1:13" x14ac:dyDescent="0.35">
      <c r="A34" s="7">
        <v>2025</v>
      </c>
      <c r="B34" s="7" t="s">
        <v>12</v>
      </c>
      <c r="C34" s="7" t="s">
        <v>31</v>
      </c>
      <c r="D34" s="8">
        <v>45688</v>
      </c>
      <c r="E34" s="8">
        <v>45716</v>
      </c>
      <c r="F34" s="8">
        <v>45747</v>
      </c>
      <c r="G34" s="9">
        <v>86.616200000000006</v>
      </c>
      <c r="H34" s="9">
        <v>87.512500000000003</v>
      </c>
      <c r="I34" s="9">
        <v>85.462500000000006</v>
      </c>
      <c r="J34" s="7">
        <f t="shared" si="0"/>
        <v>3</v>
      </c>
      <c r="K34" s="10">
        <f t="shared" si="1"/>
        <v>86.5304</v>
      </c>
      <c r="L34" s="7" t="s">
        <v>64</v>
      </c>
      <c r="M34" s="7" t="str">
        <f t="shared" si="2"/>
        <v>Complete (3 of 3)</v>
      </c>
    </row>
    <row r="35" spans="1:13" x14ac:dyDescent="0.35">
      <c r="A35" s="7">
        <v>2025</v>
      </c>
      <c r="B35" s="7" t="s">
        <v>15</v>
      </c>
      <c r="C35" s="7" t="s">
        <v>31</v>
      </c>
      <c r="D35" s="8">
        <v>45777</v>
      </c>
      <c r="E35" s="8">
        <v>45807</v>
      </c>
      <c r="F35" s="8">
        <v>45838</v>
      </c>
      <c r="G35" s="9">
        <v>84.495000000000005</v>
      </c>
      <c r="H35" s="9">
        <v>85.581299999999999</v>
      </c>
      <c r="I35" s="9">
        <v>85.752499999999998</v>
      </c>
      <c r="J35" s="7">
        <f t="shared" si="0"/>
        <v>3</v>
      </c>
      <c r="K35" s="10">
        <f t="shared" si="1"/>
        <v>85.276266666666672</v>
      </c>
      <c r="L35" s="7" t="s">
        <v>65</v>
      </c>
      <c r="M35" s="7" t="str">
        <f t="shared" si="2"/>
        <v>Complete (3 of 3)</v>
      </c>
    </row>
    <row r="36" spans="1:13" x14ac:dyDescent="0.35">
      <c r="A36" s="7">
        <v>2025</v>
      </c>
      <c r="B36" s="7" t="s">
        <v>16</v>
      </c>
      <c r="C36" s="7" t="s">
        <v>31</v>
      </c>
      <c r="D36" s="8">
        <v>45869</v>
      </c>
      <c r="E36" s="8">
        <v>45898</v>
      </c>
      <c r="F36" s="8">
        <v>45930</v>
      </c>
      <c r="G36" s="9">
        <v>87.6</v>
      </c>
      <c r="H36" s="9">
        <v>88.206299999999999</v>
      </c>
      <c r="I36" s="9">
        <v>88.788799999999995</v>
      </c>
      <c r="J36" s="7">
        <f t="shared" si="0"/>
        <v>3</v>
      </c>
      <c r="K36" s="10">
        <f t="shared" si="1"/>
        <v>88.198366666666672</v>
      </c>
      <c r="L36" s="7" t="s">
        <v>66</v>
      </c>
      <c r="M36" s="7" t="str">
        <f t="shared" si="2"/>
        <v>Complete (3 of 3)</v>
      </c>
    </row>
    <row r="37" spans="1:13" x14ac:dyDescent="0.35">
      <c r="A37" s="7">
        <v>2025</v>
      </c>
      <c r="B37" s="7" t="s">
        <v>18</v>
      </c>
      <c r="C37" s="7" t="s">
        <v>31</v>
      </c>
      <c r="D37" s="8">
        <v>45961</v>
      </c>
      <c r="E37" s="8">
        <v>45989</v>
      </c>
      <c r="F37" s="8">
        <v>46022</v>
      </c>
      <c r="G37" s="9">
        <v>88.772499999999994</v>
      </c>
      <c r="H37" s="9">
        <v>89.456299999999999</v>
      </c>
      <c r="I37" s="9">
        <v>89.876300000000001</v>
      </c>
      <c r="J37" s="7">
        <f t="shared" si="0"/>
        <v>3</v>
      </c>
      <c r="K37" s="10">
        <f t="shared" si="1"/>
        <v>89.36836666666666</v>
      </c>
      <c r="L37" s="7" t="s">
        <v>67</v>
      </c>
      <c r="M37" s="7" t="str">
        <f t="shared" si="2"/>
        <v>Complete (3 of 3)</v>
      </c>
    </row>
    <row r="38" spans="1:13" x14ac:dyDescent="0.35">
      <c r="A38" s="7">
        <v>2026</v>
      </c>
      <c r="B38" s="7" t="s">
        <v>12</v>
      </c>
      <c r="C38" s="7" t="s">
        <v>31</v>
      </c>
      <c r="D38" s="8">
        <v>46052</v>
      </c>
      <c r="E38" s="8">
        <v>46080</v>
      </c>
      <c r="F38" s="8">
        <v>46112</v>
      </c>
      <c r="G38" s="9">
        <v>91.99</v>
      </c>
      <c r="H38" s="9">
        <v>90.977500000000006</v>
      </c>
      <c r="I38" s="9">
        <v>94.832499999999996</v>
      </c>
      <c r="J38" s="7">
        <f t="shared" si="0"/>
        <v>3</v>
      </c>
      <c r="K38" s="10">
        <f t="shared" si="1"/>
        <v>92.600000000000009</v>
      </c>
      <c r="L38" s="7" t="s">
        <v>68</v>
      </c>
      <c r="M38" s="7" t="str">
        <f t="shared" si="2"/>
        <v>Complete (3 of 3)</v>
      </c>
    </row>
    <row r="39" spans="1:13" x14ac:dyDescent="0.35">
      <c r="A39" s="7">
        <v>2026</v>
      </c>
      <c r="B39" s="7" t="s">
        <v>15</v>
      </c>
      <c r="C39" s="7" t="s">
        <v>31</v>
      </c>
      <c r="D39" s="8">
        <v>46142</v>
      </c>
      <c r="E39" s="8">
        <v>46171</v>
      </c>
      <c r="F39" s="8">
        <v>46203</v>
      </c>
      <c r="G39" s="9">
        <v>94.92</v>
      </c>
      <c r="H39" s="9">
        <v>95.003799999999998</v>
      </c>
      <c r="I39" s="9">
        <v>94.667500000000004</v>
      </c>
      <c r="J39" s="7">
        <f t="shared" si="0"/>
        <v>3</v>
      </c>
      <c r="K39" s="10">
        <f t="shared" si="1"/>
        <v>94.863766666666663</v>
      </c>
      <c r="L39" s="7" t="s">
        <v>69</v>
      </c>
      <c r="M39" s="7" t="str">
        <f t="shared" si="2"/>
        <v>Complete (3 of 3)</v>
      </c>
    </row>
    <row r="40" spans="1:13" x14ac:dyDescent="0.35">
      <c r="A40" s="7">
        <v>2026</v>
      </c>
      <c r="B40" s="7" t="s">
        <v>16</v>
      </c>
      <c r="C40" s="7" t="s">
        <v>31</v>
      </c>
      <c r="D40" s="8">
        <v>46234</v>
      </c>
      <c r="E40" s="8">
        <v>46265</v>
      </c>
      <c r="F40" s="8">
        <v>46295</v>
      </c>
      <c r="G40" s="9">
        <v>95.392499999999998</v>
      </c>
      <c r="H40" s="9">
        <v>95.1738</v>
      </c>
      <c r="I40" s="9">
        <v>95.827500000000001</v>
      </c>
      <c r="J40" s="7">
        <f t="shared" si="0"/>
        <v>3</v>
      </c>
      <c r="K40" s="10">
        <f t="shared" si="1"/>
        <v>95.464600000000004</v>
      </c>
      <c r="L40" s="7" t="s">
        <v>70</v>
      </c>
      <c r="M40" s="7" t="str">
        <f t="shared" si="2"/>
        <v>Complete (3 of 3)</v>
      </c>
    </row>
    <row r="41" spans="1:13" x14ac:dyDescent="0.35">
      <c r="A41" s="7">
        <v>2017</v>
      </c>
      <c r="B41" s="7" t="s">
        <v>12</v>
      </c>
      <c r="C41" s="7" t="s">
        <v>71</v>
      </c>
      <c r="D41" s="8">
        <v>42766</v>
      </c>
      <c r="E41" s="8">
        <v>42794</v>
      </c>
      <c r="F41" s="8">
        <v>42825</v>
      </c>
      <c r="G41" s="9">
        <v>3.17</v>
      </c>
      <c r="H41" s="9">
        <v>3.65</v>
      </c>
      <c r="I41" s="9">
        <v>3.89</v>
      </c>
      <c r="J41" s="7">
        <f t="shared" si="0"/>
        <v>3</v>
      </c>
      <c r="K41" s="10">
        <f t="shared" si="1"/>
        <v>3.5700000000000003</v>
      </c>
      <c r="L41" s="7" t="s">
        <v>72</v>
      </c>
      <c r="M41" s="7" t="str">
        <f t="shared" si="2"/>
        <v>Complete (3 of 3)</v>
      </c>
    </row>
    <row r="42" spans="1:13" x14ac:dyDescent="0.35">
      <c r="A42" s="7">
        <v>2017</v>
      </c>
      <c r="B42" s="7" t="s">
        <v>15</v>
      </c>
      <c r="C42" s="7" t="s">
        <v>71</v>
      </c>
      <c r="D42" s="8">
        <v>42855</v>
      </c>
      <c r="E42" s="8">
        <v>42886</v>
      </c>
      <c r="F42" s="8">
        <v>42916</v>
      </c>
      <c r="G42" s="9">
        <v>2.99</v>
      </c>
      <c r="H42" s="9">
        <v>2.1800000000000002</v>
      </c>
      <c r="I42" s="9">
        <v>1.46</v>
      </c>
      <c r="J42" s="7">
        <f t="shared" si="0"/>
        <v>3</v>
      </c>
      <c r="K42" s="10">
        <f t="shared" si="1"/>
        <v>2.21</v>
      </c>
      <c r="L42" s="7" t="s">
        <v>73</v>
      </c>
      <c r="M42" s="7" t="str">
        <f t="shared" si="2"/>
        <v>Complete (3 of 3)</v>
      </c>
    </row>
    <row r="43" spans="1:13" x14ac:dyDescent="0.35">
      <c r="A43" s="7">
        <v>2017</v>
      </c>
      <c r="B43" s="7" t="s">
        <v>16</v>
      </c>
      <c r="C43" s="7" t="s">
        <v>71</v>
      </c>
      <c r="D43" s="8">
        <v>42947</v>
      </c>
      <c r="E43" s="8">
        <v>42978</v>
      </c>
      <c r="F43" s="8">
        <v>43008</v>
      </c>
      <c r="G43" s="9">
        <v>2.36</v>
      </c>
      <c r="H43" s="9">
        <v>3.28</v>
      </c>
      <c r="I43" s="9">
        <v>3.28</v>
      </c>
      <c r="J43" s="7">
        <f t="shared" si="0"/>
        <v>3</v>
      </c>
      <c r="K43" s="10">
        <f t="shared" si="1"/>
        <v>2.9733333333333332</v>
      </c>
      <c r="L43" s="7" t="s">
        <v>74</v>
      </c>
      <c r="M43" s="7" t="str">
        <f t="shared" si="2"/>
        <v>Complete (3 of 3)</v>
      </c>
    </row>
    <row r="44" spans="1:13" x14ac:dyDescent="0.35">
      <c r="A44" s="7">
        <v>2017</v>
      </c>
      <c r="B44" s="7" t="s">
        <v>18</v>
      </c>
      <c r="C44" s="7" t="s">
        <v>71</v>
      </c>
      <c r="D44" s="8">
        <v>43039</v>
      </c>
      <c r="E44" s="8">
        <v>43069</v>
      </c>
      <c r="F44" s="8">
        <v>43100</v>
      </c>
      <c r="G44" s="9">
        <v>3.58</v>
      </c>
      <c r="H44" s="9">
        <v>4.88</v>
      </c>
      <c r="I44" s="9">
        <v>5.21</v>
      </c>
      <c r="J44" s="7">
        <f t="shared" si="0"/>
        <v>3</v>
      </c>
      <c r="K44" s="10">
        <f t="shared" si="1"/>
        <v>4.5566666666666675</v>
      </c>
      <c r="L44" s="7" t="s">
        <v>75</v>
      </c>
      <c r="M44" s="7" t="str">
        <f t="shared" si="2"/>
        <v>Complete (3 of 3)</v>
      </c>
    </row>
    <row r="45" spans="1:13" x14ac:dyDescent="0.35">
      <c r="A45" s="7">
        <v>2018</v>
      </c>
      <c r="B45" s="7" t="s">
        <v>12</v>
      </c>
      <c r="C45" s="7" t="s">
        <v>71</v>
      </c>
      <c r="D45" s="8">
        <v>43131</v>
      </c>
      <c r="E45" s="8">
        <v>43159</v>
      </c>
      <c r="F45" s="8">
        <v>43190</v>
      </c>
      <c r="G45" s="9">
        <v>5.07</v>
      </c>
      <c r="H45" s="9">
        <v>4.4400000000000004</v>
      </c>
      <c r="I45" s="9">
        <v>4.28</v>
      </c>
      <c r="J45" s="7">
        <f t="shared" si="0"/>
        <v>3</v>
      </c>
      <c r="K45" s="10">
        <f t="shared" si="1"/>
        <v>4.5966666666666676</v>
      </c>
      <c r="L45" s="7" t="s">
        <v>76</v>
      </c>
      <c r="M45" s="7" t="str">
        <f t="shared" si="2"/>
        <v>Complete (3 of 3)</v>
      </c>
    </row>
    <row r="46" spans="1:13" x14ac:dyDescent="0.35">
      <c r="A46" s="7">
        <v>2018</v>
      </c>
      <c r="B46" s="7" t="s">
        <v>15</v>
      </c>
      <c r="C46" s="7" t="s">
        <v>71</v>
      </c>
      <c r="D46" s="8">
        <v>43220</v>
      </c>
      <c r="E46" s="8">
        <v>43251</v>
      </c>
      <c r="F46" s="8">
        <v>43281</v>
      </c>
      <c r="G46" s="9">
        <v>4.58</v>
      </c>
      <c r="H46" s="9">
        <v>4.87</v>
      </c>
      <c r="I46" s="9">
        <v>4.92</v>
      </c>
      <c r="J46" s="7">
        <f t="shared" si="0"/>
        <v>3</v>
      </c>
      <c r="K46" s="10">
        <f t="shared" si="1"/>
        <v>4.79</v>
      </c>
      <c r="L46" s="7" t="s">
        <v>77</v>
      </c>
      <c r="M46" s="7" t="str">
        <f t="shared" si="2"/>
        <v>Complete (3 of 3)</v>
      </c>
    </row>
    <row r="47" spans="1:13" x14ac:dyDescent="0.35">
      <c r="A47" s="7">
        <v>2018</v>
      </c>
      <c r="B47" s="7" t="s">
        <v>16</v>
      </c>
      <c r="C47" s="7" t="s">
        <v>71</v>
      </c>
      <c r="D47" s="8">
        <v>43312</v>
      </c>
      <c r="E47" s="8">
        <v>43343</v>
      </c>
      <c r="F47" s="8">
        <v>43373</v>
      </c>
      <c r="G47" s="9">
        <v>4.17</v>
      </c>
      <c r="H47" s="9">
        <v>3.69</v>
      </c>
      <c r="I47" s="9">
        <v>3.7</v>
      </c>
      <c r="J47" s="7">
        <f t="shared" si="0"/>
        <v>3</v>
      </c>
      <c r="K47" s="10">
        <f t="shared" si="1"/>
        <v>3.8533333333333331</v>
      </c>
      <c r="L47" s="7" t="s">
        <v>78</v>
      </c>
      <c r="M47" s="7" t="str">
        <f t="shared" si="2"/>
        <v>Complete (3 of 3)</v>
      </c>
    </row>
    <row r="48" spans="1:13" x14ac:dyDescent="0.35">
      <c r="A48" s="7">
        <v>2018</v>
      </c>
      <c r="B48" s="7" t="s">
        <v>18</v>
      </c>
      <c r="C48" s="7" t="s">
        <v>71</v>
      </c>
      <c r="D48" s="8">
        <v>43404</v>
      </c>
      <c r="E48" s="8">
        <v>43434</v>
      </c>
      <c r="F48" s="8">
        <v>43465</v>
      </c>
      <c r="G48" s="9">
        <v>3.38</v>
      </c>
      <c r="H48" s="9">
        <v>2.33</v>
      </c>
      <c r="I48" s="9">
        <v>2.11</v>
      </c>
      <c r="J48" s="7">
        <f t="shared" si="0"/>
        <v>3</v>
      </c>
      <c r="K48" s="10">
        <f t="shared" si="1"/>
        <v>2.6066666666666669</v>
      </c>
      <c r="L48" s="7" t="s">
        <v>79</v>
      </c>
      <c r="M48" s="7" t="str">
        <f t="shared" si="2"/>
        <v>Complete (3 of 3)</v>
      </c>
    </row>
    <row r="49" spans="1:13" x14ac:dyDescent="0.35">
      <c r="A49" s="7">
        <v>2019</v>
      </c>
      <c r="B49" s="7" t="s">
        <v>12</v>
      </c>
      <c r="C49" s="7" t="s">
        <v>71</v>
      </c>
      <c r="D49" s="8">
        <v>43496</v>
      </c>
      <c r="E49" s="8">
        <v>43524</v>
      </c>
      <c r="F49" s="8">
        <v>43555</v>
      </c>
      <c r="G49" s="9">
        <v>1.97</v>
      </c>
      <c r="H49" s="9">
        <v>2.57</v>
      </c>
      <c r="I49" s="9">
        <v>2.86</v>
      </c>
      <c r="J49" s="7">
        <f t="shared" si="0"/>
        <v>3</v>
      </c>
      <c r="K49" s="10">
        <f t="shared" si="1"/>
        <v>2.4666666666666668</v>
      </c>
      <c r="L49" s="7" t="s">
        <v>80</v>
      </c>
      <c r="M49" s="7" t="str">
        <f t="shared" si="2"/>
        <v>Complete (3 of 3)</v>
      </c>
    </row>
    <row r="50" spans="1:13" x14ac:dyDescent="0.35">
      <c r="A50" s="7">
        <v>2019</v>
      </c>
      <c r="B50" s="7" t="s">
        <v>15</v>
      </c>
      <c r="C50" s="7" t="s">
        <v>71</v>
      </c>
      <c r="D50" s="8">
        <v>43585</v>
      </c>
      <c r="E50" s="8">
        <v>43616</v>
      </c>
      <c r="F50" s="8">
        <v>43646</v>
      </c>
      <c r="G50" s="9">
        <v>2.99</v>
      </c>
      <c r="H50" s="9">
        <v>3.05</v>
      </c>
      <c r="I50" s="9">
        <v>3.18</v>
      </c>
      <c r="J50" s="7">
        <f t="shared" si="0"/>
        <v>3</v>
      </c>
      <c r="K50" s="10">
        <f t="shared" si="1"/>
        <v>3.0733333333333337</v>
      </c>
      <c r="L50" s="7" t="s">
        <v>81</v>
      </c>
      <c r="M50" s="7" t="str">
        <f t="shared" si="2"/>
        <v>Complete (3 of 3)</v>
      </c>
    </row>
    <row r="51" spans="1:13" x14ac:dyDescent="0.35">
      <c r="A51" s="7">
        <v>2019</v>
      </c>
      <c r="B51" s="7" t="s">
        <v>16</v>
      </c>
      <c r="C51" s="7" t="s">
        <v>71</v>
      </c>
      <c r="D51" s="8">
        <v>43677</v>
      </c>
      <c r="E51" s="8">
        <v>43708</v>
      </c>
      <c r="F51" s="8">
        <v>43738</v>
      </c>
      <c r="G51" s="9">
        <v>3.15</v>
      </c>
      <c r="H51" s="9">
        <v>3.28</v>
      </c>
      <c r="I51" s="9">
        <v>3.99</v>
      </c>
      <c r="J51" s="7">
        <f t="shared" si="0"/>
        <v>3</v>
      </c>
      <c r="K51" s="10">
        <f t="shared" si="1"/>
        <v>3.4733333333333332</v>
      </c>
      <c r="L51" s="7" t="s">
        <v>82</v>
      </c>
      <c r="M51" s="7" t="str">
        <f t="shared" si="2"/>
        <v>Complete (3 of 3)</v>
      </c>
    </row>
    <row r="52" spans="1:13" x14ac:dyDescent="0.35">
      <c r="A52" s="7">
        <v>2019</v>
      </c>
      <c r="B52" s="7" t="s">
        <v>18</v>
      </c>
      <c r="C52" s="7" t="s">
        <v>71</v>
      </c>
      <c r="D52" s="8">
        <v>43769</v>
      </c>
      <c r="E52" s="8">
        <v>43799</v>
      </c>
      <c r="F52" s="8">
        <v>43830</v>
      </c>
      <c r="G52" s="9">
        <v>4.62</v>
      </c>
      <c r="H52" s="9">
        <v>5.54</v>
      </c>
      <c r="I52" s="9">
        <v>7.35</v>
      </c>
      <c r="J52" s="7">
        <f t="shared" si="0"/>
        <v>3</v>
      </c>
      <c r="K52" s="10">
        <f t="shared" si="1"/>
        <v>5.836666666666666</v>
      </c>
      <c r="L52" s="7" t="s">
        <v>83</v>
      </c>
      <c r="M52" s="7" t="str">
        <f t="shared" si="2"/>
        <v>Complete (3 of 3)</v>
      </c>
    </row>
    <row r="53" spans="1:13" x14ac:dyDescent="0.35">
      <c r="A53" s="7">
        <v>2020</v>
      </c>
      <c r="B53" s="7" t="s">
        <v>12</v>
      </c>
      <c r="C53" s="7" t="s">
        <v>71</v>
      </c>
      <c r="D53" s="8">
        <v>43861</v>
      </c>
      <c r="E53" s="8">
        <v>43890</v>
      </c>
      <c r="F53" s="8">
        <v>43921</v>
      </c>
      <c r="G53" s="9">
        <v>7.59</v>
      </c>
      <c r="H53" s="9">
        <v>6.58</v>
      </c>
      <c r="I53" s="9">
        <v>5.84</v>
      </c>
      <c r="J53" s="7">
        <f t="shared" si="0"/>
        <v>3</v>
      </c>
      <c r="K53" s="10">
        <f t="shared" si="1"/>
        <v>6.669999999999999</v>
      </c>
      <c r="L53" s="7" t="s">
        <v>84</v>
      </c>
      <c r="M53" s="7" t="str">
        <f t="shared" si="2"/>
        <v>Complete (3 of 3)</v>
      </c>
    </row>
    <row r="54" spans="1:13" x14ac:dyDescent="0.35">
      <c r="A54" s="7">
        <v>2020</v>
      </c>
      <c r="B54" s="7" t="s">
        <v>15</v>
      </c>
      <c r="C54" s="7" t="s">
        <v>71</v>
      </c>
      <c r="D54" s="8">
        <v>43951</v>
      </c>
      <c r="E54" s="8">
        <v>43982</v>
      </c>
      <c r="F54" s="8">
        <v>44012</v>
      </c>
      <c r="G54" s="9">
        <v>7.22</v>
      </c>
      <c r="H54" s="9">
        <v>6.27</v>
      </c>
      <c r="I54" s="9">
        <v>6.23</v>
      </c>
      <c r="J54" s="7">
        <f t="shared" si="0"/>
        <v>3</v>
      </c>
      <c r="K54" s="10">
        <f t="shared" si="1"/>
        <v>6.5733333333333333</v>
      </c>
      <c r="L54" s="7" t="s">
        <v>85</v>
      </c>
      <c r="M54" s="7" t="str">
        <f t="shared" si="2"/>
        <v>Complete (3 of 3)</v>
      </c>
    </row>
    <row r="55" spans="1:13" x14ac:dyDescent="0.35">
      <c r="A55" s="7">
        <v>2020</v>
      </c>
      <c r="B55" s="7" t="s">
        <v>16</v>
      </c>
      <c r="C55" s="7" t="s">
        <v>71</v>
      </c>
      <c r="D55" s="8">
        <v>44043</v>
      </c>
      <c r="E55" s="8">
        <v>44074</v>
      </c>
      <c r="F55" s="8">
        <v>44104</v>
      </c>
      <c r="G55" s="9">
        <v>6.73</v>
      </c>
      <c r="H55" s="9">
        <v>6.69</v>
      </c>
      <c r="I55" s="9">
        <v>7.27</v>
      </c>
      <c r="J55" s="7">
        <f t="shared" si="0"/>
        <v>3</v>
      </c>
      <c r="K55" s="10">
        <f t="shared" si="1"/>
        <v>6.8966666666666674</v>
      </c>
      <c r="L55" s="7" t="s">
        <v>86</v>
      </c>
      <c r="M55" s="7" t="str">
        <f t="shared" si="2"/>
        <v>Complete (3 of 3)</v>
      </c>
    </row>
    <row r="56" spans="1:13" x14ac:dyDescent="0.35">
      <c r="A56" s="7">
        <v>2020</v>
      </c>
      <c r="B56" s="7" t="s">
        <v>18</v>
      </c>
      <c r="C56" s="7" t="s">
        <v>71</v>
      </c>
      <c r="D56" s="8">
        <v>44135</v>
      </c>
      <c r="E56" s="8">
        <v>44165</v>
      </c>
      <c r="F56" s="8">
        <v>44196</v>
      </c>
      <c r="G56" s="9">
        <v>7.61</v>
      </c>
      <c r="H56" s="9">
        <v>6.93</v>
      </c>
      <c r="I56" s="9">
        <v>4.59</v>
      </c>
      <c r="J56" s="7">
        <f t="shared" si="0"/>
        <v>3</v>
      </c>
      <c r="K56" s="10">
        <f t="shared" si="1"/>
        <v>6.376666666666666</v>
      </c>
      <c r="L56" s="7" t="s">
        <v>87</v>
      </c>
      <c r="M56" s="7" t="str">
        <f t="shared" si="2"/>
        <v>Complete (3 of 3)</v>
      </c>
    </row>
    <row r="57" spans="1:13" x14ac:dyDescent="0.35">
      <c r="A57" s="7">
        <v>2021</v>
      </c>
      <c r="B57" s="7" t="s">
        <v>12</v>
      </c>
      <c r="C57" s="7" t="s">
        <v>71</v>
      </c>
      <c r="D57" s="8">
        <v>44227</v>
      </c>
      <c r="E57" s="8">
        <v>44255</v>
      </c>
      <c r="F57" s="8">
        <v>44286</v>
      </c>
      <c r="G57" s="9">
        <v>4.0599999999999996</v>
      </c>
      <c r="H57" s="9">
        <v>5.03</v>
      </c>
      <c r="I57" s="9">
        <v>5.52</v>
      </c>
      <c r="J57" s="7">
        <f t="shared" si="0"/>
        <v>3</v>
      </c>
      <c r="K57" s="10">
        <f t="shared" si="1"/>
        <v>4.87</v>
      </c>
      <c r="L57" s="7" t="s">
        <v>88</v>
      </c>
      <c r="M57" s="7" t="str">
        <f t="shared" si="2"/>
        <v>Complete (3 of 3)</v>
      </c>
    </row>
    <row r="58" spans="1:13" x14ac:dyDescent="0.35">
      <c r="A58" s="7">
        <v>2021</v>
      </c>
      <c r="B58" s="7" t="s">
        <v>15</v>
      </c>
      <c r="C58" s="7" t="s">
        <v>71</v>
      </c>
      <c r="D58" s="8">
        <v>44316</v>
      </c>
      <c r="E58" s="8">
        <v>44347</v>
      </c>
      <c r="F58" s="8">
        <v>44377</v>
      </c>
      <c r="G58" s="9">
        <v>4.2300000000000004</v>
      </c>
      <c r="H58" s="9">
        <v>6.3</v>
      </c>
      <c r="I58" s="9">
        <v>6.26</v>
      </c>
      <c r="J58" s="7">
        <f t="shared" si="0"/>
        <v>3</v>
      </c>
      <c r="K58" s="10">
        <f t="shared" si="1"/>
        <v>5.5966666666666667</v>
      </c>
      <c r="L58" s="7" t="s">
        <v>89</v>
      </c>
      <c r="M58" s="7" t="str">
        <f t="shared" si="2"/>
        <v>Complete (3 of 3)</v>
      </c>
    </row>
    <row r="59" spans="1:13" x14ac:dyDescent="0.35">
      <c r="A59" s="7">
        <v>2021</v>
      </c>
      <c r="B59" s="7" t="s">
        <v>16</v>
      </c>
      <c r="C59" s="7" t="s">
        <v>71</v>
      </c>
      <c r="D59" s="8">
        <v>44408</v>
      </c>
      <c r="E59" s="8">
        <v>44439</v>
      </c>
      <c r="F59" s="8">
        <v>44469</v>
      </c>
      <c r="G59" s="9">
        <v>5.59</v>
      </c>
      <c r="H59" s="9">
        <v>5.3</v>
      </c>
      <c r="I59" s="9">
        <v>4.3499999999999996</v>
      </c>
      <c r="J59" s="7">
        <f t="shared" si="0"/>
        <v>3</v>
      </c>
      <c r="K59" s="10">
        <f t="shared" si="1"/>
        <v>5.08</v>
      </c>
      <c r="L59" s="7" t="s">
        <v>90</v>
      </c>
      <c r="M59" s="7" t="str">
        <f t="shared" si="2"/>
        <v>Complete (3 of 3)</v>
      </c>
    </row>
    <row r="60" spans="1:13" x14ac:dyDescent="0.35">
      <c r="A60" s="7">
        <v>2021</v>
      </c>
      <c r="B60" s="7" t="s">
        <v>18</v>
      </c>
      <c r="C60" s="7" t="s">
        <v>71</v>
      </c>
      <c r="D60" s="8">
        <v>44500</v>
      </c>
      <c r="E60" s="8">
        <v>44530</v>
      </c>
      <c r="F60" s="8">
        <v>44561</v>
      </c>
      <c r="G60" s="9">
        <v>4.4800000000000004</v>
      </c>
      <c r="H60" s="9">
        <v>4.91</v>
      </c>
      <c r="I60" s="9">
        <v>5.66</v>
      </c>
      <c r="J60" s="7">
        <f t="shared" si="0"/>
        <v>3</v>
      </c>
      <c r="K60" s="10">
        <f t="shared" si="1"/>
        <v>5.0166666666666666</v>
      </c>
      <c r="L60" s="7" t="s">
        <v>91</v>
      </c>
      <c r="M60" s="7" t="str">
        <f t="shared" si="2"/>
        <v>Complete (3 of 3)</v>
      </c>
    </row>
    <row r="61" spans="1:13" x14ac:dyDescent="0.35">
      <c r="A61" s="7">
        <v>2022</v>
      </c>
      <c r="B61" s="7" t="s">
        <v>12</v>
      </c>
      <c r="C61" s="7" t="s">
        <v>71</v>
      </c>
      <c r="D61" s="8">
        <v>44592</v>
      </c>
      <c r="E61" s="8">
        <v>44620</v>
      </c>
      <c r="F61" s="8">
        <v>44651</v>
      </c>
      <c r="G61" s="9">
        <v>6.01</v>
      </c>
      <c r="H61" s="9">
        <v>6.07</v>
      </c>
      <c r="I61" s="9">
        <v>6.95</v>
      </c>
      <c r="J61" s="7">
        <f t="shared" si="0"/>
        <v>3</v>
      </c>
      <c r="K61" s="10">
        <f t="shared" si="1"/>
        <v>6.3433333333333337</v>
      </c>
      <c r="L61" s="7" t="s">
        <v>92</v>
      </c>
      <c r="M61" s="7" t="str">
        <f t="shared" si="2"/>
        <v>Complete (3 of 3)</v>
      </c>
    </row>
    <row r="62" spans="1:13" x14ac:dyDescent="0.35">
      <c r="A62" s="7">
        <v>2022</v>
      </c>
      <c r="B62" s="7" t="s">
        <v>15</v>
      </c>
      <c r="C62" s="7" t="s">
        <v>71</v>
      </c>
      <c r="D62" s="8">
        <v>44681</v>
      </c>
      <c r="E62" s="8">
        <v>44712</v>
      </c>
      <c r="F62" s="8">
        <v>44742</v>
      </c>
      <c r="G62" s="9">
        <v>7.79</v>
      </c>
      <c r="H62" s="9">
        <v>7.04</v>
      </c>
      <c r="I62" s="9">
        <v>7.01</v>
      </c>
      <c r="J62" s="7">
        <f t="shared" si="0"/>
        <v>3</v>
      </c>
      <c r="K62" s="10">
        <f t="shared" si="1"/>
        <v>7.28</v>
      </c>
      <c r="L62" s="7" t="s">
        <v>93</v>
      </c>
      <c r="M62" s="7" t="str">
        <f t="shared" si="2"/>
        <v>Complete (3 of 3)</v>
      </c>
    </row>
    <row r="63" spans="1:13" x14ac:dyDescent="0.35">
      <c r="A63" s="7">
        <v>2022</v>
      </c>
      <c r="B63" s="7" t="s">
        <v>16</v>
      </c>
      <c r="C63" s="7" t="s">
        <v>71</v>
      </c>
      <c r="D63" s="8">
        <v>44773</v>
      </c>
      <c r="E63" s="8">
        <v>44804</v>
      </c>
      <c r="F63" s="8">
        <v>44834</v>
      </c>
      <c r="G63" s="9">
        <v>6.71</v>
      </c>
      <c r="H63" s="9">
        <v>7</v>
      </c>
      <c r="I63" s="9">
        <v>7.41</v>
      </c>
      <c r="J63" s="7">
        <f t="shared" si="0"/>
        <v>3</v>
      </c>
      <c r="K63" s="10">
        <f t="shared" si="1"/>
        <v>7.04</v>
      </c>
      <c r="L63" s="7" t="s">
        <v>94</v>
      </c>
      <c r="M63" s="7" t="str">
        <f t="shared" si="2"/>
        <v>Complete (3 of 3)</v>
      </c>
    </row>
    <row r="64" spans="1:13" x14ac:dyDescent="0.35">
      <c r="A64" s="7">
        <v>2022</v>
      </c>
      <c r="B64" s="7" t="s">
        <v>18</v>
      </c>
      <c r="C64" s="7" t="s">
        <v>71</v>
      </c>
      <c r="D64" s="8">
        <v>44865</v>
      </c>
      <c r="E64" s="8">
        <v>44895</v>
      </c>
      <c r="F64" s="8">
        <v>44926</v>
      </c>
      <c r="G64" s="9">
        <v>6.77</v>
      </c>
      <c r="H64" s="9">
        <v>5.88</v>
      </c>
      <c r="I64" s="9">
        <v>5.72</v>
      </c>
      <c r="J64" s="7">
        <f t="shared" si="0"/>
        <v>3</v>
      </c>
      <c r="K64" s="10">
        <f t="shared" si="1"/>
        <v>6.1233333333333322</v>
      </c>
      <c r="L64" s="7" t="s">
        <v>95</v>
      </c>
      <c r="M64" s="7" t="str">
        <f t="shared" si="2"/>
        <v>Complete (3 of 3)</v>
      </c>
    </row>
    <row r="65" spans="1:13" x14ac:dyDescent="0.35">
      <c r="A65" s="7">
        <v>2023</v>
      </c>
      <c r="B65" s="7" t="s">
        <v>12</v>
      </c>
      <c r="C65" s="7" t="s">
        <v>71</v>
      </c>
      <c r="D65" s="8">
        <v>44957</v>
      </c>
      <c r="E65" s="8">
        <v>44985</v>
      </c>
      <c r="F65" s="8">
        <v>45016</v>
      </c>
      <c r="G65" s="9">
        <v>6.52</v>
      </c>
      <c r="H65" s="9">
        <v>6.44</v>
      </c>
      <c r="I65" s="9">
        <v>5.66</v>
      </c>
      <c r="J65" s="7">
        <f t="shared" si="0"/>
        <v>3</v>
      </c>
      <c r="K65" s="10">
        <f t="shared" si="1"/>
        <v>6.206666666666667</v>
      </c>
      <c r="L65" s="7" t="s">
        <v>96</v>
      </c>
      <c r="M65" s="7" t="str">
        <f t="shared" si="2"/>
        <v>Complete (3 of 3)</v>
      </c>
    </row>
    <row r="66" spans="1:13" x14ac:dyDescent="0.35">
      <c r="A66" s="7">
        <v>2023</v>
      </c>
      <c r="B66" s="7" t="s">
        <v>15</v>
      </c>
      <c r="C66" s="7" t="s">
        <v>71</v>
      </c>
      <c r="D66" s="8">
        <v>45046</v>
      </c>
      <c r="E66" s="8">
        <v>45077</v>
      </c>
      <c r="F66" s="8">
        <v>45107</v>
      </c>
      <c r="G66" s="9">
        <v>4.7</v>
      </c>
      <c r="H66" s="9">
        <v>4.3099999999999996</v>
      </c>
      <c r="I66" s="9">
        <v>4.87</v>
      </c>
      <c r="J66" s="7">
        <f t="shared" ref="J66:J129" si="3">COUNT(G66:I66)</f>
        <v>3</v>
      </c>
      <c r="K66" s="10">
        <f t="shared" ref="K66:K129" si="4">IF(J66=0,"",AVERAGE(G66:I66))</f>
        <v>4.626666666666666</v>
      </c>
      <c r="L66" s="7" t="s">
        <v>97</v>
      </c>
      <c r="M66" s="7" t="str">
        <f t="shared" ref="M66:M129" si="5">IF(J66=3,"Complete (3 of 3)",IF(J66=0,"No data - left blank","INCOMPLETE - "&amp;J66&amp;" of 3 months"))</f>
        <v>Complete (3 of 3)</v>
      </c>
    </row>
    <row r="67" spans="1:13" x14ac:dyDescent="0.35">
      <c r="A67" s="7">
        <v>2023</v>
      </c>
      <c r="B67" s="7" t="s">
        <v>16</v>
      </c>
      <c r="C67" s="7" t="s">
        <v>71</v>
      </c>
      <c r="D67" s="8">
        <v>45138</v>
      </c>
      <c r="E67" s="8">
        <v>45169</v>
      </c>
      <c r="F67" s="8">
        <v>45199</v>
      </c>
      <c r="G67" s="9">
        <v>7.44</v>
      </c>
      <c r="H67" s="9">
        <v>6.83</v>
      </c>
      <c r="I67" s="9">
        <v>5.0199999999999996</v>
      </c>
      <c r="J67" s="7">
        <f t="shared" si="3"/>
        <v>3</v>
      </c>
      <c r="K67" s="10">
        <f t="shared" si="4"/>
        <v>6.43</v>
      </c>
      <c r="L67" s="7" t="s">
        <v>98</v>
      </c>
      <c r="M67" s="7" t="str">
        <f t="shared" si="5"/>
        <v>Complete (3 of 3)</v>
      </c>
    </row>
    <row r="68" spans="1:13" x14ac:dyDescent="0.35">
      <c r="A68" s="7">
        <v>2023</v>
      </c>
      <c r="B68" s="7" t="s">
        <v>18</v>
      </c>
      <c r="C68" s="7" t="s">
        <v>71</v>
      </c>
      <c r="D68" s="8">
        <v>45230</v>
      </c>
      <c r="E68" s="8">
        <v>45260</v>
      </c>
      <c r="F68" s="8">
        <v>45291</v>
      </c>
      <c r="G68" s="9">
        <v>4.87</v>
      </c>
      <c r="H68" s="9">
        <v>5.55</v>
      </c>
      <c r="I68" s="9">
        <v>5.69</v>
      </c>
      <c r="J68" s="7">
        <f t="shared" si="3"/>
        <v>3</v>
      </c>
      <c r="K68" s="10">
        <f t="shared" si="4"/>
        <v>5.37</v>
      </c>
      <c r="L68" s="7" t="s">
        <v>99</v>
      </c>
      <c r="M68" s="7" t="str">
        <f t="shared" si="5"/>
        <v>Complete (3 of 3)</v>
      </c>
    </row>
    <row r="69" spans="1:13" x14ac:dyDescent="0.35">
      <c r="A69" s="7">
        <v>2024</v>
      </c>
      <c r="B69" s="7" t="s">
        <v>12</v>
      </c>
      <c r="C69" s="7" t="s">
        <v>71</v>
      </c>
      <c r="D69" s="8">
        <v>45322</v>
      </c>
      <c r="E69" s="8">
        <v>45351</v>
      </c>
      <c r="F69" s="8">
        <v>45382</v>
      </c>
      <c r="G69" s="9">
        <v>5.0999999999999996</v>
      </c>
      <c r="H69" s="9">
        <v>5.09</v>
      </c>
      <c r="I69" s="9">
        <v>4.8499999999999996</v>
      </c>
      <c r="J69" s="7">
        <f t="shared" si="3"/>
        <v>3</v>
      </c>
      <c r="K69" s="10">
        <f t="shared" si="4"/>
        <v>5.0133333333333328</v>
      </c>
      <c r="L69" s="7" t="s">
        <v>100</v>
      </c>
      <c r="M69" s="7" t="str">
        <f t="shared" si="5"/>
        <v>Complete (3 of 3)</v>
      </c>
    </row>
    <row r="70" spans="1:13" x14ac:dyDescent="0.35">
      <c r="A70" s="7">
        <v>2024</v>
      </c>
      <c r="B70" s="7" t="s">
        <v>15</v>
      </c>
      <c r="C70" s="7" t="s">
        <v>71</v>
      </c>
      <c r="D70" s="8">
        <v>45412</v>
      </c>
      <c r="E70" s="8">
        <v>45443</v>
      </c>
      <c r="F70" s="8">
        <v>45473</v>
      </c>
      <c r="G70" s="9">
        <v>4.83</v>
      </c>
      <c r="H70" s="9">
        <v>4.8</v>
      </c>
      <c r="I70" s="9">
        <v>5.08</v>
      </c>
      <c r="J70" s="7">
        <f t="shared" si="3"/>
        <v>3</v>
      </c>
      <c r="K70" s="10">
        <f t="shared" si="4"/>
        <v>4.9033333333333333</v>
      </c>
      <c r="L70" s="7" t="s">
        <v>101</v>
      </c>
      <c r="M70" s="7" t="str">
        <f t="shared" si="5"/>
        <v>Complete (3 of 3)</v>
      </c>
    </row>
    <row r="71" spans="1:13" x14ac:dyDescent="0.35">
      <c r="A71" s="7">
        <v>2024</v>
      </c>
      <c r="B71" s="7" t="s">
        <v>16</v>
      </c>
      <c r="C71" s="7" t="s">
        <v>71</v>
      </c>
      <c r="D71" s="8">
        <v>45504</v>
      </c>
      <c r="E71" s="8">
        <v>45535</v>
      </c>
      <c r="F71" s="8">
        <v>45565</v>
      </c>
      <c r="G71" s="9">
        <v>3.6</v>
      </c>
      <c r="H71" s="9">
        <v>3.65</v>
      </c>
      <c r="I71" s="9">
        <v>5.49</v>
      </c>
      <c r="J71" s="7">
        <f t="shared" si="3"/>
        <v>3</v>
      </c>
      <c r="K71" s="10">
        <f t="shared" si="4"/>
        <v>4.246666666666667</v>
      </c>
      <c r="L71" s="7" t="s">
        <v>102</v>
      </c>
      <c r="M71" s="7" t="str">
        <f t="shared" si="5"/>
        <v>Complete (3 of 3)</v>
      </c>
    </row>
    <row r="72" spans="1:13" x14ac:dyDescent="0.35">
      <c r="A72" s="7">
        <v>2024</v>
      </c>
      <c r="B72" s="7" t="s">
        <v>18</v>
      </c>
      <c r="C72" s="7" t="s">
        <v>71</v>
      </c>
      <c r="D72" s="8">
        <v>45596</v>
      </c>
      <c r="E72" s="8">
        <v>45626</v>
      </c>
      <c r="F72" s="8">
        <v>45657</v>
      </c>
      <c r="G72" s="9">
        <v>6.21</v>
      </c>
      <c r="H72" s="9">
        <v>5.48</v>
      </c>
      <c r="I72" s="9">
        <v>5.22</v>
      </c>
      <c r="J72" s="7">
        <f t="shared" si="3"/>
        <v>3</v>
      </c>
      <c r="K72" s="10">
        <f t="shared" si="4"/>
        <v>5.6366666666666667</v>
      </c>
      <c r="L72" s="7" t="s">
        <v>103</v>
      </c>
      <c r="M72" s="7" t="str">
        <f t="shared" si="5"/>
        <v>Complete (3 of 3)</v>
      </c>
    </row>
    <row r="73" spans="1:13" x14ac:dyDescent="0.35">
      <c r="A73" s="7">
        <v>2025</v>
      </c>
      <c r="B73" s="7" t="s">
        <v>12</v>
      </c>
      <c r="C73" s="7" t="s">
        <v>71</v>
      </c>
      <c r="D73" s="8">
        <v>45688</v>
      </c>
      <c r="E73" s="8">
        <v>45716</v>
      </c>
      <c r="F73" s="8">
        <v>45747</v>
      </c>
      <c r="G73" s="9">
        <v>4.0599999999999996</v>
      </c>
      <c r="H73" s="9">
        <v>3.49</v>
      </c>
      <c r="I73" s="9">
        <v>3.56</v>
      </c>
      <c r="J73" s="7">
        <f t="shared" si="3"/>
        <v>3</v>
      </c>
      <c r="K73" s="10">
        <f t="shared" si="4"/>
        <v>3.7033333333333331</v>
      </c>
      <c r="L73" s="7" t="s">
        <v>104</v>
      </c>
      <c r="M73" s="7" t="str">
        <f t="shared" si="5"/>
        <v>Complete (3 of 3)</v>
      </c>
    </row>
    <row r="74" spans="1:13" x14ac:dyDescent="0.35">
      <c r="A74" s="7">
        <v>2025</v>
      </c>
      <c r="B74" s="7" t="s">
        <v>15</v>
      </c>
      <c r="C74" s="7" t="s">
        <v>71</v>
      </c>
      <c r="D74" s="8">
        <v>45777</v>
      </c>
      <c r="E74" s="8">
        <v>45808</v>
      </c>
      <c r="F74" s="8">
        <v>45838</v>
      </c>
      <c r="G74" s="9">
        <v>3.34</v>
      </c>
      <c r="H74" s="9">
        <v>3.03</v>
      </c>
      <c r="I74" s="9">
        <v>2.31</v>
      </c>
      <c r="J74" s="7">
        <f t="shared" si="3"/>
        <v>3</v>
      </c>
      <c r="K74" s="10">
        <f t="shared" si="4"/>
        <v>2.8933333333333331</v>
      </c>
      <c r="L74" s="7" t="s">
        <v>105</v>
      </c>
      <c r="M74" s="7" t="str">
        <f t="shared" si="5"/>
        <v>Complete (3 of 3)</v>
      </c>
    </row>
    <row r="75" spans="1:13" x14ac:dyDescent="0.35">
      <c r="A75" s="7">
        <v>2025</v>
      </c>
      <c r="B75" s="7" t="s">
        <v>16</v>
      </c>
      <c r="C75" s="7" t="s">
        <v>71</v>
      </c>
      <c r="D75" s="8">
        <v>45869</v>
      </c>
      <c r="E75" s="8">
        <v>45900</v>
      </c>
      <c r="F75" s="8">
        <v>45930</v>
      </c>
      <c r="G75" s="9">
        <v>1.62</v>
      </c>
      <c r="H75" s="9">
        <v>2.0099999999999998</v>
      </c>
      <c r="I75" s="9">
        <v>1.41</v>
      </c>
      <c r="J75" s="7">
        <f t="shared" si="3"/>
        <v>3</v>
      </c>
      <c r="K75" s="10">
        <f t="shared" si="4"/>
        <v>1.68</v>
      </c>
      <c r="L75" s="7" t="s">
        <v>106</v>
      </c>
      <c r="M75" s="7" t="str">
        <f t="shared" si="5"/>
        <v>Complete (3 of 3)</v>
      </c>
    </row>
    <row r="76" spans="1:13" x14ac:dyDescent="0.35">
      <c r="A76" s="7">
        <v>2025</v>
      </c>
      <c r="B76" s="7" t="s">
        <v>18</v>
      </c>
      <c r="C76" s="7" t="s">
        <v>71</v>
      </c>
      <c r="D76" s="8">
        <v>45961</v>
      </c>
      <c r="E76" s="8">
        <v>45991</v>
      </c>
      <c r="F76" s="8">
        <v>46022</v>
      </c>
      <c r="G76" s="9">
        <v>0.04</v>
      </c>
      <c r="H76" s="9">
        <v>0.49</v>
      </c>
      <c r="I76" s="9">
        <v>1.17</v>
      </c>
      <c r="J76" s="7">
        <f t="shared" si="3"/>
        <v>3</v>
      </c>
      <c r="K76" s="10">
        <f t="shared" si="4"/>
        <v>0.56666666666666665</v>
      </c>
      <c r="L76" s="7" t="s">
        <v>107</v>
      </c>
      <c r="M76" s="7" t="str">
        <f t="shared" si="5"/>
        <v>Complete (3 of 3)</v>
      </c>
    </row>
    <row r="77" spans="1:13" x14ac:dyDescent="0.35">
      <c r="A77" s="7">
        <v>2026</v>
      </c>
      <c r="B77" s="7" t="s">
        <v>12</v>
      </c>
      <c r="C77" s="7" t="s">
        <v>71</v>
      </c>
      <c r="D77" s="8">
        <v>46053</v>
      </c>
      <c r="E77" s="8">
        <v>46081</v>
      </c>
      <c r="F77" s="8">
        <v>46112</v>
      </c>
      <c r="G77" s="9">
        <v>2.74</v>
      </c>
      <c r="H77" s="9">
        <v>3.21</v>
      </c>
      <c r="I77" s="9">
        <v>3.4</v>
      </c>
      <c r="J77" s="7">
        <f t="shared" si="3"/>
        <v>3</v>
      </c>
      <c r="K77" s="10">
        <f t="shared" si="4"/>
        <v>3.1166666666666667</v>
      </c>
      <c r="L77" s="7" t="s">
        <v>108</v>
      </c>
      <c r="M77" s="7" t="str">
        <f t="shared" si="5"/>
        <v>Complete (3 of 3)</v>
      </c>
    </row>
    <row r="78" spans="1:13" x14ac:dyDescent="0.35">
      <c r="A78" s="7">
        <v>2026</v>
      </c>
      <c r="B78" s="7" t="s">
        <v>15</v>
      </c>
      <c r="C78" s="7" t="s">
        <v>71</v>
      </c>
      <c r="D78" s="8">
        <v>46142</v>
      </c>
      <c r="E78" s="8">
        <v>46173</v>
      </c>
      <c r="F78" s="8">
        <v>46203</v>
      </c>
      <c r="G78" s="9">
        <v>3.48</v>
      </c>
      <c r="H78" s="9">
        <v>3.93</v>
      </c>
      <c r="I78" s="9">
        <v>4.38</v>
      </c>
      <c r="J78" s="7">
        <f t="shared" si="3"/>
        <v>3</v>
      </c>
      <c r="K78" s="10">
        <f t="shared" si="4"/>
        <v>3.9299999999999997</v>
      </c>
      <c r="L78" s="7" t="s">
        <v>109</v>
      </c>
      <c r="M78" s="7" t="str">
        <f t="shared" si="5"/>
        <v>Complete (3 of 3)</v>
      </c>
    </row>
    <row r="79" spans="1:13" x14ac:dyDescent="0.35">
      <c r="A79" s="7">
        <v>2026</v>
      </c>
      <c r="B79" s="7" t="s">
        <v>16</v>
      </c>
      <c r="C79" s="7" t="s">
        <v>71</v>
      </c>
      <c r="D79" s="8">
        <v>46234</v>
      </c>
      <c r="E79" s="8">
        <v>46264</v>
      </c>
      <c r="F79" s="8">
        <v>46295</v>
      </c>
      <c r="G79" s="9">
        <v>4.45</v>
      </c>
      <c r="H79" s="9">
        <v>4.83</v>
      </c>
      <c r="I79" s="9">
        <v>5.54</v>
      </c>
      <c r="J79" s="7">
        <f t="shared" si="3"/>
        <v>3</v>
      </c>
      <c r="K79" s="10">
        <f t="shared" si="4"/>
        <v>4.9400000000000004</v>
      </c>
      <c r="L79" s="7" t="s">
        <v>110</v>
      </c>
      <c r="M79" s="7" t="str">
        <f t="shared" si="5"/>
        <v>Complete (3 of 3)</v>
      </c>
    </row>
    <row r="80" spans="1:13" x14ac:dyDescent="0.35">
      <c r="A80" s="7">
        <v>2017</v>
      </c>
      <c r="B80" s="7" t="s">
        <v>12</v>
      </c>
      <c r="C80" s="7" t="s">
        <v>111</v>
      </c>
      <c r="D80" s="8">
        <v>42766</v>
      </c>
      <c r="E80" s="8">
        <v>42794</v>
      </c>
      <c r="F80" s="8">
        <v>42825</v>
      </c>
      <c r="G80" s="9">
        <v>4.26</v>
      </c>
      <c r="H80" s="9">
        <v>5.51</v>
      </c>
      <c r="I80" s="9">
        <v>5.1100000000000003</v>
      </c>
      <c r="J80" s="7">
        <f t="shared" si="3"/>
        <v>3</v>
      </c>
      <c r="K80" s="10">
        <f t="shared" si="4"/>
        <v>4.96</v>
      </c>
      <c r="L80" s="7" t="s">
        <v>112</v>
      </c>
      <c r="M80" s="7" t="str">
        <f t="shared" si="5"/>
        <v>Complete (3 of 3)</v>
      </c>
    </row>
    <row r="81" spans="1:13" x14ac:dyDescent="0.35">
      <c r="A81" s="7">
        <v>2017</v>
      </c>
      <c r="B81" s="7" t="s">
        <v>15</v>
      </c>
      <c r="C81" s="7" t="s">
        <v>111</v>
      </c>
      <c r="D81" s="8">
        <v>42855</v>
      </c>
      <c r="E81" s="8">
        <v>42886</v>
      </c>
      <c r="F81" s="8">
        <v>42916</v>
      </c>
      <c r="G81" s="9">
        <v>3.85</v>
      </c>
      <c r="H81" s="9">
        <v>2.2599999999999998</v>
      </c>
      <c r="I81" s="9">
        <v>0.9</v>
      </c>
      <c r="J81" s="7">
        <f t="shared" si="3"/>
        <v>3</v>
      </c>
      <c r="K81" s="10">
        <f t="shared" si="4"/>
        <v>2.3366666666666664</v>
      </c>
      <c r="L81" s="7" t="s">
        <v>113</v>
      </c>
      <c r="M81" s="7" t="str">
        <f t="shared" si="5"/>
        <v>Complete (3 of 3)</v>
      </c>
    </row>
    <row r="82" spans="1:13" x14ac:dyDescent="0.35">
      <c r="A82" s="7">
        <v>2017</v>
      </c>
      <c r="B82" s="7" t="s">
        <v>16</v>
      </c>
      <c r="C82" s="7" t="s">
        <v>111</v>
      </c>
      <c r="D82" s="8">
        <v>42947</v>
      </c>
      <c r="E82" s="8">
        <v>42978</v>
      </c>
      <c r="F82" s="8">
        <v>43008</v>
      </c>
      <c r="G82" s="9">
        <v>1.88</v>
      </c>
      <c r="H82" s="9">
        <v>3.24</v>
      </c>
      <c r="I82" s="9">
        <v>3.14</v>
      </c>
      <c r="J82" s="7">
        <f t="shared" si="3"/>
        <v>3</v>
      </c>
      <c r="K82" s="10">
        <f t="shared" si="4"/>
        <v>2.7533333333333334</v>
      </c>
      <c r="L82" s="7" t="s">
        <v>114</v>
      </c>
      <c r="M82" s="7" t="str">
        <f t="shared" si="5"/>
        <v>Complete (3 of 3)</v>
      </c>
    </row>
    <row r="83" spans="1:13" x14ac:dyDescent="0.35">
      <c r="A83" s="7">
        <v>2017</v>
      </c>
      <c r="B83" s="7" t="s">
        <v>18</v>
      </c>
      <c r="C83" s="7" t="s">
        <v>111</v>
      </c>
      <c r="D83" s="8">
        <v>43039</v>
      </c>
      <c r="E83" s="8">
        <v>43069</v>
      </c>
      <c r="F83" s="8">
        <v>43100</v>
      </c>
      <c r="G83" s="9">
        <v>3.68</v>
      </c>
      <c r="H83" s="9">
        <v>4.0199999999999996</v>
      </c>
      <c r="I83" s="9">
        <v>3.58</v>
      </c>
      <c r="J83" s="7">
        <f t="shared" si="3"/>
        <v>3</v>
      </c>
      <c r="K83" s="10">
        <f t="shared" si="4"/>
        <v>3.76</v>
      </c>
      <c r="L83" s="7" t="s">
        <v>115</v>
      </c>
      <c r="M83" s="7" t="str">
        <f t="shared" si="5"/>
        <v>Complete (3 of 3)</v>
      </c>
    </row>
    <row r="84" spans="1:13" x14ac:dyDescent="0.35">
      <c r="A84" s="7">
        <v>2018</v>
      </c>
      <c r="B84" s="7" t="s">
        <v>12</v>
      </c>
      <c r="C84" s="7" t="s">
        <v>111</v>
      </c>
      <c r="D84" s="8">
        <v>43131</v>
      </c>
      <c r="E84" s="8">
        <v>43159</v>
      </c>
      <c r="F84" s="8">
        <v>43190</v>
      </c>
      <c r="G84" s="9">
        <v>3.02</v>
      </c>
      <c r="H84" s="9">
        <v>2.74</v>
      </c>
      <c r="I84" s="9">
        <v>2.74</v>
      </c>
      <c r="J84" s="7">
        <f t="shared" si="3"/>
        <v>3</v>
      </c>
      <c r="K84" s="10">
        <f t="shared" si="4"/>
        <v>2.8333333333333335</v>
      </c>
      <c r="L84" s="7" t="s">
        <v>116</v>
      </c>
      <c r="M84" s="7" t="str">
        <f t="shared" si="5"/>
        <v>Complete (3 of 3)</v>
      </c>
    </row>
    <row r="85" spans="1:13" x14ac:dyDescent="0.35">
      <c r="A85" s="7">
        <v>2018</v>
      </c>
      <c r="B85" s="7" t="s">
        <v>15</v>
      </c>
      <c r="C85" s="7" t="s">
        <v>111</v>
      </c>
      <c r="D85" s="8">
        <v>43220</v>
      </c>
      <c r="E85" s="8">
        <v>43251</v>
      </c>
      <c r="F85" s="8">
        <v>43281</v>
      </c>
      <c r="G85" s="9">
        <v>3.62</v>
      </c>
      <c r="H85" s="9">
        <v>4.78</v>
      </c>
      <c r="I85" s="9">
        <v>5.68</v>
      </c>
      <c r="J85" s="7">
        <f t="shared" si="3"/>
        <v>3</v>
      </c>
      <c r="K85" s="10">
        <f t="shared" si="4"/>
        <v>4.6933333333333334</v>
      </c>
      <c r="L85" s="7" t="s">
        <v>117</v>
      </c>
      <c r="M85" s="7" t="str">
        <f t="shared" si="5"/>
        <v>Complete (3 of 3)</v>
      </c>
    </row>
    <row r="86" spans="1:13" x14ac:dyDescent="0.35">
      <c r="A86" s="7">
        <v>2018</v>
      </c>
      <c r="B86" s="7" t="s">
        <v>16</v>
      </c>
      <c r="C86" s="7" t="s">
        <v>111</v>
      </c>
      <c r="D86" s="8">
        <v>43312</v>
      </c>
      <c r="E86" s="8">
        <v>43343</v>
      </c>
      <c r="F86" s="8">
        <v>43373</v>
      </c>
      <c r="G86" s="9">
        <v>5.27</v>
      </c>
      <c r="H86" s="9">
        <v>4.62</v>
      </c>
      <c r="I86" s="9">
        <v>5.22</v>
      </c>
      <c r="J86" s="7">
        <f t="shared" si="3"/>
        <v>3</v>
      </c>
      <c r="K86" s="10">
        <f t="shared" si="4"/>
        <v>5.0366666666666662</v>
      </c>
      <c r="L86" s="7" t="s">
        <v>118</v>
      </c>
      <c r="M86" s="7" t="str">
        <f t="shared" si="5"/>
        <v>Complete (3 of 3)</v>
      </c>
    </row>
    <row r="87" spans="1:13" x14ac:dyDescent="0.35">
      <c r="A87" s="7">
        <v>2018</v>
      </c>
      <c r="B87" s="7" t="s">
        <v>18</v>
      </c>
      <c r="C87" s="7" t="s">
        <v>111</v>
      </c>
      <c r="D87" s="8">
        <v>43404</v>
      </c>
      <c r="E87" s="8">
        <v>43434</v>
      </c>
      <c r="F87" s="8">
        <v>43465</v>
      </c>
      <c r="G87" s="9">
        <v>5.54</v>
      </c>
      <c r="H87" s="9">
        <v>4.47</v>
      </c>
      <c r="I87" s="9">
        <v>3.46</v>
      </c>
      <c r="J87" s="7">
        <f t="shared" si="3"/>
        <v>3</v>
      </c>
      <c r="K87" s="10">
        <f t="shared" si="4"/>
        <v>4.4899999999999993</v>
      </c>
      <c r="L87" s="7" t="s">
        <v>119</v>
      </c>
      <c r="M87" s="7" t="str">
        <f t="shared" si="5"/>
        <v>Complete (3 of 3)</v>
      </c>
    </row>
    <row r="88" spans="1:13" x14ac:dyDescent="0.35">
      <c r="A88" s="7">
        <v>2019</v>
      </c>
      <c r="B88" s="7" t="s">
        <v>12</v>
      </c>
      <c r="C88" s="7" t="s">
        <v>111</v>
      </c>
      <c r="D88" s="8">
        <v>43496</v>
      </c>
      <c r="E88" s="8">
        <v>43524</v>
      </c>
      <c r="F88" s="8">
        <v>43555</v>
      </c>
      <c r="G88" s="9">
        <v>2.76</v>
      </c>
      <c r="H88" s="9">
        <v>2.93</v>
      </c>
      <c r="I88" s="9">
        <v>3.1</v>
      </c>
      <c r="J88" s="7">
        <f t="shared" si="3"/>
        <v>3</v>
      </c>
      <c r="K88" s="10">
        <f t="shared" si="4"/>
        <v>2.9299999999999997</v>
      </c>
      <c r="L88" s="7" t="s">
        <v>120</v>
      </c>
      <c r="M88" s="7" t="str">
        <f t="shared" si="5"/>
        <v>Complete (3 of 3)</v>
      </c>
    </row>
    <row r="89" spans="1:13" x14ac:dyDescent="0.35">
      <c r="A89" s="7">
        <v>2019</v>
      </c>
      <c r="B89" s="7" t="s">
        <v>15</v>
      </c>
      <c r="C89" s="7" t="s">
        <v>111</v>
      </c>
      <c r="D89" s="8">
        <v>43585</v>
      </c>
      <c r="E89" s="8">
        <v>43616</v>
      </c>
      <c r="F89" s="8">
        <v>43646</v>
      </c>
      <c r="G89" s="9">
        <v>3.24</v>
      </c>
      <c r="H89" s="9">
        <v>2.79</v>
      </c>
      <c r="I89" s="9">
        <v>2.02</v>
      </c>
      <c r="J89" s="7">
        <f t="shared" si="3"/>
        <v>3</v>
      </c>
      <c r="K89" s="10">
        <f t="shared" si="4"/>
        <v>2.6833333333333336</v>
      </c>
      <c r="L89" s="7" t="s">
        <v>121</v>
      </c>
      <c r="M89" s="7" t="str">
        <f t="shared" si="5"/>
        <v>Complete (3 of 3)</v>
      </c>
    </row>
    <row r="90" spans="1:13" x14ac:dyDescent="0.35">
      <c r="A90" s="7">
        <v>2019</v>
      </c>
      <c r="B90" s="7" t="s">
        <v>16</v>
      </c>
      <c r="C90" s="7" t="s">
        <v>111</v>
      </c>
      <c r="D90" s="8">
        <v>43677</v>
      </c>
      <c r="E90" s="8">
        <v>43708</v>
      </c>
      <c r="F90" s="8">
        <v>43738</v>
      </c>
      <c r="G90" s="9">
        <v>1.17</v>
      </c>
      <c r="H90" s="9">
        <v>1.17</v>
      </c>
      <c r="I90" s="9">
        <v>0.33</v>
      </c>
      <c r="J90" s="7">
        <f t="shared" si="3"/>
        <v>3</v>
      </c>
      <c r="K90" s="10">
        <f t="shared" si="4"/>
        <v>0.89</v>
      </c>
      <c r="L90" s="7" t="s">
        <v>122</v>
      </c>
      <c r="M90" s="7" t="str">
        <f t="shared" si="5"/>
        <v>Complete (3 of 3)</v>
      </c>
    </row>
    <row r="91" spans="1:13" x14ac:dyDescent="0.35">
      <c r="A91" s="7">
        <v>2019</v>
      </c>
      <c r="B91" s="7" t="s">
        <v>18</v>
      </c>
      <c r="C91" s="7" t="s">
        <v>111</v>
      </c>
      <c r="D91" s="8">
        <v>43769</v>
      </c>
      <c r="E91" s="8">
        <v>43799</v>
      </c>
      <c r="F91" s="8">
        <v>43830</v>
      </c>
      <c r="G91" s="9">
        <v>0</v>
      </c>
      <c r="H91" s="9">
        <v>0.57999999999999996</v>
      </c>
      <c r="I91" s="9">
        <v>2.76</v>
      </c>
      <c r="J91" s="7">
        <f t="shared" si="3"/>
        <v>3</v>
      </c>
      <c r="K91" s="10">
        <f t="shared" si="4"/>
        <v>1.1133333333333333</v>
      </c>
      <c r="L91" s="7" t="s">
        <v>123</v>
      </c>
      <c r="M91" s="7" t="str">
        <f t="shared" si="5"/>
        <v>Complete (3 of 3)</v>
      </c>
    </row>
    <row r="92" spans="1:13" x14ac:dyDescent="0.35">
      <c r="A92" s="7">
        <v>2020</v>
      </c>
      <c r="B92" s="7" t="s">
        <v>12</v>
      </c>
      <c r="C92" s="7" t="s">
        <v>111</v>
      </c>
      <c r="D92" s="8">
        <v>43861</v>
      </c>
      <c r="E92" s="8">
        <v>43890</v>
      </c>
      <c r="F92" s="8">
        <v>43921</v>
      </c>
      <c r="G92" s="9">
        <v>3.52</v>
      </c>
      <c r="H92" s="9">
        <v>2.2599999999999998</v>
      </c>
      <c r="I92" s="9">
        <v>0.42</v>
      </c>
      <c r="J92" s="7">
        <f t="shared" si="3"/>
        <v>3</v>
      </c>
      <c r="K92" s="10">
        <f t="shared" si="4"/>
        <v>2.0666666666666664</v>
      </c>
      <c r="L92" s="7" t="s">
        <v>124</v>
      </c>
      <c r="M92" s="7" t="str">
        <f t="shared" si="5"/>
        <v>Complete (3 of 3)</v>
      </c>
    </row>
    <row r="93" spans="1:13" x14ac:dyDescent="0.35">
      <c r="A93" s="7">
        <v>2020</v>
      </c>
      <c r="B93" s="7" t="s">
        <v>15</v>
      </c>
      <c r="C93" s="7" t="s">
        <v>111</v>
      </c>
      <c r="D93" s="8">
        <v>43951</v>
      </c>
      <c r="E93" s="8">
        <v>43982</v>
      </c>
      <c r="F93" s="8">
        <v>44012</v>
      </c>
      <c r="G93" s="9">
        <v>-1.57</v>
      </c>
      <c r="H93" s="9">
        <v>-3.37</v>
      </c>
      <c r="I93" s="9">
        <v>-1.81</v>
      </c>
      <c r="J93" s="7">
        <f t="shared" si="3"/>
        <v>3</v>
      </c>
      <c r="K93" s="10">
        <f t="shared" si="4"/>
        <v>-2.25</v>
      </c>
      <c r="L93" s="7" t="s">
        <v>125</v>
      </c>
      <c r="M93" s="7" t="str">
        <f t="shared" si="5"/>
        <v>Complete (3 of 3)</v>
      </c>
    </row>
    <row r="94" spans="1:13" x14ac:dyDescent="0.35">
      <c r="A94" s="7">
        <v>2020</v>
      </c>
      <c r="B94" s="7" t="s">
        <v>16</v>
      </c>
      <c r="C94" s="7" t="s">
        <v>111</v>
      </c>
      <c r="D94" s="8">
        <v>44043</v>
      </c>
      <c r="E94" s="8">
        <v>44074</v>
      </c>
      <c r="F94" s="8">
        <v>44104</v>
      </c>
      <c r="G94" s="9">
        <v>-0.25</v>
      </c>
      <c r="H94" s="9">
        <v>0.41</v>
      </c>
      <c r="I94" s="9">
        <v>1.32</v>
      </c>
      <c r="J94" s="7">
        <f t="shared" si="3"/>
        <v>3</v>
      </c>
      <c r="K94" s="10">
        <f t="shared" si="4"/>
        <v>0.49333333333333335</v>
      </c>
      <c r="L94" s="7" t="s">
        <v>126</v>
      </c>
      <c r="M94" s="7" t="str">
        <f t="shared" si="5"/>
        <v>Complete (3 of 3)</v>
      </c>
    </row>
    <row r="95" spans="1:13" x14ac:dyDescent="0.35">
      <c r="A95" s="7">
        <v>2020</v>
      </c>
      <c r="B95" s="7" t="s">
        <v>18</v>
      </c>
      <c r="C95" s="7" t="s">
        <v>111</v>
      </c>
      <c r="D95" s="8">
        <v>44135</v>
      </c>
      <c r="E95" s="8">
        <v>44165</v>
      </c>
      <c r="F95" s="8">
        <v>44196</v>
      </c>
      <c r="G95" s="9">
        <v>1.31</v>
      </c>
      <c r="H95" s="9">
        <v>2.29</v>
      </c>
      <c r="I95" s="9">
        <v>1.95</v>
      </c>
      <c r="J95" s="7">
        <f t="shared" si="3"/>
        <v>3</v>
      </c>
      <c r="K95" s="10">
        <f t="shared" si="4"/>
        <v>1.8499999999999999</v>
      </c>
      <c r="L95" s="7" t="s">
        <v>127</v>
      </c>
      <c r="M95" s="7" t="str">
        <f t="shared" si="5"/>
        <v>Complete (3 of 3)</v>
      </c>
    </row>
    <row r="96" spans="1:13" x14ac:dyDescent="0.35">
      <c r="A96" s="7">
        <v>2021</v>
      </c>
      <c r="B96" s="7" t="s">
        <v>12</v>
      </c>
      <c r="C96" s="7" t="s">
        <v>111</v>
      </c>
      <c r="D96" s="8">
        <v>44227</v>
      </c>
      <c r="E96" s="8">
        <v>44255</v>
      </c>
      <c r="F96" s="8">
        <v>44286</v>
      </c>
      <c r="G96" s="9">
        <v>2.5099999999999998</v>
      </c>
      <c r="H96" s="9">
        <v>4.83</v>
      </c>
      <c r="I96" s="9">
        <v>7.89</v>
      </c>
      <c r="J96" s="7">
        <f t="shared" si="3"/>
        <v>3</v>
      </c>
      <c r="K96" s="10">
        <f t="shared" si="4"/>
        <v>5.0766666666666671</v>
      </c>
      <c r="L96" s="7" t="s">
        <v>128</v>
      </c>
      <c r="M96" s="7" t="str">
        <f t="shared" si="5"/>
        <v>Complete (3 of 3)</v>
      </c>
    </row>
    <row r="97" spans="1:13" x14ac:dyDescent="0.35">
      <c r="A97" s="7">
        <v>2021</v>
      </c>
      <c r="B97" s="7" t="s">
        <v>15</v>
      </c>
      <c r="C97" s="7" t="s">
        <v>111</v>
      </c>
      <c r="D97" s="8">
        <v>44316</v>
      </c>
      <c r="E97" s="8">
        <v>44347</v>
      </c>
      <c r="F97" s="8">
        <v>44377</v>
      </c>
      <c r="G97" s="9">
        <v>10.74</v>
      </c>
      <c r="H97" s="9">
        <v>13.11</v>
      </c>
      <c r="I97" s="9">
        <v>12.07</v>
      </c>
      <c r="J97" s="7">
        <f t="shared" si="3"/>
        <v>3</v>
      </c>
      <c r="K97" s="10">
        <f t="shared" si="4"/>
        <v>11.973333333333334</v>
      </c>
      <c r="L97" s="7" t="s">
        <v>129</v>
      </c>
      <c r="M97" s="7" t="str">
        <f t="shared" si="5"/>
        <v>Complete (3 of 3)</v>
      </c>
    </row>
    <row r="98" spans="1:13" x14ac:dyDescent="0.35">
      <c r="A98" s="7">
        <v>2021</v>
      </c>
      <c r="B98" s="7" t="s">
        <v>16</v>
      </c>
      <c r="C98" s="7" t="s">
        <v>111</v>
      </c>
      <c r="D98" s="8">
        <v>44408</v>
      </c>
      <c r="E98" s="8">
        <v>44439</v>
      </c>
      <c r="F98" s="8">
        <v>44469</v>
      </c>
      <c r="G98" s="9">
        <v>11.57</v>
      </c>
      <c r="H98" s="9">
        <v>11.64</v>
      </c>
      <c r="I98" s="9">
        <v>11.8</v>
      </c>
      <c r="J98" s="7">
        <f t="shared" si="3"/>
        <v>3</v>
      </c>
      <c r="K98" s="10">
        <f t="shared" si="4"/>
        <v>11.670000000000002</v>
      </c>
      <c r="L98" s="7" t="s">
        <v>130</v>
      </c>
      <c r="M98" s="7" t="str">
        <f t="shared" si="5"/>
        <v>Complete (3 of 3)</v>
      </c>
    </row>
    <row r="99" spans="1:13" x14ac:dyDescent="0.35">
      <c r="A99" s="7">
        <v>2021</v>
      </c>
      <c r="B99" s="7" t="s">
        <v>18</v>
      </c>
      <c r="C99" s="7" t="s">
        <v>111</v>
      </c>
      <c r="D99" s="8">
        <v>44500</v>
      </c>
      <c r="E99" s="8">
        <v>44530</v>
      </c>
      <c r="F99" s="8">
        <v>44561</v>
      </c>
      <c r="G99" s="9">
        <v>13.83</v>
      </c>
      <c r="H99" s="9">
        <v>14.87</v>
      </c>
      <c r="I99" s="9">
        <v>14.27</v>
      </c>
      <c r="J99" s="7">
        <f t="shared" si="3"/>
        <v>3</v>
      </c>
      <c r="K99" s="10">
        <f t="shared" si="4"/>
        <v>14.323333333333332</v>
      </c>
      <c r="L99" s="7" t="s">
        <v>131</v>
      </c>
      <c r="M99" s="7" t="str">
        <f t="shared" si="5"/>
        <v>Complete (3 of 3)</v>
      </c>
    </row>
    <row r="100" spans="1:13" x14ac:dyDescent="0.35">
      <c r="A100" s="7">
        <v>2022</v>
      </c>
      <c r="B100" s="7" t="s">
        <v>12</v>
      </c>
      <c r="C100" s="7" t="s">
        <v>111</v>
      </c>
      <c r="D100" s="8">
        <v>44592</v>
      </c>
      <c r="E100" s="8">
        <v>44620</v>
      </c>
      <c r="F100" s="8">
        <v>44651</v>
      </c>
      <c r="G100" s="9">
        <v>13.68</v>
      </c>
      <c r="H100" s="9">
        <v>13.43</v>
      </c>
      <c r="I100" s="9">
        <v>14.63</v>
      </c>
      <c r="J100" s="7">
        <f t="shared" si="3"/>
        <v>3</v>
      </c>
      <c r="K100" s="10">
        <f t="shared" si="4"/>
        <v>13.913333333333334</v>
      </c>
      <c r="L100" s="7" t="s">
        <v>132</v>
      </c>
      <c r="M100" s="7" t="str">
        <f t="shared" si="5"/>
        <v>Complete (3 of 3)</v>
      </c>
    </row>
    <row r="101" spans="1:13" x14ac:dyDescent="0.35">
      <c r="A101" s="7">
        <v>2022</v>
      </c>
      <c r="B101" s="7" t="s">
        <v>15</v>
      </c>
      <c r="C101" s="7" t="s">
        <v>111</v>
      </c>
      <c r="D101" s="8">
        <v>44681</v>
      </c>
      <c r="E101" s="8">
        <v>44712</v>
      </c>
      <c r="F101" s="8">
        <v>44742</v>
      </c>
      <c r="G101" s="9">
        <v>15.38</v>
      </c>
      <c r="H101" s="9">
        <v>16.63</v>
      </c>
      <c r="I101" s="9">
        <v>16.23</v>
      </c>
      <c r="J101" s="7">
        <f t="shared" si="3"/>
        <v>3</v>
      </c>
      <c r="K101" s="10">
        <f t="shared" si="4"/>
        <v>16.079999999999998</v>
      </c>
      <c r="L101" s="7" t="s">
        <v>133</v>
      </c>
      <c r="M101" s="7" t="str">
        <f t="shared" si="5"/>
        <v>Complete (3 of 3)</v>
      </c>
    </row>
    <row r="102" spans="1:13" x14ac:dyDescent="0.35">
      <c r="A102" s="7">
        <v>2022</v>
      </c>
      <c r="B102" s="7" t="s">
        <v>16</v>
      </c>
      <c r="C102" s="7" t="s">
        <v>111</v>
      </c>
      <c r="D102" s="8">
        <v>44773</v>
      </c>
      <c r="E102" s="8">
        <v>44804</v>
      </c>
      <c r="F102" s="8">
        <v>44834</v>
      </c>
      <c r="G102" s="9">
        <v>14.07</v>
      </c>
      <c r="H102" s="9">
        <v>12.48</v>
      </c>
      <c r="I102" s="9">
        <v>10.55</v>
      </c>
      <c r="J102" s="7">
        <f t="shared" si="3"/>
        <v>3</v>
      </c>
      <c r="K102" s="10">
        <f t="shared" si="4"/>
        <v>12.366666666666667</v>
      </c>
      <c r="L102" s="7" t="s">
        <v>134</v>
      </c>
      <c r="M102" s="7" t="str">
        <f t="shared" si="5"/>
        <v>Complete (3 of 3)</v>
      </c>
    </row>
    <row r="103" spans="1:13" x14ac:dyDescent="0.35">
      <c r="A103" s="7">
        <v>2022</v>
      </c>
      <c r="B103" s="7" t="s">
        <v>18</v>
      </c>
      <c r="C103" s="7" t="s">
        <v>111</v>
      </c>
      <c r="D103" s="8">
        <v>44865</v>
      </c>
      <c r="E103" s="8">
        <v>44895</v>
      </c>
      <c r="F103" s="8">
        <v>44926</v>
      </c>
      <c r="G103" s="9">
        <v>8.67</v>
      </c>
      <c r="H103" s="9">
        <v>6.12</v>
      </c>
      <c r="I103" s="9">
        <v>5.0199999999999996</v>
      </c>
      <c r="J103" s="7">
        <f t="shared" si="3"/>
        <v>3</v>
      </c>
      <c r="K103" s="10">
        <f t="shared" si="4"/>
        <v>6.6033333333333326</v>
      </c>
      <c r="L103" s="7" t="s">
        <v>135</v>
      </c>
      <c r="M103" s="7" t="str">
        <f t="shared" si="5"/>
        <v>Complete (3 of 3)</v>
      </c>
    </row>
    <row r="104" spans="1:13" x14ac:dyDescent="0.35">
      <c r="A104" s="7">
        <v>2023</v>
      </c>
      <c r="B104" s="7" t="s">
        <v>12</v>
      </c>
      <c r="C104" s="7" t="s">
        <v>111</v>
      </c>
      <c r="D104" s="8">
        <v>44957</v>
      </c>
      <c r="E104" s="8">
        <v>44985</v>
      </c>
      <c r="F104" s="8">
        <v>45016</v>
      </c>
      <c r="G104" s="9">
        <v>4.8</v>
      </c>
      <c r="H104" s="9">
        <v>3.85</v>
      </c>
      <c r="I104" s="9">
        <v>1.41</v>
      </c>
      <c r="J104" s="7">
        <f t="shared" si="3"/>
        <v>3</v>
      </c>
      <c r="K104" s="10">
        <f t="shared" si="4"/>
        <v>3.3533333333333335</v>
      </c>
      <c r="L104" s="7" t="s">
        <v>136</v>
      </c>
      <c r="M104" s="7" t="str">
        <f t="shared" si="5"/>
        <v>Complete (3 of 3)</v>
      </c>
    </row>
    <row r="105" spans="1:13" x14ac:dyDescent="0.35">
      <c r="A105" s="7">
        <v>2023</v>
      </c>
      <c r="B105" s="7" t="s">
        <v>15</v>
      </c>
      <c r="C105" s="7" t="s">
        <v>111</v>
      </c>
      <c r="D105" s="8">
        <v>45046</v>
      </c>
      <c r="E105" s="8">
        <v>45077</v>
      </c>
      <c r="F105" s="8">
        <v>45107</v>
      </c>
      <c r="G105" s="9">
        <v>-0.79</v>
      </c>
      <c r="H105" s="9">
        <v>-3.61</v>
      </c>
      <c r="I105" s="9">
        <v>-4.18</v>
      </c>
      <c r="J105" s="7">
        <f t="shared" si="3"/>
        <v>3</v>
      </c>
      <c r="K105" s="10">
        <f t="shared" si="4"/>
        <v>-2.86</v>
      </c>
      <c r="L105" s="7" t="s">
        <v>137</v>
      </c>
      <c r="M105" s="7" t="str">
        <f t="shared" si="5"/>
        <v>Complete (3 of 3)</v>
      </c>
    </row>
    <row r="106" spans="1:13" x14ac:dyDescent="0.35">
      <c r="A106" s="7">
        <v>2023</v>
      </c>
      <c r="B106" s="7" t="s">
        <v>16</v>
      </c>
      <c r="C106" s="7" t="s">
        <v>111</v>
      </c>
      <c r="D106" s="8">
        <v>45138</v>
      </c>
      <c r="E106" s="8">
        <v>45169</v>
      </c>
      <c r="F106" s="8">
        <v>45199</v>
      </c>
      <c r="G106" s="9">
        <v>-1.23</v>
      </c>
      <c r="H106" s="9">
        <v>-0.46</v>
      </c>
      <c r="I106" s="9">
        <v>-7.0000000000000007E-2</v>
      </c>
      <c r="J106" s="7">
        <f t="shared" si="3"/>
        <v>3</v>
      </c>
      <c r="K106" s="10">
        <f t="shared" si="4"/>
        <v>-0.58666666666666667</v>
      </c>
      <c r="L106" s="7" t="s">
        <v>138</v>
      </c>
      <c r="M106" s="7" t="str">
        <f t="shared" si="5"/>
        <v>Complete (3 of 3)</v>
      </c>
    </row>
    <row r="107" spans="1:13" x14ac:dyDescent="0.35">
      <c r="A107" s="7">
        <v>2023</v>
      </c>
      <c r="B107" s="7" t="s">
        <v>18</v>
      </c>
      <c r="C107" s="7" t="s">
        <v>111</v>
      </c>
      <c r="D107" s="8">
        <v>45230</v>
      </c>
      <c r="E107" s="8">
        <v>45260</v>
      </c>
      <c r="F107" s="8">
        <v>45291</v>
      </c>
      <c r="G107" s="9">
        <v>-0.26</v>
      </c>
      <c r="H107" s="9">
        <v>0.39</v>
      </c>
      <c r="I107" s="9">
        <v>0.86</v>
      </c>
      <c r="J107" s="7">
        <f t="shared" si="3"/>
        <v>3</v>
      </c>
      <c r="K107" s="10">
        <f t="shared" si="4"/>
        <v>0.33</v>
      </c>
      <c r="L107" s="7" t="s">
        <v>139</v>
      </c>
      <c r="M107" s="7" t="str">
        <f t="shared" si="5"/>
        <v>Complete (3 of 3)</v>
      </c>
    </row>
    <row r="108" spans="1:13" x14ac:dyDescent="0.35">
      <c r="A108" s="7">
        <v>2024</v>
      </c>
      <c r="B108" s="7" t="s">
        <v>12</v>
      </c>
      <c r="C108" s="7" t="s">
        <v>111</v>
      </c>
      <c r="D108" s="8">
        <v>45322</v>
      </c>
      <c r="E108" s="8">
        <v>45351</v>
      </c>
      <c r="F108" s="8">
        <v>45382</v>
      </c>
      <c r="G108" s="9">
        <v>0.33</v>
      </c>
      <c r="H108" s="9">
        <v>0.2</v>
      </c>
      <c r="I108" s="9">
        <v>0.26</v>
      </c>
      <c r="J108" s="7">
        <f t="shared" si="3"/>
        <v>3</v>
      </c>
      <c r="K108" s="10">
        <f t="shared" si="4"/>
        <v>0.26333333333333336</v>
      </c>
      <c r="L108" s="7" t="s">
        <v>140</v>
      </c>
      <c r="M108" s="7" t="str">
        <f t="shared" si="5"/>
        <v>Complete (3 of 3)</v>
      </c>
    </row>
    <row r="109" spans="1:13" x14ac:dyDescent="0.35">
      <c r="A109" s="7">
        <v>2024</v>
      </c>
      <c r="B109" s="7" t="s">
        <v>15</v>
      </c>
      <c r="C109" s="7" t="s">
        <v>111</v>
      </c>
      <c r="D109" s="8">
        <v>45412</v>
      </c>
      <c r="E109" s="8">
        <v>45443</v>
      </c>
      <c r="F109" s="8">
        <v>45473</v>
      </c>
      <c r="G109" s="9">
        <v>0.91</v>
      </c>
      <c r="H109" s="9">
        <v>1.83</v>
      </c>
      <c r="I109" s="9">
        <v>2.44</v>
      </c>
      <c r="J109" s="7">
        <f t="shared" si="3"/>
        <v>3</v>
      </c>
      <c r="K109" s="10">
        <f t="shared" si="4"/>
        <v>1.7266666666666666</v>
      </c>
      <c r="L109" s="7" t="s">
        <v>141</v>
      </c>
      <c r="M109" s="7" t="str">
        <f t="shared" si="5"/>
        <v>Complete (3 of 3)</v>
      </c>
    </row>
    <row r="110" spans="1:13" x14ac:dyDescent="0.35">
      <c r="A110" s="7">
        <v>2024</v>
      </c>
      <c r="B110" s="7" t="s">
        <v>16</v>
      </c>
      <c r="C110" s="7" t="s">
        <v>111</v>
      </c>
      <c r="D110" s="8">
        <v>45504</v>
      </c>
      <c r="E110" s="8">
        <v>45535</v>
      </c>
      <c r="F110" s="8">
        <v>45565</v>
      </c>
      <c r="G110" s="9">
        <v>1.92</v>
      </c>
      <c r="H110" s="9">
        <v>1.31</v>
      </c>
      <c r="I110" s="9">
        <v>1.61</v>
      </c>
      <c r="J110" s="7">
        <f t="shared" si="3"/>
        <v>3</v>
      </c>
      <c r="K110" s="10">
        <f t="shared" si="4"/>
        <v>1.6133333333333333</v>
      </c>
      <c r="L110" s="7" t="s">
        <v>142</v>
      </c>
      <c r="M110" s="7" t="str">
        <f t="shared" si="5"/>
        <v>Complete (3 of 3)</v>
      </c>
    </row>
    <row r="111" spans="1:13" x14ac:dyDescent="0.35">
      <c r="A111" s="7">
        <v>2024</v>
      </c>
      <c r="B111" s="7" t="s">
        <v>18</v>
      </c>
      <c r="C111" s="7" t="s">
        <v>111</v>
      </c>
      <c r="D111" s="8">
        <v>45596</v>
      </c>
      <c r="E111" s="8">
        <v>45626</v>
      </c>
      <c r="F111" s="8">
        <v>45657</v>
      </c>
      <c r="G111" s="9">
        <v>2</v>
      </c>
      <c r="H111" s="9">
        <v>2</v>
      </c>
      <c r="I111" s="9">
        <v>2.21</v>
      </c>
      <c r="J111" s="7">
        <f t="shared" si="3"/>
        <v>3</v>
      </c>
      <c r="K111" s="10">
        <f t="shared" si="4"/>
        <v>2.0699999999999998</v>
      </c>
      <c r="L111" s="7" t="s">
        <v>143</v>
      </c>
      <c r="M111" s="7" t="str">
        <f t="shared" si="5"/>
        <v>Complete (3 of 3)</v>
      </c>
    </row>
    <row r="112" spans="1:13" x14ac:dyDescent="0.35">
      <c r="A112" s="7">
        <v>2025</v>
      </c>
      <c r="B112" s="7" t="s">
        <v>12</v>
      </c>
      <c r="C112" s="7" t="s">
        <v>111</v>
      </c>
      <c r="D112" s="8">
        <v>45688</v>
      </c>
      <c r="E112" s="8">
        <v>45716</v>
      </c>
      <c r="F112" s="8">
        <v>45747</v>
      </c>
      <c r="G112" s="9">
        <v>1.81</v>
      </c>
      <c r="H112" s="9">
        <v>1.61</v>
      </c>
      <c r="I112" s="9">
        <v>1.21</v>
      </c>
      <c r="J112" s="7">
        <f t="shared" si="3"/>
        <v>3</v>
      </c>
      <c r="K112" s="10">
        <f t="shared" si="4"/>
        <v>1.5433333333333332</v>
      </c>
      <c r="L112" s="7" t="s">
        <v>144</v>
      </c>
      <c r="M112" s="7" t="str">
        <f t="shared" si="5"/>
        <v>Complete (3 of 3)</v>
      </c>
    </row>
    <row r="113" spans="1:13" x14ac:dyDescent="0.35">
      <c r="A113" s="7">
        <v>2025</v>
      </c>
      <c r="B113" s="7" t="s">
        <v>15</v>
      </c>
      <c r="C113" s="7" t="s">
        <v>111</v>
      </c>
      <c r="D113" s="8">
        <v>45777</v>
      </c>
      <c r="E113" s="8">
        <v>45808</v>
      </c>
      <c r="F113" s="8">
        <v>45838</v>
      </c>
      <c r="G113" s="9">
        <v>0.6</v>
      </c>
      <c r="H113" s="9">
        <v>-0.2</v>
      </c>
      <c r="I113" s="9">
        <v>-0.4</v>
      </c>
      <c r="J113" s="7">
        <f t="shared" si="3"/>
        <v>3</v>
      </c>
      <c r="K113" s="10">
        <f t="shared" si="4"/>
        <v>0</v>
      </c>
      <c r="L113" s="7" t="s">
        <v>145</v>
      </c>
      <c r="M113" s="7" t="str">
        <f t="shared" si="5"/>
        <v>Complete (3 of 3)</v>
      </c>
    </row>
    <row r="114" spans="1:13" x14ac:dyDescent="0.35">
      <c r="A114" s="7">
        <v>2025</v>
      </c>
      <c r="B114" s="7" t="s">
        <v>16</v>
      </c>
      <c r="C114" s="7" t="s">
        <v>111</v>
      </c>
      <c r="D114" s="8">
        <v>45869</v>
      </c>
      <c r="E114" s="8">
        <v>45900</v>
      </c>
      <c r="F114" s="8">
        <v>45930</v>
      </c>
      <c r="G114" s="9">
        <v>-0.79</v>
      </c>
      <c r="H114" s="9">
        <v>0</v>
      </c>
      <c r="I114" s="9">
        <v>-0.2</v>
      </c>
      <c r="J114" s="7">
        <f t="shared" si="3"/>
        <v>3</v>
      </c>
      <c r="K114" s="10">
        <f t="shared" si="4"/>
        <v>-0.33</v>
      </c>
      <c r="L114" s="7" t="s">
        <v>146</v>
      </c>
      <c r="M114" s="7" t="str">
        <f t="shared" si="5"/>
        <v>Complete (3 of 3)</v>
      </c>
    </row>
    <row r="115" spans="1:13" x14ac:dyDescent="0.35">
      <c r="A115" s="7">
        <v>2025</v>
      </c>
      <c r="B115" s="7" t="s">
        <v>18</v>
      </c>
      <c r="C115" s="7" t="s">
        <v>111</v>
      </c>
      <c r="D115" s="8">
        <v>45961</v>
      </c>
      <c r="E115" s="8">
        <v>45991</v>
      </c>
      <c r="F115" s="8">
        <v>46022</v>
      </c>
      <c r="G115" s="9">
        <v>-1.18</v>
      </c>
      <c r="H115" s="9">
        <v>-0.59</v>
      </c>
      <c r="I115" s="9">
        <v>0.3</v>
      </c>
      <c r="J115" s="7">
        <f t="shared" si="3"/>
        <v>3</v>
      </c>
      <c r="K115" s="10">
        <f t="shared" si="4"/>
        <v>-0.49</v>
      </c>
      <c r="L115" s="7" t="s">
        <v>147</v>
      </c>
      <c r="M115" s="7" t="str">
        <f t="shared" si="5"/>
        <v>Complete (3 of 3)</v>
      </c>
    </row>
    <row r="116" spans="1:13" x14ac:dyDescent="0.35">
      <c r="A116" s="7">
        <v>2026</v>
      </c>
      <c r="B116" s="7" t="s">
        <v>12</v>
      </c>
      <c r="C116" s="7" t="s">
        <v>111</v>
      </c>
      <c r="D116" s="8">
        <v>46053</v>
      </c>
      <c r="E116" s="8">
        <v>46081</v>
      </c>
      <c r="F116" s="8">
        <v>46112</v>
      </c>
      <c r="G116" s="9">
        <v>1.19</v>
      </c>
      <c r="H116" s="9">
        <v>2.1800000000000002</v>
      </c>
      <c r="I116" s="9">
        <v>3.98</v>
      </c>
      <c r="J116" s="7">
        <f t="shared" si="3"/>
        <v>3</v>
      </c>
      <c r="K116" s="10">
        <f t="shared" si="4"/>
        <v>2.4499999999999997</v>
      </c>
      <c r="L116" s="7" t="s">
        <v>148</v>
      </c>
      <c r="M116" s="7" t="str">
        <f t="shared" si="5"/>
        <v>Complete (3 of 3)</v>
      </c>
    </row>
    <row r="117" spans="1:13" x14ac:dyDescent="0.35">
      <c r="A117" s="7">
        <v>2026</v>
      </c>
      <c r="B117" s="7" t="s">
        <v>15</v>
      </c>
      <c r="C117" s="7" t="s">
        <v>111</v>
      </c>
      <c r="D117" s="8">
        <v>46142</v>
      </c>
      <c r="E117" s="8">
        <v>46173</v>
      </c>
      <c r="F117" s="8">
        <v>46203</v>
      </c>
      <c r="G117" s="9">
        <v>8.36</v>
      </c>
      <c r="H117" s="9">
        <v>9.8800000000000008</v>
      </c>
      <c r="I117" s="9">
        <v>9.9700000000000006</v>
      </c>
      <c r="J117" s="7">
        <f t="shared" si="3"/>
        <v>3</v>
      </c>
      <c r="K117" s="10">
        <f t="shared" si="4"/>
        <v>9.4033333333333342</v>
      </c>
      <c r="L117" s="7" t="s">
        <v>149</v>
      </c>
      <c r="M117" s="7" t="str">
        <f t="shared" si="5"/>
        <v>Complete (3 of 3)</v>
      </c>
    </row>
    <row r="118" spans="1:13" x14ac:dyDescent="0.35">
      <c r="A118" s="7">
        <v>2026</v>
      </c>
      <c r="B118" s="7" t="s">
        <v>16</v>
      </c>
      <c r="C118" s="7" t="s">
        <v>111</v>
      </c>
      <c r="D118" s="8">
        <v>46234</v>
      </c>
      <c r="E118" s="8">
        <v>46265</v>
      </c>
      <c r="F118" s="8">
        <v>46295</v>
      </c>
      <c r="G118" s="9">
        <v>9.7799999999999994</v>
      </c>
      <c r="H118" s="9">
        <v>9.92</v>
      </c>
      <c r="I118" s="9">
        <v>11.39</v>
      </c>
      <c r="J118" s="7">
        <f t="shared" si="3"/>
        <v>3</v>
      </c>
      <c r="K118" s="10">
        <f t="shared" si="4"/>
        <v>10.363333333333333</v>
      </c>
      <c r="L118" s="7" t="s">
        <v>150</v>
      </c>
      <c r="M118" s="7" t="str">
        <f t="shared" si="5"/>
        <v>Complete (3 of 3)</v>
      </c>
    </row>
    <row r="119" spans="1:13" x14ac:dyDescent="0.35">
      <c r="A119" s="7">
        <v>2017</v>
      </c>
      <c r="B119" s="7" t="s">
        <v>12</v>
      </c>
      <c r="C119" s="7" t="s">
        <v>151</v>
      </c>
      <c r="D119" s="8">
        <v>42766</v>
      </c>
      <c r="E119" s="8">
        <v>42794</v>
      </c>
      <c r="F119" s="8">
        <v>42825</v>
      </c>
      <c r="G119" s="9">
        <v>55.42</v>
      </c>
      <c r="H119" s="9">
        <v>53.38</v>
      </c>
      <c r="I119" s="9">
        <v>52.32</v>
      </c>
      <c r="J119" s="7">
        <f t="shared" si="3"/>
        <v>3</v>
      </c>
      <c r="K119" s="10">
        <f t="shared" si="4"/>
        <v>53.706666666666671</v>
      </c>
      <c r="L119" s="7" t="s">
        <v>152</v>
      </c>
      <c r="M119" s="7" t="str">
        <f t="shared" si="5"/>
        <v>Complete (3 of 3)</v>
      </c>
    </row>
    <row r="120" spans="1:13" x14ac:dyDescent="0.35">
      <c r="A120" s="7">
        <v>2017</v>
      </c>
      <c r="B120" s="7" t="s">
        <v>15</v>
      </c>
      <c r="C120" s="7" t="s">
        <v>151</v>
      </c>
      <c r="D120" s="8">
        <v>42855</v>
      </c>
      <c r="E120" s="8">
        <v>42886</v>
      </c>
      <c r="F120" s="8">
        <v>42916</v>
      </c>
      <c r="G120" s="9">
        <v>50.57</v>
      </c>
      <c r="H120" s="9">
        <v>49.67</v>
      </c>
      <c r="I120" s="9">
        <v>47.58</v>
      </c>
      <c r="J120" s="7">
        <f t="shared" si="3"/>
        <v>3</v>
      </c>
      <c r="K120" s="10">
        <f t="shared" si="4"/>
        <v>49.273333333333333</v>
      </c>
      <c r="L120" s="7" t="s">
        <v>153</v>
      </c>
      <c r="M120" s="7" t="str">
        <f t="shared" si="5"/>
        <v>Complete (3 of 3)</v>
      </c>
    </row>
    <row r="121" spans="1:13" x14ac:dyDescent="0.35">
      <c r="A121" s="7">
        <v>2017</v>
      </c>
      <c r="B121" s="7" t="s">
        <v>16</v>
      </c>
      <c r="C121" s="7" t="s">
        <v>151</v>
      </c>
      <c r="D121" s="8">
        <v>42947</v>
      </c>
      <c r="E121" s="8">
        <v>42978</v>
      </c>
      <c r="F121" s="8">
        <v>43008</v>
      </c>
      <c r="G121" s="9">
        <v>52.5</v>
      </c>
      <c r="H121" s="9">
        <v>53.52</v>
      </c>
      <c r="I121" s="9">
        <v>57.39</v>
      </c>
      <c r="J121" s="7">
        <f t="shared" si="3"/>
        <v>3</v>
      </c>
      <c r="K121" s="10">
        <f t="shared" si="4"/>
        <v>54.470000000000006</v>
      </c>
      <c r="L121" s="7" t="s">
        <v>154</v>
      </c>
      <c r="M121" s="7" t="str">
        <f t="shared" si="5"/>
        <v>Complete (3 of 3)</v>
      </c>
    </row>
    <row r="122" spans="1:13" x14ac:dyDescent="0.35">
      <c r="A122" s="7">
        <v>2017</v>
      </c>
      <c r="B122" s="7" t="s">
        <v>18</v>
      </c>
      <c r="C122" s="7" t="s">
        <v>151</v>
      </c>
      <c r="D122" s="8">
        <v>43039</v>
      </c>
      <c r="E122" s="8">
        <v>43069</v>
      </c>
      <c r="F122" s="8">
        <v>43100</v>
      </c>
      <c r="G122" s="9">
        <v>61.65</v>
      </c>
      <c r="H122" s="9">
        <v>63.89</v>
      </c>
      <c r="I122" s="9">
        <v>66.64</v>
      </c>
      <c r="J122" s="7">
        <f t="shared" si="3"/>
        <v>3</v>
      </c>
      <c r="K122" s="10">
        <f t="shared" si="4"/>
        <v>64.06</v>
      </c>
      <c r="L122" s="7" t="s">
        <v>155</v>
      </c>
      <c r="M122" s="7" t="str">
        <f t="shared" si="5"/>
        <v>Complete (3 of 3)</v>
      </c>
    </row>
    <row r="123" spans="1:13" x14ac:dyDescent="0.35">
      <c r="A123" s="7">
        <v>2018</v>
      </c>
      <c r="B123" s="7" t="s">
        <v>12</v>
      </c>
      <c r="C123" s="7" t="s">
        <v>151</v>
      </c>
      <c r="D123" s="8">
        <v>43131</v>
      </c>
      <c r="E123" s="8">
        <v>43159</v>
      </c>
      <c r="F123" s="8">
        <v>43190</v>
      </c>
      <c r="G123" s="9">
        <v>67.959999999999994</v>
      </c>
      <c r="H123" s="9">
        <v>66.2</v>
      </c>
      <c r="I123" s="9">
        <v>68.45</v>
      </c>
      <c r="J123" s="7">
        <f t="shared" si="3"/>
        <v>3</v>
      </c>
      <c r="K123" s="10">
        <f t="shared" si="4"/>
        <v>67.536666666666676</v>
      </c>
      <c r="L123" s="7" t="s">
        <v>156</v>
      </c>
      <c r="M123" s="7" t="str">
        <f t="shared" si="5"/>
        <v>Complete (3 of 3)</v>
      </c>
    </row>
    <row r="124" spans="1:13" x14ac:dyDescent="0.35">
      <c r="A124" s="7">
        <v>2018</v>
      </c>
      <c r="B124" s="7" t="s">
        <v>15</v>
      </c>
      <c r="C124" s="7" t="s">
        <v>151</v>
      </c>
      <c r="D124" s="8">
        <v>43220</v>
      </c>
      <c r="E124" s="8">
        <v>43251</v>
      </c>
      <c r="F124" s="8">
        <v>43281</v>
      </c>
      <c r="G124" s="9">
        <v>75.430000000000007</v>
      </c>
      <c r="H124" s="9">
        <v>75.66</v>
      </c>
      <c r="I124" s="9">
        <v>76.33</v>
      </c>
      <c r="J124" s="7">
        <f t="shared" si="3"/>
        <v>3</v>
      </c>
      <c r="K124" s="10">
        <f t="shared" si="4"/>
        <v>75.806666666666672</v>
      </c>
      <c r="L124" s="7" t="s">
        <v>157</v>
      </c>
      <c r="M124" s="7" t="str">
        <f t="shared" si="5"/>
        <v>Complete (3 of 3)</v>
      </c>
    </row>
    <row r="125" spans="1:13" x14ac:dyDescent="0.35">
      <c r="A125" s="7">
        <v>2018</v>
      </c>
      <c r="B125" s="7" t="s">
        <v>16</v>
      </c>
      <c r="C125" s="7" t="s">
        <v>151</v>
      </c>
      <c r="D125" s="8">
        <v>43312</v>
      </c>
      <c r="E125" s="8">
        <v>43343</v>
      </c>
      <c r="F125" s="8">
        <v>43373</v>
      </c>
      <c r="G125" s="9">
        <v>73.790000000000006</v>
      </c>
      <c r="H125" s="9">
        <v>76.010000000000005</v>
      </c>
      <c r="I125" s="9">
        <v>81.83</v>
      </c>
      <c r="J125" s="7">
        <f t="shared" si="3"/>
        <v>3</v>
      </c>
      <c r="K125" s="10">
        <f t="shared" si="4"/>
        <v>77.209999999999994</v>
      </c>
      <c r="L125" s="7" t="s">
        <v>158</v>
      </c>
      <c r="M125" s="7" t="str">
        <f t="shared" si="5"/>
        <v>Complete (3 of 3)</v>
      </c>
    </row>
    <row r="126" spans="1:13" x14ac:dyDescent="0.35">
      <c r="A126" s="7">
        <v>2018</v>
      </c>
      <c r="B126" s="7" t="s">
        <v>18</v>
      </c>
      <c r="C126" s="7" t="s">
        <v>151</v>
      </c>
      <c r="D126" s="8">
        <v>43404</v>
      </c>
      <c r="E126" s="8">
        <v>43434</v>
      </c>
      <c r="F126" s="8">
        <v>43465</v>
      </c>
      <c r="G126" s="9">
        <v>74.17</v>
      </c>
      <c r="H126" s="9">
        <v>57.75</v>
      </c>
      <c r="I126" s="9">
        <v>50.86</v>
      </c>
      <c r="J126" s="7">
        <f t="shared" si="3"/>
        <v>3</v>
      </c>
      <c r="K126" s="10">
        <f t="shared" si="4"/>
        <v>60.926666666666677</v>
      </c>
      <c r="L126" s="7" t="s">
        <v>159</v>
      </c>
      <c r="M126" s="7" t="str">
        <f t="shared" si="5"/>
        <v>Complete (3 of 3)</v>
      </c>
    </row>
    <row r="127" spans="1:13" x14ac:dyDescent="0.35">
      <c r="A127" s="7">
        <v>2019</v>
      </c>
      <c r="B127" s="7" t="s">
        <v>12</v>
      </c>
      <c r="C127" s="7" t="s">
        <v>151</v>
      </c>
      <c r="D127" s="8">
        <v>43496</v>
      </c>
      <c r="E127" s="8">
        <v>43524</v>
      </c>
      <c r="F127" s="8">
        <v>43555</v>
      </c>
      <c r="G127" s="9">
        <v>62.52</v>
      </c>
      <c r="H127" s="9">
        <v>65.12</v>
      </c>
      <c r="I127" s="9">
        <v>68.135000000000005</v>
      </c>
      <c r="J127" s="7">
        <f t="shared" si="3"/>
        <v>3</v>
      </c>
      <c r="K127" s="10">
        <f t="shared" si="4"/>
        <v>65.25833333333334</v>
      </c>
      <c r="L127" s="7" t="s">
        <v>160</v>
      </c>
      <c r="M127" s="7" t="str">
        <f t="shared" si="5"/>
        <v>Complete (3 of 3)</v>
      </c>
    </row>
    <row r="128" spans="1:13" x14ac:dyDescent="0.35">
      <c r="A128" s="7">
        <v>2019</v>
      </c>
      <c r="B128" s="7" t="s">
        <v>15</v>
      </c>
      <c r="C128" s="7" t="s">
        <v>151</v>
      </c>
      <c r="D128" s="8">
        <v>43585</v>
      </c>
      <c r="E128" s="8">
        <v>43616</v>
      </c>
      <c r="F128" s="8">
        <v>43646</v>
      </c>
      <c r="G128" s="9">
        <v>71.825000000000003</v>
      </c>
      <c r="H128" s="9">
        <v>66.33</v>
      </c>
      <c r="I128" s="9">
        <v>67.16</v>
      </c>
      <c r="J128" s="7">
        <f t="shared" si="3"/>
        <v>3</v>
      </c>
      <c r="K128" s="10">
        <f t="shared" si="4"/>
        <v>68.438333333333333</v>
      </c>
      <c r="L128" s="7" t="s">
        <v>161</v>
      </c>
      <c r="M128" s="7" t="str">
        <f t="shared" si="5"/>
        <v>Complete (3 of 3)</v>
      </c>
    </row>
    <row r="129" spans="1:13" x14ac:dyDescent="0.35">
      <c r="A129" s="7">
        <v>2019</v>
      </c>
      <c r="B129" s="7" t="s">
        <v>16</v>
      </c>
      <c r="C129" s="7" t="s">
        <v>151</v>
      </c>
      <c r="D129" s="8">
        <v>43677</v>
      </c>
      <c r="E129" s="8">
        <v>43708</v>
      </c>
      <c r="F129" s="8">
        <v>43738</v>
      </c>
      <c r="G129" s="9">
        <v>63.87</v>
      </c>
      <c r="H129" s="9">
        <v>60.79</v>
      </c>
      <c r="I129" s="9">
        <v>61.3</v>
      </c>
      <c r="J129" s="7">
        <f t="shared" si="3"/>
        <v>3</v>
      </c>
      <c r="K129" s="10">
        <f t="shared" si="4"/>
        <v>61.986666666666657</v>
      </c>
      <c r="L129" s="7" t="s">
        <v>162</v>
      </c>
      <c r="M129" s="7" t="str">
        <f t="shared" si="5"/>
        <v>Complete (3 of 3)</v>
      </c>
    </row>
    <row r="130" spans="1:13" x14ac:dyDescent="0.35">
      <c r="A130" s="7">
        <v>2019</v>
      </c>
      <c r="B130" s="7" t="s">
        <v>18</v>
      </c>
      <c r="C130" s="7" t="s">
        <v>151</v>
      </c>
      <c r="D130" s="8">
        <v>43769</v>
      </c>
      <c r="E130" s="8">
        <v>43799</v>
      </c>
      <c r="F130" s="8">
        <v>43830</v>
      </c>
      <c r="G130" s="9">
        <v>59.94</v>
      </c>
      <c r="H130" s="9">
        <v>65.290000000000006</v>
      </c>
      <c r="I130" s="9">
        <v>68.900000000000006</v>
      </c>
      <c r="J130" s="7">
        <f t="shared" ref="J130:J157" si="6">COUNT(G130:I130)</f>
        <v>3</v>
      </c>
      <c r="K130" s="10">
        <f t="shared" ref="K130:K157" si="7">IF(J130=0,"",AVERAGE(G130:I130))</f>
        <v>64.709999999999994</v>
      </c>
      <c r="L130" s="7" t="s">
        <v>163</v>
      </c>
      <c r="M130" s="7" t="str">
        <f t="shared" ref="M130:M157" si="8">IF(J130=3,"Complete (3 of 3)",IF(J130=0,"No data - left blank","INCOMPLETE - "&amp;J130&amp;" of 3 months"))</f>
        <v>Complete (3 of 3)</v>
      </c>
    </row>
    <row r="131" spans="1:13" x14ac:dyDescent="0.35">
      <c r="A131" s="7">
        <v>2020</v>
      </c>
      <c r="B131" s="7" t="s">
        <v>12</v>
      </c>
      <c r="C131" s="7" t="s">
        <v>151</v>
      </c>
      <c r="D131" s="8">
        <v>43861</v>
      </c>
      <c r="E131" s="8">
        <v>43890</v>
      </c>
      <c r="F131" s="8">
        <v>43921</v>
      </c>
      <c r="G131" s="9">
        <v>59.31</v>
      </c>
      <c r="H131" s="9">
        <v>53.42</v>
      </c>
      <c r="I131" s="9">
        <v>18.7</v>
      </c>
      <c r="J131" s="7">
        <f t="shared" si="6"/>
        <v>3</v>
      </c>
      <c r="K131" s="10">
        <f t="shared" si="7"/>
        <v>43.81</v>
      </c>
      <c r="L131" s="7" t="s">
        <v>164</v>
      </c>
      <c r="M131" s="7" t="str">
        <f t="shared" si="8"/>
        <v>Complete (3 of 3)</v>
      </c>
    </row>
    <row r="132" spans="1:13" x14ac:dyDescent="0.35">
      <c r="A132" s="7">
        <v>2020</v>
      </c>
      <c r="B132" s="7" t="s">
        <v>15</v>
      </c>
      <c r="C132" s="7" t="s">
        <v>151</v>
      </c>
      <c r="D132" s="8">
        <v>43951</v>
      </c>
      <c r="E132" s="8">
        <v>43982</v>
      </c>
      <c r="F132" s="8">
        <v>44012</v>
      </c>
      <c r="G132" s="9">
        <v>17.690000000000001</v>
      </c>
      <c r="H132" s="9">
        <v>35.475000000000001</v>
      </c>
      <c r="I132" s="9">
        <v>43.16</v>
      </c>
      <c r="J132" s="7">
        <f t="shared" si="6"/>
        <v>3</v>
      </c>
      <c r="K132" s="10">
        <f t="shared" si="7"/>
        <v>32.108333333333334</v>
      </c>
      <c r="L132" s="7" t="s">
        <v>165</v>
      </c>
      <c r="M132" s="7" t="str">
        <f t="shared" si="8"/>
        <v>Complete (3 of 3)</v>
      </c>
    </row>
    <row r="133" spans="1:13" x14ac:dyDescent="0.35">
      <c r="A133" s="7">
        <v>2020</v>
      </c>
      <c r="B133" s="7" t="s">
        <v>16</v>
      </c>
      <c r="C133" s="7" t="s">
        <v>151</v>
      </c>
      <c r="D133" s="8">
        <v>44043</v>
      </c>
      <c r="E133" s="8">
        <v>44074</v>
      </c>
      <c r="F133" s="8">
        <v>44104</v>
      </c>
      <c r="G133" s="9">
        <v>44.805</v>
      </c>
      <c r="H133" s="9">
        <v>46.49</v>
      </c>
      <c r="I133" s="9">
        <v>41.18</v>
      </c>
      <c r="J133" s="7">
        <f t="shared" si="6"/>
        <v>3</v>
      </c>
      <c r="K133" s="10">
        <f t="shared" si="7"/>
        <v>44.158333333333331</v>
      </c>
      <c r="L133" s="7" t="s">
        <v>166</v>
      </c>
      <c r="M133" s="7" t="str">
        <f t="shared" si="8"/>
        <v>Complete (3 of 3)</v>
      </c>
    </row>
    <row r="134" spans="1:13" x14ac:dyDescent="0.35">
      <c r="A134" s="7">
        <v>2020</v>
      </c>
      <c r="B134" s="7" t="s">
        <v>18</v>
      </c>
      <c r="C134" s="7" t="s">
        <v>151</v>
      </c>
      <c r="D134" s="8">
        <v>44135</v>
      </c>
      <c r="E134" s="8">
        <v>44165</v>
      </c>
      <c r="F134" s="8">
        <v>44196</v>
      </c>
      <c r="G134" s="9">
        <v>37.405000000000001</v>
      </c>
      <c r="H134" s="9">
        <v>47.075000000000003</v>
      </c>
      <c r="I134" s="9">
        <v>51.664999999999999</v>
      </c>
      <c r="J134" s="7">
        <f t="shared" si="6"/>
        <v>3</v>
      </c>
      <c r="K134" s="10">
        <f t="shared" si="7"/>
        <v>45.381666666666668</v>
      </c>
      <c r="L134" s="7" t="s">
        <v>167</v>
      </c>
      <c r="M134" s="7" t="str">
        <f t="shared" si="8"/>
        <v>Complete (3 of 3)</v>
      </c>
    </row>
    <row r="135" spans="1:13" x14ac:dyDescent="0.35">
      <c r="A135" s="7">
        <v>2021</v>
      </c>
      <c r="B135" s="7" t="s">
        <v>12</v>
      </c>
      <c r="C135" s="7" t="s">
        <v>151</v>
      </c>
      <c r="D135" s="8">
        <v>44227</v>
      </c>
      <c r="E135" s="8">
        <v>44255</v>
      </c>
      <c r="F135" s="8">
        <v>44286</v>
      </c>
      <c r="G135" s="9">
        <v>55.814999999999998</v>
      </c>
      <c r="H135" s="9">
        <v>66.02</v>
      </c>
      <c r="I135" s="9">
        <v>62.685000000000002</v>
      </c>
      <c r="J135" s="7">
        <f t="shared" si="6"/>
        <v>3</v>
      </c>
      <c r="K135" s="10">
        <f t="shared" si="7"/>
        <v>61.506666666666661</v>
      </c>
      <c r="L135" s="7" t="s">
        <v>168</v>
      </c>
      <c r="M135" s="7" t="str">
        <f t="shared" si="8"/>
        <v>Complete (3 of 3)</v>
      </c>
    </row>
    <row r="136" spans="1:13" x14ac:dyDescent="0.35">
      <c r="A136" s="7">
        <v>2021</v>
      </c>
      <c r="B136" s="7" t="s">
        <v>15</v>
      </c>
      <c r="C136" s="7" t="s">
        <v>151</v>
      </c>
      <c r="D136" s="8">
        <v>44316</v>
      </c>
      <c r="E136" s="8">
        <v>44347</v>
      </c>
      <c r="F136" s="8">
        <v>44377</v>
      </c>
      <c r="G136" s="9">
        <v>67.135000000000005</v>
      </c>
      <c r="H136" s="9">
        <v>68.8</v>
      </c>
      <c r="I136" s="9">
        <v>76.73</v>
      </c>
      <c r="J136" s="7">
        <f t="shared" si="6"/>
        <v>3</v>
      </c>
      <c r="K136" s="10">
        <f t="shared" si="7"/>
        <v>70.888333333333335</v>
      </c>
      <c r="L136" s="7" t="s">
        <v>169</v>
      </c>
      <c r="M136" s="7" t="str">
        <f t="shared" si="8"/>
        <v>Complete (3 of 3)</v>
      </c>
    </row>
    <row r="137" spans="1:13" x14ac:dyDescent="0.35">
      <c r="A137" s="7">
        <v>2021</v>
      </c>
      <c r="B137" s="7" t="s">
        <v>16</v>
      </c>
      <c r="C137" s="7" t="s">
        <v>151</v>
      </c>
      <c r="D137" s="8">
        <v>44408</v>
      </c>
      <c r="E137" s="8">
        <v>44439</v>
      </c>
      <c r="F137" s="8">
        <v>44469</v>
      </c>
      <c r="G137" s="9">
        <v>76.364999999999995</v>
      </c>
      <c r="H137" s="9">
        <v>73.19</v>
      </c>
      <c r="I137" s="9">
        <v>76.694999999999993</v>
      </c>
      <c r="J137" s="7">
        <f t="shared" si="6"/>
        <v>3</v>
      </c>
      <c r="K137" s="10">
        <f t="shared" si="7"/>
        <v>75.416666666666671</v>
      </c>
      <c r="L137" s="7" t="s">
        <v>170</v>
      </c>
      <c r="M137" s="7" t="str">
        <f t="shared" si="8"/>
        <v>Complete (3 of 3)</v>
      </c>
    </row>
    <row r="138" spans="1:13" x14ac:dyDescent="0.35">
      <c r="A138" s="7">
        <v>2021</v>
      </c>
      <c r="B138" s="7" t="s">
        <v>18</v>
      </c>
      <c r="C138" s="7" t="s">
        <v>151</v>
      </c>
      <c r="D138" s="8">
        <v>44500</v>
      </c>
      <c r="E138" s="8">
        <v>44530</v>
      </c>
      <c r="F138" s="8">
        <v>44561</v>
      </c>
      <c r="G138" s="9">
        <v>82.43</v>
      </c>
      <c r="H138" s="9">
        <v>70.924999999999997</v>
      </c>
      <c r="I138" s="9">
        <v>77.069999999999993</v>
      </c>
      <c r="J138" s="7">
        <f t="shared" si="6"/>
        <v>3</v>
      </c>
      <c r="K138" s="10">
        <f t="shared" si="7"/>
        <v>76.808333333333337</v>
      </c>
      <c r="L138" s="7" t="s">
        <v>171</v>
      </c>
      <c r="M138" s="7" t="str">
        <f t="shared" si="8"/>
        <v>Complete (3 of 3)</v>
      </c>
    </row>
    <row r="139" spans="1:13" x14ac:dyDescent="0.35">
      <c r="A139" s="7">
        <v>2022</v>
      </c>
      <c r="B139" s="7" t="s">
        <v>12</v>
      </c>
      <c r="C139" s="7" t="s">
        <v>151</v>
      </c>
      <c r="D139" s="8">
        <v>44592</v>
      </c>
      <c r="E139" s="8">
        <v>44620</v>
      </c>
      <c r="F139" s="8">
        <v>44651</v>
      </c>
      <c r="G139" s="9">
        <v>92.484999999999999</v>
      </c>
      <c r="H139" s="9">
        <v>103.33499999999999</v>
      </c>
      <c r="I139" s="9">
        <v>110.29</v>
      </c>
      <c r="J139" s="7">
        <f t="shared" si="6"/>
        <v>3</v>
      </c>
      <c r="K139" s="10">
        <f t="shared" si="7"/>
        <v>102.03666666666668</v>
      </c>
      <c r="L139" s="7" t="s">
        <v>172</v>
      </c>
      <c r="M139" s="7" t="str">
        <f t="shared" si="8"/>
        <v>Complete (3 of 3)</v>
      </c>
    </row>
    <row r="140" spans="1:13" x14ac:dyDescent="0.35">
      <c r="A140" s="7">
        <v>2022</v>
      </c>
      <c r="B140" s="7" t="s">
        <v>15</v>
      </c>
      <c r="C140" s="7" t="s">
        <v>151</v>
      </c>
      <c r="D140" s="8">
        <v>44681</v>
      </c>
      <c r="E140" s="8">
        <v>44712</v>
      </c>
      <c r="F140" s="8">
        <v>44742</v>
      </c>
      <c r="G140" s="9">
        <v>108.15</v>
      </c>
      <c r="H140" s="9">
        <v>124.17</v>
      </c>
      <c r="I140" s="9">
        <v>120.47499999999999</v>
      </c>
      <c r="J140" s="7">
        <f t="shared" si="6"/>
        <v>3</v>
      </c>
      <c r="K140" s="10">
        <f t="shared" si="7"/>
        <v>117.59833333333331</v>
      </c>
      <c r="L140" s="7" t="s">
        <v>173</v>
      </c>
      <c r="M140" s="7" t="str">
        <f t="shared" si="8"/>
        <v>Complete (3 of 3)</v>
      </c>
    </row>
    <row r="141" spans="1:13" x14ac:dyDescent="0.35">
      <c r="A141" s="7">
        <v>2022</v>
      </c>
      <c r="B141" s="7" t="s">
        <v>16</v>
      </c>
      <c r="C141" s="7" t="s">
        <v>151</v>
      </c>
      <c r="D141" s="8">
        <v>44773</v>
      </c>
      <c r="E141" s="8">
        <v>44804</v>
      </c>
      <c r="F141" s="8">
        <v>44834</v>
      </c>
      <c r="G141" s="9">
        <v>114.13</v>
      </c>
      <c r="H141" s="9">
        <v>96.68</v>
      </c>
      <c r="I141" s="9">
        <v>87.625</v>
      </c>
      <c r="J141" s="7">
        <f t="shared" si="6"/>
        <v>3</v>
      </c>
      <c r="K141" s="10">
        <f t="shared" si="7"/>
        <v>99.478333333333339</v>
      </c>
      <c r="L141" s="7" t="s">
        <v>174</v>
      </c>
      <c r="M141" s="7" t="str">
        <f t="shared" si="8"/>
        <v>Complete (3 of 3)</v>
      </c>
    </row>
    <row r="142" spans="1:13" x14ac:dyDescent="0.35">
      <c r="A142" s="7">
        <v>2022</v>
      </c>
      <c r="B142" s="7" t="s">
        <v>18</v>
      </c>
      <c r="C142" s="7" t="s">
        <v>151</v>
      </c>
      <c r="D142" s="8">
        <v>44865</v>
      </c>
      <c r="E142" s="8">
        <v>44895</v>
      </c>
      <c r="F142" s="8">
        <v>44926</v>
      </c>
      <c r="G142" s="9">
        <v>92.77</v>
      </c>
      <c r="H142" s="9">
        <v>86.594999999999999</v>
      </c>
      <c r="I142" s="9">
        <v>81.344999999999999</v>
      </c>
      <c r="J142" s="7">
        <f t="shared" si="6"/>
        <v>3</v>
      </c>
      <c r="K142" s="10">
        <f t="shared" si="7"/>
        <v>86.90333333333335</v>
      </c>
      <c r="L142" s="7" t="s">
        <v>175</v>
      </c>
      <c r="M142" s="7" t="str">
        <f t="shared" si="8"/>
        <v>Complete (3 of 3)</v>
      </c>
    </row>
    <row r="143" spans="1:13" x14ac:dyDescent="0.35">
      <c r="A143" s="7">
        <v>2023</v>
      </c>
      <c r="B143" s="7" t="s">
        <v>12</v>
      </c>
      <c r="C143" s="7" t="s">
        <v>151</v>
      </c>
      <c r="D143" s="8">
        <v>44957</v>
      </c>
      <c r="E143" s="8">
        <v>44985</v>
      </c>
      <c r="F143" s="8">
        <v>45016</v>
      </c>
      <c r="G143" s="9">
        <v>84.435000000000002</v>
      </c>
      <c r="H143" s="9">
        <v>83.15</v>
      </c>
      <c r="I143" s="9">
        <v>79.045000000000002</v>
      </c>
      <c r="J143" s="7">
        <f t="shared" si="6"/>
        <v>3</v>
      </c>
      <c r="K143" s="10">
        <f t="shared" si="7"/>
        <v>82.21</v>
      </c>
      <c r="L143" s="7" t="s">
        <v>176</v>
      </c>
      <c r="M143" s="7" t="str">
        <f t="shared" si="8"/>
        <v>Complete (3 of 3)</v>
      </c>
    </row>
    <row r="144" spans="1:13" x14ac:dyDescent="0.35">
      <c r="A144" s="7">
        <v>2023</v>
      </c>
      <c r="B144" s="7" t="s">
        <v>15</v>
      </c>
      <c r="C144" s="7" t="s">
        <v>151</v>
      </c>
      <c r="D144" s="8">
        <v>45046</v>
      </c>
      <c r="E144" s="8">
        <v>45077</v>
      </c>
      <c r="F144" s="8">
        <v>45107</v>
      </c>
      <c r="G144" s="9">
        <v>82.144999999999996</v>
      </c>
      <c r="H144" s="9">
        <v>72.844999999999999</v>
      </c>
      <c r="I144" s="9">
        <v>74.97</v>
      </c>
      <c r="J144" s="7">
        <f t="shared" si="6"/>
        <v>3</v>
      </c>
      <c r="K144" s="10">
        <f t="shared" si="7"/>
        <v>76.653333333333336</v>
      </c>
      <c r="L144" s="7" t="s">
        <v>177</v>
      </c>
      <c r="M144" s="7" t="str">
        <f t="shared" si="8"/>
        <v>Complete (3 of 3)</v>
      </c>
    </row>
    <row r="145" spans="1:13" x14ac:dyDescent="0.35">
      <c r="A145" s="7">
        <v>2023</v>
      </c>
      <c r="B145" s="7" t="s">
        <v>16</v>
      </c>
      <c r="C145" s="7" t="s">
        <v>151</v>
      </c>
      <c r="D145" s="8">
        <v>45138</v>
      </c>
      <c r="E145" s="8">
        <v>45169</v>
      </c>
      <c r="F145" s="8">
        <v>45199</v>
      </c>
      <c r="G145" s="9">
        <v>85.64</v>
      </c>
      <c r="H145" s="9">
        <v>87.41</v>
      </c>
      <c r="I145" s="9">
        <v>96.3</v>
      </c>
      <c r="J145" s="7">
        <f t="shared" si="6"/>
        <v>3</v>
      </c>
      <c r="K145" s="10">
        <f t="shared" si="7"/>
        <v>89.783333333333346</v>
      </c>
      <c r="L145" s="7" t="s">
        <v>178</v>
      </c>
      <c r="M145" s="7" t="str">
        <f t="shared" si="8"/>
        <v>Complete (3 of 3)</v>
      </c>
    </row>
    <row r="146" spans="1:13" x14ac:dyDescent="0.35">
      <c r="A146" s="7">
        <v>2023</v>
      </c>
      <c r="B146" s="7" t="s">
        <v>18</v>
      </c>
      <c r="C146" s="7" t="s">
        <v>151</v>
      </c>
      <c r="D146" s="8">
        <v>45230</v>
      </c>
      <c r="E146" s="8">
        <v>45260</v>
      </c>
      <c r="F146" s="8">
        <v>45291</v>
      </c>
      <c r="G146" s="9">
        <v>88.51</v>
      </c>
      <c r="H146" s="9">
        <v>80.599999999999994</v>
      </c>
      <c r="I146" s="9">
        <v>77.599999999999994</v>
      </c>
      <c r="J146" s="7">
        <f t="shared" si="6"/>
        <v>3</v>
      </c>
      <c r="K146" s="10">
        <f t="shared" si="7"/>
        <v>82.236666666666665</v>
      </c>
      <c r="L146" s="7" t="s">
        <v>179</v>
      </c>
      <c r="M146" s="7" t="str">
        <f t="shared" si="8"/>
        <v>Complete (3 of 3)</v>
      </c>
    </row>
    <row r="147" spans="1:13" x14ac:dyDescent="0.35">
      <c r="A147" s="7">
        <v>2024</v>
      </c>
      <c r="B147" s="7" t="s">
        <v>12</v>
      </c>
      <c r="C147" s="7" t="s">
        <v>151</v>
      </c>
      <c r="D147" s="8">
        <v>45322</v>
      </c>
      <c r="E147" s="8">
        <v>45351</v>
      </c>
      <c r="F147" s="8">
        <v>45382</v>
      </c>
      <c r="G147" s="9">
        <v>82.74</v>
      </c>
      <c r="H147" s="9">
        <v>84.55</v>
      </c>
      <c r="I147" s="9">
        <v>86.96</v>
      </c>
      <c r="J147" s="7">
        <f t="shared" si="6"/>
        <v>3</v>
      </c>
      <c r="K147" s="10">
        <f t="shared" si="7"/>
        <v>84.75</v>
      </c>
      <c r="L147" s="7" t="s">
        <v>180</v>
      </c>
      <c r="M147" s="7" t="str">
        <f t="shared" si="8"/>
        <v>Complete (3 of 3)</v>
      </c>
    </row>
    <row r="148" spans="1:13" x14ac:dyDescent="0.35">
      <c r="A148" s="7">
        <v>2024</v>
      </c>
      <c r="B148" s="7" t="s">
        <v>15</v>
      </c>
      <c r="C148" s="7" t="s">
        <v>151</v>
      </c>
      <c r="D148" s="8">
        <v>45412</v>
      </c>
      <c r="E148" s="8">
        <v>45443</v>
      </c>
      <c r="F148" s="8">
        <v>45473</v>
      </c>
      <c r="G148" s="9">
        <v>87.86</v>
      </c>
      <c r="H148" s="9">
        <v>80.13</v>
      </c>
      <c r="I148" s="9">
        <v>86.69</v>
      </c>
      <c r="J148" s="7">
        <f t="shared" si="6"/>
        <v>3</v>
      </c>
      <c r="K148" s="10">
        <f t="shared" si="7"/>
        <v>84.893333333333331</v>
      </c>
      <c r="L148" s="7" t="s">
        <v>181</v>
      </c>
      <c r="M148" s="7" t="str">
        <f t="shared" si="8"/>
        <v>Complete (3 of 3)</v>
      </c>
    </row>
    <row r="149" spans="1:13" x14ac:dyDescent="0.35">
      <c r="A149" s="7">
        <v>2024</v>
      </c>
      <c r="B149" s="7" t="s">
        <v>16</v>
      </c>
      <c r="C149" s="7" t="s">
        <v>151</v>
      </c>
      <c r="D149" s="8">
        <v>45504</v>
      </c>
      <c r="E149" s="8">
        <v>45535</v>
      </c>
      <c r="F149" s="8">
        <v>45565</v>
      </c>
      <c r="G149" s="9">
        <v>81.484999999999999</v>
      </c>
      <c r="H149" s="9">
        <v>79.95</v>
      </c>
      <c r="I149" s="9">
        <v>72.894999999999996</v>
      </c>
      <c r="J149" s="7">
        <f t="shared" si="6"/>
        <v>3</v>
      </c>
      <c r="K149" s="10">
        <f t="shared" si="7"/>
        <v>78.11</v>
      </c>
      <c r="L149" s="7" t="s">
        <v>182</v>
      </c>
      <c r="M149" s="7" t="str">
        <f t="shared" si="8"/>
        <v>Complete (3 of 3)</v>
      </c>
    </row>
    <row r="150" spans="1:13" x14ac:dyDescent="0.35">
      <c r="A150" s="7">
        <v>2024</v>
      </c>
      <c r="B150" s="7" t="s">
        <v>18</v>
      </c>
      <c r="C150" s="7" t="s">
        <v>151</v>
      </c>
      <c r="D150" s="8">
        <v>45596</v>
      </c>
      <c r="E150" s="8">
        <v>45626</v>
      </c>
      <c r="F150" s="8">
        <v>45657</v>
      </c>
      <c r="G150" s="9">
        <v>73.28</v>
      </c>
      <c r="H150" s="9">
        <v>74.265000000000001</v>
      </c>
      <c r="I150" s="9">
        <v>74.105000000000004</v>
      </c>
      <c r="J150" s="7">
        <f t="shared" si="6"/>
        <v>3</v>
      </c>
      <c r="K150" s="10">
        <f t="shared" si="7"/>
        <v>73.88333333333334</v>
      </c>
      <c r="L150" s="7" t="s">
        <v>183</v>
      </c>
      <c r="M150" s="7" t="str">
        <f t="shared" si="8"/>
        <v>Complete (3 of 3)</v>
      </c>
    </row>
    <row r="151" spans="1:13" x14ac:dyDescent="0.35">
      <c r="A151" s="7">
        <v>2025</v>
      </c>
      <c r="B151" s="7" t="s">
        <v>12</v>
      </c>
      <c r="C151" s="7" t="s">
        <v>151</v>
      </c>
      <c r="D151" s="8">
        <v>45688</v>
      </c>
      <c r="E151" s="8">
        <v>45716</v>
      </c>
      <c r="F151" s="8">
        <v>45747</v>
      </c>
      <c r="G151" s="9">
        <v>76.98</v>
      </c>
      <c r="H151" s="9">
        <v>73.424999999999997</v>
      </c>
      <c r="I151" s="9">
        <v>77.165000000000006</v>
      </c>
      <c r="J151" s="7">
        <f t="shared" si="6"/>
        <v>3</v>
      </c>
      <c r="K151" s="10">
        <f t="shared" si="7"/>
        <v>75.856666666666669</v>
      </c>
      <c r="L151" s="7" t="s">
        <v>184</v>
      </c>
      <c r="M151" s="7" t="str">
        <f t="shared" si="8"/>
        <v>Complete (3 of 3)</v>
      </c>
    </row>
    <row r="152" spans="1:13" x14ac:dyDescent="0.35">
      <c r="A152" s="7">
        <v>2025</v>
      </c>
      <c r="B152" s="7" t="s">
        <v>15</v>
      </c>
      <c r="C152" s="7" t="s">
        <v>151</v>
      </c>
      <c r="D152" s="8">
        <v>45777</v>
      </c>
      <c r="E152" s="8">
        <v>45808</v>
      </c>
      <c r="F152" s="8">
        <v>45838</v>
      </c>
      <c r="G152" s="9">
        <v>63.2</v>
      </c>
      <c r="H152" s="9">
        <v>63.91</v>
      </c>
      <c r="I152" s="9">
        <v>67.959999999999994</v>
      </c>
      <c r="J152" s="7">
        <f t="shared" si="6"/>
        <v>3</v>
      </c>
      <c r="K152" s="10">
        <f t="shared" si="7"/>
        <v>65.023333333333326</v>
      </c>
      <c r="L152" s="7" t="s">
        <v>185</v>
      </c>
      <c r="M152" s="7" t="str">
        <f t="shared" si="8"/>
        <v>Complete (3 of 3)</v>
      </c>
    </row>
    <row r="153" spans="1:13" x14ac:dyDescent="0.35">
      <c r="A153" s="7">
        <v>2025</v>
      </c>
      <c r="B153" s="7" t="s">
        <v>16</v>
      </c>
      <c r="C153" s="7" t="s">
        <v>151</v>
      </c>
      <c r="D153" s="8">
        <v>45869</v>
      </c>
      <c r="E153" s="8">
        <v>45900</v>
      </c>
      <c r="F153" s="8">
        <v>45930</v>
      </c>
      <c r="G153" s="9">
        <v>72.709999999999994</v>
      </c>
      <c r="H153" s="9">
        <v>67.58</v>
      </c>
      <c r="I153" s="9">
        <v>67.894999999999996</v>
      </c>
      <c r="J153" s="7">
        <f t="shared" si="6"/>
        <v>3</v>
      </c>
      <c r="K153" s="10">
        <f t="shared" si="7"/>
        <v>69.394999999999996</v>
      </c>
      <c r="L153" s="7" t="s">
        <v>186</v>
      </c>
      <c r="M153" s="7" t="str">
        <f t="shared" si="8"/>
        <v>Complete (3 of 3)</v>
      </c>
    </row>
    <row r="154" spans="1:13" x14ac:dyDescent="0.35">
      <c r="A154" s="7">
        <v>2025</v>
      </c>
      <c r="B154" s="7" t="s">
        <v>18</v>
      </c>
      <c r="C154" s="7" t="s">
        <v>151</v>
      </c>
      <c r="D154" s="8">
        <v>45961</v>
      </c>
      <c r="E154" s="8">
        <v>45991</v>
      </c>
      <c r="F154" s="8">
        <v>46022</v>
      </c>
      <c r="G154" s="9">
        <v>65.204999999999998</v>
      </c>
      <c r="H154" s="9">
        <v>64.349999999999994</v>
      </c>
      <c r="I154" s="9">
        <v>62.445</v>
      </c>
      <c r="J154" s="7">
        <f t="shared" si="6"/>
        <v>3</v>
      </c>
      <c r="K154" s="10">
        <f t="shared" si="7"/>
        <v>64</v>
      </c>
      <c r="L154" s="7" t="s">
        <v>187</v>
      </c>
      <c r="M154" s="7" t="str">
        <f t="shared" si="8"/>
        <v>Complete (3 of 3)</v>
      </c>
    </row>
    <row r="155" spans="1:13" x14ac:dyDescent="0.35">
      <c r="A155" s="7">
        <v>2026</v>
      </c>
      <c r="B155" s="7" t="s">
        <v>12</v>
      </c>
      <c r="C155" s="7" t="s">
        <v>151</v>
      </c>
      <c r="D155" s="8">
        <v>46053</v>
      </c>
      <c r="E155" s="8">
        <v>46081</v>
      </c>
      <c r="F155" s="8">
        <v>46112</v>
      </c>
      <c r="G155" s="9">
        <v>72.72</v>
      </c>
      <c r="H155" s="9">
        <v>70.83</v>
      </c>
      <c r="I155" s="9">
        <v>126.965</v>
      </c>
      <c r="J155" s="7">
        <f t="shared" si="6"/>
        <v>3</v>
      </c>
      <c r="K155" s="10">
        <f t="shared" si="7"/>
        <v>90.171666666666667</v>
      </c>
      <c r="L155" s="7" t="s">
        <v>188</v>
      </c>
      <c r="M155" s="7" t="str">
        <f t="shared" si="8"/>
        <v>Complete (3 of 3)</v>
      </c>
    </row>
    <row r="156" spans="1:13" x14ac:dyDescent="0.35">
      <c r="A156" s="7">
        <v>2026</v>
      </c>
      <c r="B156" s="7" t="s">
        <v>15</v>
      </c>
      <c r="C156" s="7" t="s">
        <v>151</v>
      </c>
      <c r="D156" s="8">
        <v>46142</v>
      </c>
      <c r="E156" s="8">
        <v>46173</v>
      </c>
      <c r="F156" s="8">
        <v>46203</v>
      </c>
      <c r="G156" s="9">
        <v>122.58499999999999</v>
      </c>
      <c r="H156" s="9">
        <v>93.364999999999995</v>
      </c>
      <c r="I156" s="9">
        <v>71.52</v>
      </c>
      <c r="J156" s="7">
        <f t="shared" si="6"/>
        <v>3</v>
      </c>
      <c r="K156" s="10">
        <f t="shared" si="7"/>
        <v>95.823333333333323</v>
      </c>
      <c r="L156" s="7" t="s">
        <v>189</v>
      </c>
      <c r="M156" s="7" t="str">
        <f t="shared" si="8"/>
        <v>Complete (3 of 3)</v>
      </c>
    </row>
    <row r="157" spans="1:13" x14ac:dyDescent="0.35">
      <c r="A157" s="7">
        <v>2026</v>
      </c>
      <c r="B157" s="7" t="s">
        <v>16</v>
      </c>
      <c r="C157" s="7" t="s">
        <v>151</v>
      </c>
      <c r="D157" s="8">
        <v>46234</v>
      </c>
      <c r="E157" s="8">
        <v>46265</v>
      </c>
      <c r="F157" s="8">
        <v>46295</v>
      </c>
      <c r="G157" s="9">
        <v>96.22</v>
      </c>
      <c r="H157" s="9">
        <v>89.71</v>
      </c>
      <c r="I157" s="9">
        <v>120.17</v>
      </c>
      <c r="J157" s="7">
        <f t="shared" si="6"/>
        <v>3</v>
      </c>
      <c r="K157" s="10">
        <f t="shared" si="7"/>
        <v>102.03333333333335</v>
      </c>
      <c r="L157" s="7" t="s">
        <v>190</v>
      </c>
      <c r="M157" s="7" t="str">
        <f t="shared" si="8"/>
        <v>Complete (3 of 3)</v>
      </c>
    </row>
    <row r="158" spans="1:13" x14ac:dyDescent="0.35">
      <c r="A158" s="7">
        <v>2017</v>
      </c>
      <c r="B158" s="7" t="s">
        <v>12</v>
      </c>
      <c r="C158" s="7" t="s">
        <v>191</v>
      </c>
      <c r="D158" s="7" t="s">
        <v>192</v>
      </c>
      <c r="E158" s="7" t="s">
        <v>193</v>
      </c>
      <c r="F158" s="7" t="s">
        <v>194</v>
      </c>
      <c r="G158" s="7" t="s">
        <v>195</v>
      </c>
      <c r="H158" s="7" t="s">
        <v>195</v>
      </c>
      <c r="I158" s="7" t="s">
        <v>195</v>
      </c>
      <c r="J158" s="7" t="e">
        <f>COUNTIFS([1]Source_Oil_Daily!$C$2:$C$2485,A158,[1]Source_Oil_Daily!$D$2:$D$2485,B158)</f>
        <v>#VALUE!</v>
      </c>
      <c r="K158" s="10" t="e">
        <f>IF(J158=0,"",AVERAGEIFS([1]Source_Oil_Daily!$B$2:$B$2485,[1]Source_Oil_Daily!$C$2:$C$2485,A158,[1]Source_Oil_Daily!$D$2:$D$2485,B158))</f>
        <v>#VALUE!</v>
      </c>
      <c r="L158" s="7" t="s">
        <v>196</v>
      </c>
      <c r="M158" s="7" t="e">
        <f>IF(J158&gt;=55,"Complete quarter ("&amp;J158&amp;" trading days)","PARTIAL quarter - only "&amp;J158&amp;" daily obs (series ends "&amp;TEXT(MAX([1]Source_Oil_Daily!$A$2:$A$2485),"yyyy-mm-dd")&amp;")")</f>
        <v>#VALUE!</v>
      </c>
    </row>
    <row r="159" spans="1:13" x14ac:dyDescent="0.35">
      <c r="A159" s="7">
        <v>2017</v>
      </c>
      <c r="B159" s="7" t="s">
        <v>15</v>
      </c>
      <c r="C159" s="7" t="s">
        <v>191</v>
      </c>
      <c r="D159" s="7" t="s">
        <v>197</v>
      </c>
      <c r="E159" s="7" t="s">
        <v>193</v>
      </c>
      <c r="F159" s="7" t="s">
        <v>198</v>
      </c>
      <c r="G159" s="7" t="s">
        <v>195</v>
      </c>
      <c r="H159" s="7" t="s">
        <v>195</v>
      </c>
      <c r="I159" s="7" t="s">
        <v>195</v>
      </c>
      <c r="J159" s="7" t="e">
        <f>COUNTIFS([1]Source_Oil_Daily!$C$2:$C$2485,A159,[1]Source_Oil_Daily!$D$2:$D$2485,B159)</f>
        <v>#VALUE!</v>
      </c>
      <c r="K159" s="10" t="e">
        <f>IF(J159=0,"",AVERAGEIFS([1]Source_Oil_Daily!$B$2:$B$2485,[1]Source_Oil_Daily!$C$2:$C$2485,A159,[1]Source_Oil_Daily!$D$2:$D$2485,B159))</f>
        <v>#VALUE!</v>
      </c>
      <c r="L159" s="7" t="s">
        <v>199</v>
      </c>
      <c r="M159" s="7" t="e">
        <f>IF(J159&gt;=55,"Complete quarter ("&amp;J159&amp;" trading days)","PARTIAL quarter - only "&amp;J159&amp;" daily obs (series ends "&amp;TEXT(MAX([1]Source_Oil_Daily!$A$2:$A$2485),"yyyy-mm-dd")&amp;")")</f>
        <v>#VALUE!</v>
      </c>
    </row>
    <row r="160" spans="1:13" x14ac:dyDescent="0.35">
      <c r="A160" s="7">
        <v>2017</v>
      </c>
      <c r="B160" s="7" t="s">
        <v>16</v>
      </c>
      <c r="C160" s="7" t="s">
        <v>191</v>
      </c>
      <c r="D160" s="7" t="s">
        <v>200</v>
      </c>
      <c r="E160" s="7" t="s">
        <v>193</v>
      </c>
      <c r="F160" s="7" t="s">
        <v>201</v>
      </c>
      <c r="G160" s="7" t="s">
        <v>195</v>
      </c>
      <c r="H160" s="7" t="s">
        <v>195</v>
      </c>
      <c r="I160" s="7" t="s">
        <v>195</v>
      </c>
      <c r="J160" s="7" t="e">
        <f>COUNTIFS([1]Source_Oil_Daily!$C$2:$C$2485,A160,[1]Source_Oil_Daily!$D$2:$D$2485,B160)</f>
        <v>#VALUE!</v>
      </c>
      <c r="K160" s="10" t="e">
        <f>IF(J160=0,"",AVERAGEIFS([1]Source_Oil_Daily!$B$2:$B$2485,[1]Source_Oil_Daily!$C$2:$C$2485,A160,[1]Source_Oil_Daily!$D$2:$D$2485,B160))</f>
        <v>#VALUE!</v>
      </c>
      <c r="L160" s="7" t="s">
        <v>202</v>
      </c>
      <c r="M160" s="7" t="e">
        <f>IF(J160&gt;=55,"Complete quarter ("&amp;J160&amp;" trading days)","PARTIAL quarter - only "&amp;J160&amp;" daily obs (series ends "&amp;TEXT(MAX([1]Source_Oil_Daily!$A$2:$A$2485),"yyyy-mm-dd")&amp;")")</f>
        <v>#VALUE!</v>
      </c>
    </row>
    <row r="161" spans="1:13" x14ac:dyDescent="0.35">
      <c r="A161" s="7">
        <v>2017</v>
      </c>
      <c r="B161" s="7" t="s">
        <v>18</v>
      </c>
      <c r="C161" s="7" t="s">
        <v>191</v>
      </c>
      <c r="D161" s="7" t="s">
        <v>203</v>
      </c>
      <c r="E161" s="7" t="s">
        <v>193</v>
      </c>
      <c r="F161" s="7" t="s">
        <v>204</v>
      </c>
      <c r="G161" s="7" t="s">
        <v>195</v>
      </c>
      <c r="H161" s="7" t="s">
        <v>195</v>
      </c>
      <c r="I161" s="7" t="s">
        <v>195</v>
      </c>
      <c r="J161" s="7" t="e">
        <f>COUNTIFS([1]Source_Oil_Daily!$C$2:$C$2485,A161,[1]Source_Oil_Daily!$D$2:$D$2485,B161)</f>
        <v>#VALUE!</v>
      </c>
      <c r="K161" s="10" t="e">
        <f>IF(J161=0,"",AVERAGEIFS([1]Source_Oil_Daily!$B$2:$B$2485,[1]Source_Oil_Daily!$C$2:$C$2485,A161,[1]Source_Oil_Daily!$D$2:$D$2485,B161))</f>
        <v>#VALUE!</v>
      </c>
      <c r="L161" s="7" t="s">
        <v>205</v>
      </c>
      <c r="M161" s="7" t="e">
        <f>IF(J161&gt;=55,"Complete quarter ("&amp;J161&amp;" trading days)","PARTIAL quarter - only "&amp;J161&amp;" daily obs (series ends "&amp;TEXT(MAX([1]Source_Oil_Daily!$A$2:$A$2485),"yyyy-mm-dd")&amp;")")</f>
        <v>#VALUE!</v>
      </c>
    </row>
    <row r="162" spans="1:13" x14ac:dyDescent="0.35">
      <c r="A162" s="7">
        <v>2018</v>
      </c>
      <c r="B162" s="7" t="s">
        <v>12</v>
      </c>
      <c r="C162" s="7" t="s">
        <v>191</v>
      </c>
      <c r="D162" s="7" t="s">
        <v>206</v>
      </c>
      <c r="E162" s="7" t="s">
        <v>193</v>
      </c>
      <c r="F162" s="7" t="s">
        <v>207</v>
      </c>
      <c r="G162" s="7" t="s">
        <v>195</v>
      </c>
      <c r="H162" s="7" t="s">
        <v>195</v>
      </c>
      <c r="I162" s="7" t="s">
        <v>195</v>
      </c>
      <c r="J162" s="7" t="e">
        <f>COUNTIFS([1]Source_Oil_Daily!$C$2:$C$2485,A162,[1]Source_Oil_Daily!$D$2:$D$2485,B162)</f>
        <v>#VALUE!</v>
      </c>
      <c r="K162" s="10" t="e">
        <f>IF(J162=0,"",AVERAGEIFS([1]Source_Oil_Daily!$B$2:$B$2485,[1]Source_Oil_Daily!$C$2:$C$2485,A162,[1]Source_Oil_Daily!$D$2:$D$2485,B162))</f>
        <v>#VALUE!</v>
      </c>
      <c r="L162" s="7" t="s">
        <v>208</v>
      </c>
      <c r="M162" s="7" t="e">
        <f>IF(J162&gt;=55,"Complete quarter ("&amp;J162&amp;" trading days)","PARTIAL quarter - only "&amp;J162&amp;" daily obs (series ends "&amp;TEXT(MAX([1]Source_Oil_Daily!$A$2:$A$2485),"yyyy-mm-dd")&amp;")")</f>
        <v>#VALUE!</v>
      </c>
    </row>
    <row r="163" spans="1:13" x14ac:dyDescent="0.35">
      <c r="A163" s="7">
        <v>2018</v>
      </c>
      <c r="B163" s="7" t="s">
        <v>15</v>
      </c>
      <c r="C163" s="7" t="s">
        <v>191</v>
      </c>
      <c r="D163" s="7" t="s">
        <v>209</v>
      </c>
      <c r="E163" s="7" t="s">
        <v>193</v>
      </c>
      <c r="F163" s="7" t="s">
        <v>210</v>
      </c>
      <c r="G163" s="7" t="s">
        <v>195</v>
      </c>
      <c r="H163" s="7" t="s">
        <v>195</v>
      </c>
      <c r="I163" s="7" t="s">
        <v>195</v>
      </c>
      <c r="J163" s="7" t="e">
        <f>COUNTIFS([1]Source_Oil_Daily!$C$2:$C$2485,A163,[1]Source_Oil_Daily!$D$2:$D$2485,B163)</f>
        <v>#VALUE!</v>
      </c>
      <c r="K163" s="10" t="e">
        <f>IF(J163=0,"",AVERAGEIFS([1]Source_Oil_Daily!$B$2:$B$2485,[1]Source_Oil_Daily!$C$2:$C$2485,A163,[1]Source_Oil_Daily!$D$2:$D$2485,B163))</f>
        <v>#VALUE!</v>
      </c>
      <c r="L163" s="7" t="s">
        <v>211</v>
      </c>
      <c r="M163" s="7" t="e">
        <f>IF(J163&gt;=55,"Complete quarter ("&amp;J163&amp;" trading days)","PARTIAL quarter - only "&amp;J163&amp;" daily obs (series ends "&amp;TEXT(MAX([1]Source_Oil_Daily!$A$2:$A$2485),"yyyy-mm-dd")&amp;")")</f>
        <v>#VALUE!</v>
      </c>
    </row>
    <row r="164" spans="1:13" x14ac:dyDescent="0.35">
      <c r="A164" s="7">
        <v>2018</v>
      </c>
      <c r="B164" s="7" t="s">
        <v>16</v>
      </c>
      <c r="C164" s="7" t="s">
        <v>191</v>
      </c>
      <c r="D164" s="7" t="s">
        <v>212</v>
      </c>
      <c r="E164" s="7" t="s">
        <v>193</v>
      </c>
      <c r="F164" s="7" t="s">
        <v>213</v>
      </c>
      <c r="G164" s="7" t="s">
        <v>195</v>
      </c>
      <c r="H164" s="7" t="s">
        <v>195</v>
      </c>
      <c r="I164" s="7" t="s">
        <v>195</v>
      </c>
      <c r="J164" s="7" t="e">
        <f>COUNTIFS([1]Source_Oil_Daily!$C$2:$C$2485,A164,[1]Source_Oil_Daily!$D$2:$D$2485,B164)</f>
        <v>#VALUE!</v>
      </c>
      <c r="K164" s="10" t="e">
        <f>IF(J164=0,"",AVERAGEIFS([1]Source_Oil_Daily!$B$2:$B$2485,[1]Source_Oil_Daily!$C$2:$C$2485,A164,[1]Source_Oil_Daily!$D$2:$D$2485,B164))</f>
        <v>#VALUE!</v>
      </c>
      <c r="L164" s="7" t="s">
        <v>214</v>
      </c>
      <c r="M164" s="7" t="e">
        <f>IF(J164&gt;=55,"Complete quarter ("&amp;J164&amp;" trading days)","PARTIAL quarter - only "&amp;J164&amp;" daily obs (series ends "&amp;TEXT(MAX([1]Source_Oil_Daily!$A$2:$A$2485),"yyyy-mm-dd")&amp;")")</f>
        <v>#VALUE!</v>
      </c>
    </row>
    <row r="165" spans="1:13" x14ac:dyDescent="0.35">
      <c r="A165" s="7">
        <v>2018</v>
      </c>
      <c r="B165" s="7" t="s">
        <v>18</v>
      </c>
      <c r="C165" s="7" t="s">
        <v>191</v>
      </c>
      <c r="D165" s="7" t="s">
        <v>215</v>
      </c>
      <c r="E165" s="7" t="s">
        <v>193</v>
      </c>
      <c r="F165" s="7" t="s">
        <v>216</v>
      </c>
      <c r="G165" s="7" t="s">
        <v>195</v>
      </c>
      <c r="H165" s="7" t="s">
        <v>195</v>
      </c>
      <c r="I165" s="7" t="s">
        <v>195</v>
      </c>
      <c r="J165" s="7" t="e">
        <f>COUNTIFS([1]Source_Oil_Daily!$C$2:$C$2485,A165,[1]Source_Oil_Daily!$D$2:$D$2485,B165)</f>
        <v>#VALUE!</v>
      </c>
      <c r="K165" s="10" t="e">
        <f>IF(J165=0,"",AVERAGEIFS([1]Source_Oil_Daily!$B$2:$B$2485,[1]Source_Oil_Daily!$C$2:$C$2485,A165,[1]Source_Oil_Daily!$D$2:$D$2485,B165))</f>
        <v>#VALUE!</v>
      </c>
      <c r="L165" s="7" t="s">
        <v>217</v>
      </c>
      <c r="M165" s="7" t="e">
        <f>IF(J165&gt;=55,"Complete quarter ("&amp;J165&amp;" trading days)","PARTIAL quarter - only "&amp;J165&amp;" daily obs (series ends "&amp;TEXT(MAX([1]Source_Oil_Daily!$A$2:$A$2485),"yyyy-mm-dd")&amp;")")</f>
        <v>#VALUE!</v>
      </c>
    </row>
    <row r="166" spans="1:13" x14ac:dyDescent="0.35">
      <c r="A166" s="7">
        <v>2019</v>
      </c>
      <c r="B166" s="7" t="s">
        <v>12</v>
      </c>
      <c r="C166" s="7" t="s">
        <v>191</v>
      </c>
      <c r="D166" s="7" t="s">
        <v>218</v>
      </c>
      <c r="E166" s="7" t="s">
        <v>193</v>
      </c>
      <c r="F166" s="7" t="s">
        <v>219</v>
      </c>
      <c r="G166" s="7" t="s">
        <v>195</v>
      </c>
      <c r="H166" s="7" t="s">
        <v>195</v>
      </c>
      <c r="I166" s="7" t="s">
        <v>195</v>
      </c>
      <c r="J166" s="7" t="e">
        <f>COUNTIFS([1]Source_Oil_Daily!$C$2:$C$2485,A166,[1]Source_Oil_Daily!$D$2:$D$2485,B166)</f>
        <v>#VALUE!</v>
      </c>
      <c r="K166" s="10" t="e">
        <f>IF(J166=0,"",AVERAGEIFS([1]Source_Oil_Daily!$B$2:$B$2485,[1]Source_Oil_Daily!$C$2:$C$2485,A166,[1]Source_Oil_Daily!$D$2:$D$2485,B166))</f>
        <v>#VALUE!</v>
      </c>
      <c r="L166" s="7" t="s">
        <v>220</v>
      </c>
      <c r="M166" s="7" t="e">
        <f>IF(J166&gt;=55,"Complete quarter ("&amp;J166&amp;" trading days)","PARTIAL quarter - only "&amp;J166&amp;" daily obs (series ends "&amp;TEXT(MAX([1]Source_Oil_Daily!$A$2:$A$2485),"yyyy-mm-dd")&amp;")")</f>
        <v>#VALUE!</v>
      </c>
    </row>
    <row r="167" spans="1:13" x14ac:dyDescent="0.35">
      <c r="A167" s="7">
        <v>2019</v>
      </c>
      <c r="B167" s="7" t="s">
        <v>15</v>
      </c>
      <c r="C167" s="7" t="s">
        <v>191</v>
      </c>
      <c r="D167" s="7" t="s">
        <v>221</v>
      </c>
      <c r="E167" s="7" t="s">
        <v>193</v>
      </c>
      <c r="F167" s="7" t="s">
        <v>222</v>
      </c>
      <c r="G167" s="7" t="s">
        <v>195</v>
      </c>
      <c r="H167" s="7" t="s">
        <v>195</v>
      </c>
      <c r="I167" s="7" t="s">
        <v>195</v>
      </c>
      <c r="J167" s="7" t="e">
        <f>COUNTIFS([1]Source_Oil_Daily!$C$2:$C$2485,A167,[1]Source_Oil_Daily!$D$2:$D$2485,B167)</f>
        <v>#VALUE!</v>
      </c>
      <c r="K167" s="10" t="e">
        <f>IF(J167=0,"",AVERAGEIFS([1]Source_Oil_Daily!$B$2:$B$2485,[1]Source_Oil_Daily!$C$2:$C$2485,A167,[1]Source_Oil_Daily!$D$2:$D$2485,B167))</f>
        <v>#VALUE!</v>
      </c>
      <c r="L167" s="7" t="s">
        <v>223</v>
      </c>
      <c r="M167" s="7" t="e">
        <f>IF(J167&gt;=55,"Complete quarter ("&amp;J167&amp;" trading days)","PARTIAL quarter - only "&amp;J167&amp;" daily obs (series ends "&amp;TEXT(MAX([1]Source_Oil_Daily!$A$2:$A$2485),"yyyy-mm-dd")&amp;")")</f>
        <v>#VALUE!</v>
      </c>
    </row>
    <row r="168" spans="1:13" x14ac:dyDescent="0.35">
      <c r="A168" s="7">
        <v>2019</v>
      </c>
      <c r="B168" s="7" t="s">
        <v>16</v>
      </c>
      <c r="C168" s="7" t="s">
        <v>191</v>
      </c>
      <c r="D168" s="7" t="s">
        <v>224</v>
      </c>
      <c r="E168" s="7" t="s">
        <v>193</v>
      </c>
      <c r="F168" s="7" t="s">
        <v>225</v>
      </c>
      <c r="G168" s="7" t="s">
        <v>195</v>
      </c>
      <c r="H168" s="7" t="s">
        <v>195</v>
      </c>
      <c r="I168" s="7" t="s">
        <v>195</v>
      </c>
      <c r="J168" s="7" t="e">
        <f>COUNTIFS([1]Source_Oil_Daily!$C$2:$C$2485,A168,[1]Source_Oil_Daily!$D$2:$D$2485,B168)</f>
        <v>#VALUE!</v>
      </c>
      <c r="K168" s="10" t="e">
        <f>IF(J168=0,"",AVERAGEIFS([1]Source_Oil_Daily!$B$2:$B$2485,[1]Source_Oil_Daily!$C$2:$C$2485,A168,[1]Source_Oil_Daily!$D$2:$D$2485,B168))</f>
        <v>#VALUE!</v>
      </c>
      <c r="L168" s="7" t="s">
        <v>226</v>
      </c>
      <c r="M168" s="7" t="e">
        <f>IF(J168&gt;=55,"Complete quarter ("&amp;J168&amp;" trading days)","PARTIAL quarter - only "&amp;J168&amp;" daily obs (series ends "&amp;TEXT(MAX([1]Source_Oil_Daily!$A$2:$A$2485),"yyyy-mm-dd")&amp;")")</f>
        <v>#VALUE!</v>
      </c>
    </row>
    <row r="169" spans="1:13" x14ac:dyDescent="0.35">
      <c r="A169" s="7">
        <v>2019</v>
      </c>
      <c r="B169" s="7" t="s">
        <v>18</v>
      </c>
      <c r="C169" s="7" t="s">
        <v>191</v>
      </c>
      <c r="D169" s="7" t="s">
        <v>227</v>
      </c>
      <c r="E169" s="7" t="s">
        <v>193</v>
      </c>
      <c r="F169" s="7" t="s">
        <v>228</v>
      </c>
      <c r="G169" s="7" t="s">
        <v>195</v>
      </c>
      <c r="H169" s="7" t="s">
        <v>195</v>
      </c>
      <c r="I169" s="7" t="s">
        <v>195</v>
      </c>
      <c r="J169" s="7" t="e">
        <f>COUNTIFS([1]Source_Oil_Daily!$C$2:$C$2485,A169,[1]Source_Oil_Daily!$D$2:$D$2485,B169)</f>
        <v>#VALUE!</v>
      </c>
      <c r="K169" s="10" t="e">
        <f>IF(J169=0,"",AVERAGEIFS([1]Source_Oil_Daily!$B$2:$B$2485,[1]Source_Oil_Daily!$C$2:$C$2485,A169,[1]Source_Oil_Daily!$D$2:$D$2485,B169))</f>
        <v>#VALUE!</v>
      </c>
      <c r="L169" s="7" t="s">
        <v>229</v>
      </c>
      <c r="M169" s="7" t="e">
        <f>IF(J169&gt;=55,"Complete quarter ("&amp;J169&amp;" trading days)","PARTIAL quarter - only "&amp;J169&amp;" daily obs (series ends "&amp;TEXT(MAX([1]Source_Oil_Daily!$A$2:$A$2485),"yyyy-mm-dd")&amp;")")</f>
        <v>#VALUE!</v>
      </c>
    </row>
    <row r="170" spans="1:13" x14ac:dyDescent="0.35">
      <c r="A170" s="7">
        <v>2020</v>
      </c>
      <c r="B170" s="7" t="s">
        <v>12</v>
      </c>
      <c r="C170" s="7" t="s">
        <v>191</v>
      </c>
      <c r="D170" s="7" t="s">
        <v>230</v>
      </c>
      <c r="E170" s="7" t="s">
        <v>193</v>
      </c>
      <c r="F170" s="7" t="s">
        <v>231</v>
      </c>
      <c r="G170" s="7" t="s">
        <v>195</v>
      </c>
      <c r="H170" s="7" t="s">
        <v>195</v>
      </c>
      <c r="I170" s="7" t="s">
        <v>195</v>
      </c>
      <c r="J170" s="7" t="e">
        <f>COUNTIFS([1]Source_Oil_Daily!$C$2:$C$2485,A170,[1]Source_Oil_Daily!$D$2:$D$2485,B170)</f>
        <v>#VALUE!</v>
      </c>
      <c r="K170" s="10" t="e">
        <f>IF(J170=0,"",AVERAGEIFS([1]Source_Oil_Daily!$B$2:$B$2485,[1]Source_Oil_Daily!$C$2:$C$2485,A170,[1]Source_Oil_Daily!$D$2:$D$2485,B170))</f>
        <v>#VALUE!</v>
      </c>
      <c r="L170" s="7" t="s">
        <v>232</v>
      </c>
      <c r="M170" s="7" t="e">
        <f>IF(J170&gt;=55,"Complete quarter ("&amp;J170&amp;" trading days)","PARTIAL quarter - only "&amp;J170&amp;" daily obs (series ends "&amp;TEXT(MAX([1]Source_Oil_Daily!$A$2:$A$2485),"yyyy-mm-dd")&amp;")")</f>
        <v>#VALUE!</v>
      </c>
    </row>
    <row r="171" spans="1:13" x14ac:dyDescent="0.35">
      <c r="A171" s="7">
        <v>2020</v>
      </c>
      <c r="B171" s="7" t="s">
        <v>15</v>
      </c>
      <c r="C171" s="7" t="s">
        <v>191</v>
      </c>
      <c r="D171" s="7" t="s">
        <v>233</v>
      </c>
      <c r="E171" s="7" t="s">
        <v>193</v>
      </c>
      <c r="F171" s="7" t="s">
        <v>234</v>
      </c>
      <c r="G171" s="7" t="s">
        <v>195</v>
      </c>
      <c r="H171" s="7" t="s">
        <v>195</v>
      </c>
      <c r="I171" s="7" t="s">
        <v>195</v>
      </c>
      <c r="J171" s="7" t="e">
        <f>COUNTIFS([1]Source_Oil_Daily!$C$2:$C$2485,A171,[1]Source_Oil_Daily!$D$2:$D$2485,B171)</f>
        <v>#VALUE!</v>
      </c>
      <c r="K171" s="10" t="e">
        <f>IF(J171=0,"",AVERAGEIFS([1]Source_Oil_Daily!$B$2:$B$2485,[1]Source_Oil_Daily!$C$2:$C$2485,A171,[1]Source_Oil_Daily!$D$2:$D$2485,B171))</f>
        <v>#VALUE!</v>
      </c>
      <c r="L171" s="7" t="s">
        <v>235</v>
      </c>
      <c r="M171" s="7" t="e">
        <f>IF(J171&gt;=55,"Complete quarter ("&amp;J171&amp;" trading days)","PARTIAL quarter - only "&amp;J171&amp;" daily obs (series ends "&amp;TEXT(MAX([1]Source_Oil_Daily!$A$2:$A$2485),"yyyy-mm-dd")&amp;")")</f>
        <v>#VALUE!</v>
      </c>
    </row>
    <row r="172" spans="1:13" x14ac:dyDescent="0.35">
      <c r="A172" s="7">
        <v>2020</v>
      </c>
      <c r="B172" s="7" t="s">
        <v>16</v>
      </c>
      <c r="C172" s="7" t="s">
        <v>191</v>
      </c>
      <c r="D172" s="7" t="s">
        <v>236</v>
      </c>
      <c r="E172" s="7" t="s">
        <v>193</v>
      </c>
      <c r="F172" s="7" t="s">
        <v>237</v>
      </c>
      <c r="G172" s="7" t="s">
        <v>195</v>
      </c>
      <c r="H172" s="7" t="s">
        <v>195</v>
      </c>
      <c r="I172" s="7" t="s">
        <v>195</v>
      </c>
      <c r="J172" s="7" t="e">
        <f>COUNTIFS([1]Source_Oil_Daily!$C$2:$C$2485,A172,[1]Source_Oil_Daily!$D$2:$D$2485,B172)</f>
        <v>#VALUE!</v>
      </c>
      <c r="K172" s="10" t="e">
        <f>IF(J172=0,"",AVERAGEIFS([1]Source_Oil_Daily!$B$2:$B$2485,[1]Source_Oil_Daily!$C$2:$C$2485,A172,[1]Source_Oil_Daily!$D$2:$D$2485,B172))</f>
        <v>#VALUE!</v>
      </c>
      <c r="L172" s="7" t="s">
        <v>238</v>
      </c>
      <c r="M172" s="7" t="e">
        <f>IF(J172&gt;=55,"Complete quarter ("&amp;J172&amp;" trading days)","PARTIAL quarter - only "&amp;J172&amp;" daily obs (series ends "&amp;TEXT(MAX([1]Source_Oil_Daily!$A$2:$A$2485),"yyyy-mm-dd")&amp;")")</f>
        <v>#VALUE!</v>
      </c>
    </row>
    <row r="173" spans="1:13" x14ac:dyDescent="0.35">
      <c r="A173" s="7">
        <v>2020</v>
      </c>
      <c r="B173" s="7" t="s">
        <v>18</v>
      </c>
      <c r="C173" s="7" t="s">
        <v>191</v>
      </c>
      <c r="D173" s="7" t="s">
        <v>239</v>
      </c>
      <c r="E173" s="7" t="s">
        <v>193</v>
      </c>
      <c r="F173" s="7" t="s">
        <v>240</v>
      </c>
      <c r="G173" s="7" t="s">
        <v>195</v>
      </c>
      <c r="H173" s="7" t="s">
        <v>195</v>
      </c>
      <c r="I173" s="7" t="s">
        <v>195</v>
      </c>
      <c r="J173" s="7" t="e">
        <f>COUNTIFS([1]Source_Oil_Daily!$C$2:$C$2485,A173,[1]Source_Oil_Daily!$D$2:$D$2485,B173)</f>
        <v>#VALUE!</v>
      </c>
      <c r="K173" s="10" t="e">
        <f>IF(J173=0,"",AVERAGEIFS([1]Source_Oil_Daily!$B$2:$B$2485,[1]Source_Oil_Daily!$C$2:$C$2485,A173,[1]Source_Oil_Daily!$D$2:$D$2485,B173))</f>
        <v>#VALUE!</v>
      </c>
      <c r="L173" s="7" t="s">
        <v>241</v>
      </c>
      <c r="M173" s="7" t="e">
        <f>IF(J173&gt;=55,"Complete quarter ("&amp;J173&amp;" trading days)","PARTIAL quarter - only "&amp;J173&amp;" daily obs (series ends "&amp;TEXT(MAX([1]Source_Oil_Daily!$A$2:$A$2485),"yyyy-mm-dd")&amp;")")</f>
        <v>#VALUE!</v>
      </c>
    </row>
    <row r="174" spans="1:13" x14ac:dyDescent="0.35">
      <c r="A174" s="7">
        <v>2021</v>
      </c>
      <c r="B174" s="7" t="s">
        <v>12</v>
      </c>
      <c r="C174" s="7" t="s">
        <v>191</v>
      </c>
      <c r="D174" s="7" t="s">
        <v>242</v>
      </c>
      <c r="E174" s="7" t="s">
        <v>193</v>
      </c>
      <c r="F174" s="7" t="s">
        <v>243</v>
      </c>
      <c r="G174" s="7" t="s">
        <v>195</v>
      </c>
      <c r="H174" s="7" t="s">
        <v>195</v>
      </c>
      <c r="I174" s="7" t="s">
        <v>195</v>
      </c>
      <c r="J174" s="7" t="e">
        <f>COUNTIFS([1]Source_Oil_Daily!$C$2:$C$2485,A174,[1]Source_Oil_Daily!$D$2:$D$2485,B174)</f>
        <v>#VALUE!</v>
      </c>
      <c r="K174" s="10" t="e">
        <f>IF(J174=0,"",AVERAGEIFS([1]Source_Oil_Daily!$B$2:$B$2485,[1]Source_Oil_Daily!$C$2:$C$2485,A174,[1]Source_Oil_Daily!$D$2:$D$2485,B174))</f>
        <v>#VALUE!</v>
      </c>
      <c r="L174" s="7" t="s">
        <v>244</v>
      </c>
      <c r="M174" s="7" t="e">
        <f>IF(J174&gt;=55,"Complete quarter ("&amp;J174&amp;" trading days)","PARTIAL quarter - only "&amp;J174&amp;" daily obs (series ends "&amp;TEXT(MAX([1]Source_Oil_Daily!$A$2:$A$2485),"yyyy-mm-dd")&amp;")")</f>
        <v>#VALUE!</v>
      </c>
    </row>
    <row r="175" spans="1:13" x14ac:dyDescent="0.35">
      <c r="A175" s="7">
        <v>2021</v>
      </c>
      <c r="B175" s="7" t="s">
        <v>15</v>
      </c>
      <c r="C175" s="7" t="s">
        <v>191</v>
      </c>
      <c r="D175" s="7" t="s">
        <v>245</v>
      </c>
      <c r="E175" s="7" t="s">
        <v>193</v>
      </c>
      <c r="F175" s="7" t="s">
        <v>246</v>
      </c>
      <c r="G175" s="7" t="s">
        <v>195</v>
      </c>
      <c r="H175" s="7" t="s">
        <v>195</v>
      </c>
      <c r="I175" s="7" t="s">
        <v>195</v>
      </c>
      <c r="J175" s="7" t="e">
        <f>COUNTIFS([1]Source_Oil_Daily!$C$2:$C$2485,A175,[1]Source_Oil_Daily!$D$2:$D$2485,B175)</f>
        <v>#VALUE!</v>
      </c>
      <c r="K175" s="10" t="e">
        <f>IF(J175=0,"",AVERAGEIFS([1]Source_Oil_Daily!$B$2:$B$2485,[1]Source_Oil_Daily!$C$2:$C$2485,A175,[1]Source_Oil_Daily!$D$2:$D$2485,B175))</f>
        <v>#VALUE!</v>
      </c>
      <c r="L175" s="7" t="s">
        <v>247</v>
      </c>
      <c r="M175" s="7" t="e">
        <f>IF(J175&gt;=55,"Complete quarter ("&amp;J175&amp;" trading days)","PARTIAL quarter - only "&amp;J175&amp;" daily obs (series ends "&amp;TEXT(MAX([1]Source_Oil_Daily!$A$2:$A$2485),"yyyy-mm-dd")&amp;")")</f>
        <v>#VALUE!</v>
      </c>
    </row>
    <row r="176" spans="1:13" x14ac:dyDescent="0.35">
      <c r="A176" s="7">
        <v>2021</v>
      </c>
      <c r="B176" s="7" t="s">
        <v>16</v>
      </c>
      <c r="C176" s="7" t="s">
        <v>191</v>
      </c>
      <c r="D176" s="7" t="s">
        <v>248</v>
      </c>
      <c r="E176" s="7" t="s">
        <v>193</v>
      </c>
      <c r="F176" s="7" t="s">
        <v>249</v>
      </c>
      <c r="G176" s="7" t="s">
        <v>195</v>
      </c>
      <c r="H176" s="7" t="s">
        <v>195</v>
      </c>
      <c r="I176" s="7" t="s">
        <v>195</v>
      </c>
      <c r="J176" s="7" t="e">
        <f>COUNTIFS([1]Source_Oil_Daily!$C$2:$C$2485,A176,[1]Source_Oil_Daily!$D$2:$D$2485,B176)</f>
        <v>#VALUE!</v>
      </c>
      <c r="K176" s="10" t="e">
        <f>IF(J176=0,"",AVERAGEIFS([1]Source_Oil_Daily!$B$2:$B$2485,[1]Source_Oil_Daily!$C$2:$C$2485,A176,[1]Source_Oil_Daily!$D$2:$D$2485,B176))</f>
        <v>#VALUE!</v>
      </c>
      <c r="L176" s="7" t="s">
        <v>250</v>
      </c>
      <c r="M176" s="7" t="e">
        <f>IF(J176&gt;=55,"Complete quarter ("&amp;J176&amp;" trading days)","PARTIAL quarter - only "&amp;J176&amp;" daily obs (series ends "&amp;TEXT(MAX([1]Source_Oil_Daily!$A$2:$A$2485),"yyyy-mm-dd")&amp;")")</f>
        <v>#VALUE!</v>
      </c>
    </row>
    <row r="177" spans="1:13" x14ac:dyDescent="0.35">
      <c r="A177" s="7">
        <v>2021</v>
      </c>
      <c r="B177" s="7" t="s">
        <v>18</v>
      </c>
      <c r="C177" s="7" t="s">
        <v>191</v>
      </c>
      <c r="D177" s="7" t="s">
        <v>251</v>
      </c>
      <c r="E177" s="7" t="s">
        <v>193</v>
      </c>
      <c r="F177" s="7" t="s">
        <v>252</v>
      </c>
      <c r="G177" s="7" t="s">
        <v>195</v>
      </c>
      <c r="H177" s="7" t="s">
        <v>195</v>
      </c>
      <c r="I177" s="7" t="s">
        <v>195</v>
      </c>
      <c r="J177" s="7" t="e">
        <f>COUNTIFS([1]Source_Oil_Daily!$C$2:$C$2485,A177,[1]Source_Oil_Daily!$D$2:$D$2485,B177)</f>
        <v>#VALUE!</v>
      </c>
      <c r="K177" s="10" t="e">
        <f>IF(J177=0,"",AVERAGEIFS([1]Source_Oil_Daily!$B$2:$B$2485,[1]Source_Oil_Daily!$C$2:$C$2485,A177,[1]Source_Oil_Daily!$D$2:$D$2485,B177))</f>
        <v>#VALUE!</v>
      </c>
      <c r="L177" s="7" t="s">
        <v>253</v>
      </c>
      <c r="M177" s="7" t="e">
        <f>IF(J177&gt;=55,"Complete quarter ("&amp;J177&amp;" trading days)","PARTIAL quarter - only "&amp;J177&amp;" daily obs (series ends "&amp;TEXT(MAX([1]Source_Oil_Daily!$A$2:$A$2485),"yyyy-mm-dd")&amp;")")</f>
        <v>#VALUE!</v>
      </c>
    </row>
    <row r="178" spans="1:13" x14ac:dyDescent="0.35">
      <c r="A178" s="7">
        <v>2022</v>
      </c>
      <c r="B178" s="7" t="s">
        <v>12</v>
      </c>
      <c r="C178" s="7" t="s">
        <v>191</v>
      </c>
      <c r="D178" s="7" t="s">
        <v>254</v>
      </c>
      <c r="E178" s="7" t="s">
        <v>193</v>
      </c>
      <c r="F178" s="7" t="s">
        <v>255</v>
      </c>
      <c r="G178" s="7" t="s">
        <v>195</v>
      </c>
      <c r="H178" s="7" t="s">
        <v>195</v>
      </c>
      <c r="I178" s="7" t="s">
        <v>195</v>
      </c>
      <c r="J178" s="7" t="e">
        <f>COUNTIFS([1]Source_Oil_Daily!$C$2:$C$2485,A178,[1]Source_Oil_Daily!$D$2:$D$2485,B178)</f>
        <v>#VALUE!</v>
      </c>
      <c r="K178" s="10" t="e">
        <f>IF(J178=0,"",AVERAGEIFS([1]Source_Oil_Daily!$B$2:$B$2485,[1]Source_Oil_Daily!$C$2:$C$2485,A178,[1]Source_Oil_Daily!$D$2:$D$2485,B178))</f>
        <v>#VALUE!</v>
      </c>
      <c r="L178" s="7" t="s">
        <v>256</v>
      </c>
      <c r="M178" s="7" t="e">
        <f>IF(J178&gt;=55,"Complete quarter ("&amp;J178&amp;" trading days)","PARTIAL quarter - only "&amp;J178&amp;" daily obs (series ends "&amp;TEXT(MAX([1]Source_Oil_Daily!$A$2:$A$2485),"yyyy-mm-dd")&amp;")")</f>
        <v>#VALUE!</v>
      </c>
    </row>
    <row r="179" spans="1:13" x14ac:dyDescent="0.35">
      <c r="A179" s="7">
        <v>2022</v>
      </c>
      <c r="B179" s="7" t="s">
        <v>15</v>
      </c>
      <c r="C179" s="7" t="s">
        <v>191</v>
      </c>
      <c r="D179" s="7" t="s">
        <v>257</v>
      </c>
      <c r="E179" s="7" t="s">
        <v>193</v>
      </c>
      <c r="F179" s="7" t="s">
        <v>258</v>
      </c>
      <c r="G179" s="7" t="s">
        <v>195</v>
      </c>
      <c r="H179" s="7" t="s">
        <v>195</v>
      </c>
      <c r="I179" s="7" t="s">
        <v>195</v>
      </c>
      <c r="J179" s="7" t="e">
        <f>COUNTIFS([1]Source_Oil_Daily!$C$2:$C$2485,A179,[1]Source_Oil_Daily!$D$2:$D$2485,B179)</f>
        <v>#VALUE!</v>
      </c>
      <c r="K179" s="10" t="e">
        <f>IF(J179=0,"",AVERAGEIFS([1]Source_Oil_Daily!$B$2:$B$2485,[1]Source_Oil_Daily!$C$2:$C$2485,A179,[1]Source_Oil_Daily!$D$2:$D$2485,B179))</f>
        <v>#VALUE!</v>
      </c>
      <c r="L179" s="7" t="s">
        <v>259</v>
      </c>
      <c r="M179" s="7" t="e">
        <f>IF(J179&gt;=55,"Complete quarter ("&amp;J179&amp;" trading days)","PARTIAL quarter - only "&amp;J179&amp;" daily obs (series ends "&amp;TEXT(MAX([1]Source_Oil_Daily!$A$2:$A$2485),"yyyy-mm-dd")&amp;")")</f>
        <v>#VALUE!</v>
      </c>
    </row>
    <row r="180" spans="1:13" x14ac:dyDescent="0.35">
      <c r="A180" s="7">
        <v>2022</v>
      </c>
      <c r="B180" s="7" t="s">
        <v>16</v>
      </c>
      <c r="C180" s="7" t="s">
        <v>191</v>
      </c>
      <c r="D180" s="7" t="s">
        <v>260</v>
      </c>
      <c r="E180" s="7" t="s">
        <v>193</v>
      </c>
      <c r="F180" s="7" t="s">
        <v>261</v>
      </c>
      <c r="G180" s="7" t="s">
        <v>195</v>
      </c>
      <c r="H180" s="7" t="s">
        <v>195</v>
      </c>
      <c r="I180" s="7" t="s">
        <v>195</v>
      </c>
      <c r="J180" s="7" t="e">
        <f>COUNTIFS([1]Source_Oil_Daily!$C$2:$C$2485,A180,[1]Source_Oil_Daily!$D$2:$D$2485,B180)</f>
        <v>#VALUE!</v>
      </c>
      <c r="K180" s="10" t="e">
        <f>IF(J180=0,"",AVERAGEIFS([1]Source_Oil_Daily!$B$2:$B$2485,[1]Source_Oil_Daily!$C$2:$C$2485,A180,[1]Source_Oil_Daily!$D$2:$D$2485,B180))</f>
        <v>#VALUE!</v>
      </c>
      <c r="L180" s="7" t="s">
        <v>262</v>
      </c>
      <c r="M180" s="7" t="e">
        <f>IF(J180&gt;=55,"Complete quarter ("&amp;J180&amp;" trading days)","PARTIAL quarter - only "&amp;J180&amp;" daily obs (series ends "&amp;TEXT(MAX([1]Source_Oil_Daily!$A$2:$A$2485),"yyyy-mm-dd")&amp;")")</f>
        <v>#VALUE!</v>
      </c>
    </row>
    <row r="181" spans="1:13" x14ac:dyDescent="0.35">
      <c r="A181" s="7">
        <v>2022</v>
      </c>
      <c r="B181" s="7" t="s">
        <v>18</v>
      </c>
      <c r="C181" s="7" t="s">
        <v>191</v>
      </c>
      <c r="D181" s="7" t="s">
        <v>263</v>
      </c>
      <c r="E181" s="7" t="s">
        <v>193</v>
      </c>
      <c r="F181" s="7" t="s">
        <v>264</v>
      </c>
      <c r="G181" s="7" t="s">
        <v>195</v>
      </c>
      <c r="H181" s="7" t="s">
        <v>195</v>
      </c>
      <c r="I181" s="7" t="s">
        <v>195</v>
      </c>
      <c r="J181" s="7" t="e">
        <f>COUNTIFS([1]Source_Oil_Daily!$C$2:$C$2485,A181,[1]Source_Oil_Daily!$D$2:$D$2485,B181)</f>
        <v>#VALUE!</v>
      </c>
      <c r="K181" s="10" t="e">
        <f>IF(J181=0,"",AVERAGEIFS([1]Source_Oil_Daily!$B$2:$B$2485,[1]Source_Oil_Daily!$C$2:$C$2485,A181,[1]Source_Oil_Daily!$D$2:$D$2485,B181))</f>
        <v>#VALUE!</v>
      </c>
      <c r="L181" s="7" t="s">
        <v>265</v>
      </c>
      <c r="M181" s="7" t="e">
        <f>IF(J181&gt;=55,"Complete quarter ("&amp;J181&amp;" trading days)","PARTIAL quarter - only "&amp;J181&amp;" daily obs (series ends "&amp;TEXT(MAX([1]Source_Oil_Daily!$A$2:$A$2485),"yyyy-mm-dd")&amp;")")</f>
        <v>#VALUE!</v>
      </c>
    </row>
    <row r="182" spans="1:13" x14ac:dyDescent="0.35">
      <c r="A182" s="7">
        <v>2023</v>
      </c>
      <c r="B182" s="7" t="s">
        <v>12</v>
      </c>
      <c r="C182" s="7" t="s">
        <v>191</v>
      </c>
      <c r="D182" s="7" t="s">
        <v>266</v>
      </c>
      <c r="E182" s="7" t="s">
        <v>193</v>
      </c>
      <c r="F182" s="7" t="s">
        <v>267</v>
      </c>
      <c r="G182" s="7" t="s">
        <v>195</v>
      </c>
      <c r="H182" s="7" t="s">
        <v>195</v>
      </c>
      <c r="I182" s="7" t="s">
        <v>195</v>
      </c>
      <c r="J182" s="7" t="e">
        <f>COUNTIFS([1]Source_Oil_Daily!$C$2:$C$2485,A182,[1]Source_Oil_Daily!$D$2:$D$2485,B182)</f>
        <v>#VALUE!</v>
      </c>
      <c r="K182" s="10" t="e">
        <f>IF(J182=0,"",AVERAGEIFS([1]Source_Oil_Daily!$B$2:$B$2485,[1]Source_Oil_Daily!$C$2:$C$2485,A182,[1]Source_Oil_Daily!$D$2:$D$2485,B182))</f>
        <v>#VALUE!</v>
      </c>
      <c r="L182" s="7" t="s">
        <v>268</v>
      </c>
      <c r="M182" s="7" t="e">
        <f>IF(J182&gt;=55,"Complete quarter ("&amp;J182&amp;" trading days)","PARTIAL quarter - only "&amp;J182&amp;" daily obs (series ends "&amp;TEXT(MAX([1]Source_Oil_Daily!$A$2:$A$2485),"yyyy-mm-dd")&amp;")")</f>
        <v>#VALUE!</v>
      </c>
    </row>
    <row r="183" spans="1:13" x14ac:dyDescent="0.35">
      <c r="A183" s="7">
        <v>2023</v>
      </c>
      <c r="B183" s="7" t="s">
        <v>15</v>
      </c>
      <c r="C183" s="7" t="s">
        <v>191</v>
      </c>
      <c r="D183" s="7" t="s">
        <v>269</v>
      </c>
      <c r="E183" s="7" t="s">
        <v>193</v>
      </c>
      <c r="F183" s="7" t="s">
        <v>270</v>
      </c>
      <c r="G183" s="7" t="s">
        <v>195</v>
      </c>
      <c r="H183" s="7" t="s">
        <v>195</v>
      </c>
      <c r="I183" s="7" t="s">
        <v>195</v>
      </c>
      <c r="J183" s="7" t="e">
        <f>COUNTIFS([1]Source_Oil_Daily!$C$2:$C$2485,A183,[1]Source_Oil_Daily!$D$2:$D$2485,B183)</f>
        <v>#VALUE!</v>
      </c>
      <c r="K183" s="10" t="e">
        <f>IF(J183=0,"",AVERAGEIFS([1]Source_Oil_Daily!$B$2:$B$2485,[1]Source_Oil_Daily!$C$2:$C$2485,A183,[1]Source_Oil_Daily!$D$2:$D$2485,B183))</f>
        <v>#VALUE!</v>
      </c>
      <c r="L183" s="7" t="s">
        <v>271</v>
      </c>
      <c r="M183" s="7" t="e">
        <f>IF(J183&gt;=55,"Complete quarter ("&amp;J183&amp;" trading days)","PARTIAL quarter - only "&amp;J183&amp;" daily obs (series ends "&amp;TEXT(MAX([1]Source_Oil_Daily!$A$2:$A$2485),"yyyy-mm-dd")&amp;")")</f>
        <v>#VALUE!</v>
      </c>
    </row>
    <row r="184" spans="1:13" x14ac:dyDescent="0.35">
      <c r="A184" s="7">
        <v>2023</v>
      </c>
      <c r="B184" s="7" t="s">
        <v>16</v>
      </c>
      <c r="C184" s="7" t="s">
        <v>191</v>
      </c>
      <c r="D184" s="7" t="s">
        <v>272</v>
      </c>
      <c r="E184" s="7" t="s">
        <v>193</v>
      </c>
      <c r="F184" s="7" t="s">
        <v>273</v>
      </c>
      <c r="G184" s="7" t="s">
        <v>195</v>
      </c>
      <c r="H184" s="7" t="s">
        <v>195</v>
      </c>
      <c r="I184" s="7" t="s">
        <v>195</v>
      </c>
      <c r="J184" s="7" t="e">
        <f>COUNTIFS([1]Source_Oil_Daily!$C$2:$C$2485,A184,[1]Source_Oil_Daily!$D$2:$D$2485,B184)</f>
        <v>#VALUE!</v>
      </c>
      <c r="K184" s="10" t="e">
        <f>IF(J184=0,"",AVERAGEIFS([1]Source_Oil_Daily!$B$2:$B$2485,[1]Source_Oil_Daily!$C$2:$C$2485,A184,[1]Source_Oil_Daily!$D$2:$D$2485,B184))</f>
        <v>#VALUE!</v>
      </c>
      <c r="L184" s="7" t="s">
        <v>274</v>
      </c>
      <c r="M184" s="7" t="e">
        <f>IF(J184&gt;=55,"Complete quarter ("&amp;J184&amp;" trading days)","PARTIAL quarter - only "&amp;J184&amp;" daily obs (series ends "&amp;TEXT(MAX([1]Source_Oil_Daily!$A$2:$A$2485),"yyyy-mm-dd")&amp;")")</f>
        <v>#VALUE!</v>
      </c>
    </row>
    <row r="185" spans="1:13" x14ac:dyDescent="0.35">
      <c r="A185" s="7">
        <v>2023</v>
      </c>
      <c r="B185" s="7" t="s">
        <v>18</v>
      </c>
      <c r="C185" s="7" t="s">
        <v>191</v>
      </c>
      <c r="D185" s="7" t="s">
        <v>275</v>
      </c>
      <c r="E185" s="7" t="s">
        <v>193</v>
      </c>
      <c r="F185" s="7" t="s">
        <v>276</v>
      </c>
      <c r="G185" s="7" t="s">
        <v>195</v>
      </c>
      <c r="H185" s="7" t="s">
        <v>195</v>
      </c>
      <c r="I185" s="7" t="s">
        <v>195</v>
      </c>
      <c r="J185" s="7" t="e">
        <f>COUNTIFS([1]Source_Oil_Daily!$C$2:$C$2485,A185,[1]Source_Oil_Daily!$D$2:$D$2485,B185)</f>
        <v>#VALUE!</v>
      </c>
      <c r="K185" s="10" t="e">
        <f>IF(J185=0,"",AVERAGEIFS([1]Source_Oil_Daily!$B$2:$B$2485,[1]Source_Oil_Daily!$C$2:$C$2485,A185,[1]Source_Oil_Daily!$D$2:$D$2485,B185))</f>
        <v>#VALUE!</v>
      </c>
      <c r="L185" s="7" t="s">
        <v>277</v>
      </c>
      <c r="M185" s="7" t="e">
        <f>IF(J185&gt;=55,"Complete quarter ("&amp;J185&amp;" trading days)","PARTIAL quarter - only "&amp;J185&amp;" daily obs (series ends "&amp;TEXT(MAX([1]Source_Oil_Daily!$A$2:$A$2485),"yyyy-mm-dd")&amp;")")</f>
        <v>#VALUE!</v>
      </c>
    </row>
    <row r="186" spans="1:13" x14ac:dyDescent="0.35">
      <c r="A186" s="7">
        <v>2024</v>
      </c>
      <c r="B186" s="7" t="s">
        <v>12</v>
      </c>
      <c r="C186" s="7" t="s">
        <v>191</v>
      </c>
      <c r="D186" s="7" t="s">
        <v>278</v>
      </c>
      <c r="E186" s="7" t="s">
        <v>193</v>
      </c>
      <c r="F186" s="7" t="s">
        <v>279</v>
      </c>
      <c r="G186" s="7" t="s">
        <v>195</v>
      </c>
      <c r="H186" s="7" t="s">
        <v>195</v>
      </c>
      <c r="I186" s="7" t="s">
        <v>195</v>
      </c>
      <c r="J186" s="7" t="e">
        <f>COUNTIFS([1]Source_Oil_Daily!$C$2:$C$2485,A186,[1]Source_Oil_Daily!$D$2:$D$2485,B186)</f>
        <v>#VALUE!</v>
      </c>
      <c r="K186" s="10" t="e">
        <f>IF(J186=0,"",AVERAGEIFS([1]Source_Oil_Daily!$B$2:$B$2485,[1]Source_Oil_Daily!$C$2:$C$2485,A186,[1]Source_Oil_Daily!$D$2:$D$2485,B186))</f>
        <v>#VALUE!</v>
      </c>
      <c r="L186" s="7" t="s">
        <v>280</v>
      </c>
      <c r="M186" s="7" t="e">
        <f>IF(J186&gt;=55,"Complete quarter ("&amp;J186&amp;" trading days)","PARTIAL quarter - only "&amp;J186&amp;" daily obs (series ends "&amp;TEXT(MAX([1]Source_Oil_Daily!$A$2:$A$2485),"yyyy-mm-dd")&amp;")")</f>
        <v>#VALUE!</v>
      </c>
    </row>
    <row r="187" spans="1:13" x14ac:dyDescent="0.35">
      <c r="A187" s="7">
        <v>2024</v>
      </c>
      <c r="B187" s="7" t="s">
        <v>15</v>
      </c>
      <c r="C187" s="7" t="s">
        <v>191</v>
      </c>
      <c r="D187" s="7" t="s">
        <v>281</v>
      </c>
      <c r="E187" s="7" t="s">
        <v>193</v>
      </c>
      <c r="F187" s="7" t="s">
        <v>282</v>
      </c>
      <c r="G187" s="7" t="s">
        <v>195</v>
      </c>
      <c r="H187" s="7" t="s">
        <v>195</v>
      </c>
      <c r="I187" s="7" t="s">
        <v>195</v>
      </c>
      <c r="J187" s="7" t="e">
        <f>COUNTIFS([1]Source_Oil_Daily!$C$2:$C$2485,A187,[1]Source_Oil_Daily!$D$2:$D$2485,B187)</f>
        <v>#VALUE!</v>
      </c>
      <c r="K187" s="10" t="e">
        <f>IF(J187=0,"",AVERAGEIFS([1]Source_Oil_Daily!$B$2:$B$2485,[1]Source_Oil_Daily!$C$2:$C$2485,A187,[1]Source_Oil_Daily!$D$2:$D$2485,B187))</f>
        <v>#VALUE!</v>
      </c>
      <c r="L187" s="7" t="s">
        <v>283</v>
      </c>
      <c r="M187" s="7" t="e">
        <f>IF(J187&gt;=55,"Complete quarter ("&amp;J187&amp;" trading days)","PARTIAL quarter - only "&amp;J187&amp;" daily obs (series ends "&amp;TEXT(MAX([1]Source_Oil_Daily!$A$2:$A$2485),"yyyy-mm-dd")&amp;")")</f>
        <v>#VALUE!</v>
      </c>
    </row>
    <row r="188" spans="1:13" x14ac:dyDescent="0.35">
      <c r="A188" s="7">
        <v>2024</v>
      </c>
      <c r="B188" s="7" t="s">
        <v>16</v>
      </c>
      <c r="C188" s="7" t="s">
        <v>191</v>
      </c>
      <c r="D188" s="7" t="s">
        <v>284</v>
      </c>
      <c r="E188" s="7" t="s">
        <v>193</v>
      </c>
      <c r="F188" s="7" t="s">
        <v>285</v>
      </c>
      <c r="G188" s="7" t="s">
        <v>195</v>
      </c>
      <c r="H188" s="7" t="s">
        <v>195</v>
      </c>
      <c r="I188" s="7" t="s">
        <v>195</v>
      </c>
      <c r="J188" s="7" t="e">
        <f>COUNTIFS([1]Source_Oil_Daily!$C$2:$C$2485,A188,[1]Source_Oil_Daily!$D$2:$D$2485,B188)</f>
        <v>#VALUE!</v>
      </c>
      <c r="K188" s="10" t="e">
        <f>IF(J188=0,"",AVERAGEIFS([1]Source_Oil_Daily!$B$2:$B$2485,[1]Source_Oil_Daily!$C$2:$C$2485,A188,[1]Source_Oil_Daily!$D$2:$D$2485,B188))</f>
        <v>#VALUE!</v>
      </c>
      <c r="L188" s="7" t="s">
        <v>286</v>
      </c>
      <c r="M188" s="7" t="e">
        <f>IF(J188&gt;=55,"Complete quarter ("&amp;J188&amp;" trading days)","PARTIAL quarter - only "&amp;J188&amp;" daily obs (series ends "&amp;TEXT(MAX([1]Source_Oil_Daily!$A$2:$A$2485),"yyyy-mm-dd")&amp;")")</f>
        <v>#VALUE!</v>
      </c>
    </row>
    <row r="189" spans="1:13" x14ac:dyDescent="0.35">
      <c r="A189" s="7">
        <v>2024</v>
      </c>
      <c r="B189" s="7" t="s">
        <v>18</v>
      </c>
      <c r="C189" s="7" t="s">
        <v>191</v>
      </c>
      <c r="D189" s="7" t="s">
        <v>287</v>
      </c>
      <c r="E189" s="7" t="s">
        <v>193</v>
      </c>
      <c r="F189" s="7" t="s">
        <v>288</v>
      </c>
      <c r="G189" s="7" t="s">
        <v>195</v>
      </c>
      <c r="H189" s="7" t="s">
        <v>195</v>
      </c>
      <c r="I189" s="7" t="s">
        <v>195</v>
      </c>
      <c r="J189" s="7" t="e">
        <f>COUNTIFS([1]Source_Oil_Daily!$C$2:$C$2485,A189,[1]Source_Oil_Daily!$D$2:$D$2485,B189)</f>
        <v>#VALUE!</v>
      </c>
      <c r="K189" s="10" t="e">
        <f>IF(J189=0,"",AVERAGEIFS([1]Source_Oil_Daily!$B$2:$B$2485,[1]Source_Oil_Daily!$C$2:$C$2485,A189,[1]Source_Oil_Daily!$D$2:$D$2485,B189))</f>
        <v>#VALUE!</v>
      </c>
      <c r="L189" s="7" t="s">
        <v>289</v>
      </c>
      <c r="M189" s="7" t="e">
        <f>IF(J189&gt;=55,"Complete quarter ("&amp;J189&amp;" trading days)","PARTIAL quarter - only "&amp;J189&amp;" daily obs (series ends "&amp;TEXT(MAX([1]Source_Oil_Daily!$A$2:$A$2485),"yyyy-mm-dd")&amp;")")</f>
        <v>#VALUE!</v>
      </c>
    </row>
    <row r="190" spans="1:13" x14ac:dyDescent="0.35">
      <c r="A190" s="7">
        <v>2025</v>
      </c>
      <c r="B190" s="7" t="s">
        <v>12</v>
      </c>
      <c r="C190" s="7" t="s">
        <v>191</v>
      </c>
      <c r="D190" s="7" t="s">
        <v>290</v>
      </c>
      <c r="E190" s="7" t="s">
        <v>193</v>
      </c>
      <c r="F190" s="7" t="s">
        <v>291</v>
      </c>
      <c r="G190" s="7" t="s">
        <v>195</v>
      </c>
      <c r="H190" s="7" t="s">
        <v>195</v>
      </c>
      <c r="I190" s="7" t="s">
        <v>195</v>
      </c>
      <c r="J190" s="7" t="e">
        <f>COUNTIFS([1]Source_Oil_Daily!$C$2:$C$2485,A190,[1]Source_Oil_Daily!$D$2:$D$2485,B190)</f>
        <v>#VALUE!</v>
      </c>
      <c r="K190" s="10" t="e">
        <f>IF(J190=0,"",AVERAGEIFS([1]Source_Oil_Daily!$B$2:$B$2485,[1]Source_Oil_Daily!$C$2:$C$2485,A190,[1]Source_Oil_Daily!$D$2:$D$2485,B190))</f>
        <v>#VALUE!</v>
      </c>
      <c r="L190" s="7" t="s">
        <v>292</v>
      </c>
      <c r="M190" s="7" t="e">
        <f>IF(J190&gt;=55,"Complete quarter ("&amp;J190&amp;" trading days)","PARTIAL quarter - only "&amp;J190&amp;" daily obs (series ends "&amp;TEXT(MAX([1]Source_Oil_Daily!$A$2:$A$2485),"yyyy-mm-dd")&amp;")")</f>
        <v>#VALUE!</v>
      </c>
    </row>
    <row r="191" spans="1:13" x14ac:dyDescent="0.35">
      <c r="A191" s="7">
        <v>2025</v>
      </c>
      <c r="B191" s="7" t="s">
        <v>15</v>
      </c>
      <c r="C191" s="7" t="s">
        <v>191</v>
      </c>
      <c r="D191" s="7" t="s">
        <v>293</v>
      </c>
      <c r="E191" s="7" t="s">
        <v>193</v>
      </c>
      <c r="F191" s="7" t="s">
        <v>294</v>
      </c>
      <c r="G191" s="7" t="s">
        <v>195</v>
      </c>
      <c r="H191" s="7" t="s">
        <v>195</v>
      </c>
      <c r="I191" s="7" t="s">
        <v>195</v>
      </c>
      <c r="J191" s="7" t="e">
        <f>COUNTIFS([1]Source_Oil_Daily!$C$2:$C$2485,A191,[1]Source_Oil_Daily!$D$2:$D$2485,B191)</f>
        <v>#VALUE!</v>
      </c>
      <c r="K191" s="10" t="e">
        <f>IF(J191=0,"",AVERAGEIFS([1]Source_Oil_Daily!$B$2:$B$2485,[1]Source_Oil_Daily!$C$2:$C$2485,A191,[1]Source_Oil_Daily!$D$2:$D$2485,B191))</f>
        <v>#VALUE!</v>
      </c>
      <c r="L191" s="7" t="s">
        <v>295</v>
      </c>
      <c r="M191" s="7" t="e">
        <f>IF(J191&gt;=55,"Complete quarter ("&amp;J191&amp;" trading days)","PARTIAL quarter - only "&amp;J191&amp;" daily obs (series ends "&amp;TEXT(MAX([1]Source_Oil_Daily!$A$2:$A$2485),"yyyy-mm-dd")&amp;")")</f>
        <v>#VALUE!</v>
      </c>
    </row>
    <row r="192" spans="1:13" x14ac:dyDescent="0.35">
      <c r="A192" s="7">
        <v>2025</v>
      </c>
      <c r="B192" s="7" t="s">
        <v>16</v>
      </c>
      <c r="C192" s="7" t="s">
        <v>191</v>
      </c>
      <c r="D192" s="7" t="s">
        <v>296</v>
      </c>
      <c r="E192" s="7" t="s">
        <v>193</v>
      </c>
      <c r="F192" s="7" t="s">
        <v>297</v>
      </c>
      <c r="G192" s="7" t="s">
        <v>195</v>
      </c>
      <c r="H192" s="7" t="s">
        <v>195</v>
      </c>
      <c r="I192" s="7" t="s">
        <v>195</v>
      </c>
      <c r="J192" s="7" t="e">
        <f>COUNTIFS([1]Source_Oil_Daily!$C$2:$C$2485,A192,[1]Source_Oil_Daily!$D$2:$D$2485,B192)</f>
        <v>#VALUE!</v>
      </c>
      <c r="K192" s="10" t="e">
        <f>IF(J192=0,"",AVERAGEIFS([1]Source_Oil_Daily!$B$2:$B$2485,[1]Source_Oil_Daily!$C$2:$C$2485,A192,[1]Source_Oil_Daily!$D$2:$D$2485,B192))</f>
        <v>#VALUE!</v>
      </c>
      <c r="L192" s="7" t="s">
        <v>298</v>
      </c>
      <c r="M192" s="7" t="e">
        <f>IF(J192&gt;=55,"Complete quarter ("&amp;J192&amp;" trading days)","PARTIAL quarter - only "&amp;J192&amp;" daily obs (series ends "&amp;TEXT(MAX([1]Source_Oil_Daily!$A$2:$A$2485),"yyyy-mm-dd")&amp;")")</f>
        <v>#VALUE!</v>
      </c>
    </row>
    <row r="193" spans="1:13" x14ac:dyDescent="0.35">
      <c r="A193" s="7">
        <v>2025</v>
      </c>
      <c r="B193" s="7" t="s">
        <v>18</v>
      </c>
      <c r="C193" s="7" t="s">
        <v>191</v>
      </c>
      <c r="D193" s="7" t="s">
        <v>299</v>
      </c>
      <c r="E193" s="7" t="s">
        <v>193</v>
      </c>
      <c r="F193" s="7" t="s">
        <v>300</v>
      </c>
      <c r="G193" s="7" t="s">
        <v>195</v>
      </c>
      <c r="H193" s="7" t="s">
        <v>195</v>
      </c>
      <c r="I193" s="7" t="s">
        <v>195</v>
      </c>
      <c r="J193" s="7" t="e">
        <f>COUNTIFS([1]Source_Oil_Daily!$C$2:$C$2485,A193,[1]Source_Oil_Daily!$D$2:$D$2485,B193)</f>
        <v>#VALUE!</v>
      </c>
      <c r="K193" s="10" t="e">
        <f>IF(J193=0,"",AVERAGEIFS([1]Source_Oil_Daily!$B$2:$B$2485,[1]Source_Oil_Daily!$C$2:$C$2485,A193,[1]Source_Oil_Daily!$D$2:$D$2485,B193))</f>
        <v>#VALUE!</v>
      </c>
      <c r="L193" s="7" t="s">
        <v>301</v>
      </c>
      <c r="M193" s="7" t="e">
        <f>IF(J193&gt;=55,"Complete quarter ("&amp;J193&amp;" trading days)","PARTIAL quarter - only "&amp;J193&amp;" daily obs (series ends "&amp;TEXT(MAX([1]Source_Oil_Daily!$A$2:$A$2485),"yyyy-mm-dd")&amp;")")</f>
        <v>#VALUE!</v>
      </c>
    </row>
    <row r="194" spans="1:13" x14ac:dyDescent="0.35">
      <c r="A194" s="7">
        <v>2026</v>
      </c>
      <c r="B194" s="7" t="s">
        <v>12</v>
      </c>
      <c r="C194" s="7" t="s">
        <v>191</v>
      </c>
      <c r="D194" s="7" t="s">
        <v>302</v>
      </c>
      <c r="E194" s="7" t="s">
        <v>193</v>
      </c>
      <c r="F194" s="7" t="s">
        <v>303</v>
      </c>
      <c r="G194" s="7" t="s">
        <v>195</v>
      </c>
      <c r="H194" s="7" t="s">
        <v>195</v>
      </c>
      <c r="I194" s="7" t="s">
        <v>195</v>
      </c>
      <c r="J194" s="7" t="e">
        <f>COUNTIFS([1]Source_Oil_Daily!$C$2:$C$2485,A194,[1]Source_Oil_Daily!$D$2:$D$2485,B194)</f>
        <v>#VALUE!</v>
      </c>
      <c r="K194" s="10" t="e">
        <f>IF(J194=0,"",AVERAGEIFS([1]Source_Oil_Daily!$B$2:$B$2485,[1]Source_Oil_Daily!$C$2:$C$2485,A194,[1]Source_Oil_Daily!$D$2:$D$2485,B194))</f>
        <v>#VALUE!</v>
      </c>
      <c r="L194" s="7" t="s">
        <v>304</v>
      </c>
      <c r="M194" s="7" t="e">
        <f>IF(J194&gt;=55,"Complete quarter ("&amp;J194&amp;" trading days)","PARTIAL quarter - only "&amp;J194&amp;" daily obs (series ends "&amp;TEXT(MAX([1]Source_Oil_Daily!$A$2:$A$2485),"yyyy-mm-dd")&amp;")")</f>
        <v>#VALUE!</v>
      </c>
    </row>
    <row r="195" spans="1:13" x14ac:dyDescent="0.35">
      <c r="A195" s="7">
        <v>2026</v>
      </c>
      <c r="B195" s="7" t="s">
        <v>15</v>
      </c>
      <c r="C195" s="7" t="s">
        <v>191</v>
      </c>
      <c r="D195" s="7" t="s">
        <v>305</v>
      </c>
      <c r="E195" s="7" t="s">
        <v>193</v>
      </c>
      <c r="F195" s="7" t="s">
        <v>306</v>
      </c>
      <c r="G195" s="7" t="s">
        <v>195</v>
      </c>
      <c r="H195" s="7" t="s">
        <v>195</v>
      </c>
      <c r="I195" s="7" t="s">
        <v>195</v>
      </c>
      <c r="J195" s="7" t="e">
        <f>COUNTIFS([1]Source_Oil_Daily!$C$2:$C$2485,A195,[1]Source_Oil_Daily!$D$2:$D$2485,B195)</f>
        <v>#VALUE!</v>
      </c>
      <c r="K195" s="10" t="e">
        <f>IF(J195=0,"",AVERAGEIFS([1]Source_Oil_Daily!$B$2:$B$2485,[1]Source_Oil_Daily!$C$2:$C$2485,A195,[1]Source_Oil_Daily!$D$2:$D$2485,B195))</f>
        <v>#VALUE!</v>
      </c>
      <c r="L195" s="7" t="s">
        <v>307</v>
      </c>
      <c r="M195" s="7" t="e">
        <f>IF(J195&gt;=55,"Complete quarter ("&amp;J195&amp;" trading days)","PARTIAL quarter - only "&amp;J195&amp;" daily obs (series ends "&amp;TEXT(MAX([1]Source_Oil_Daily!$A$2:$A$2485),"yyyy-mm-dd")&amp;")")</f>
        <v>#VALUE!</v>
      </c>
    </row>
    <row r="196" spans="1:13" x14ac:dyDescent="0.35">
      <c r="A196" s="7">
        <v>2026</v>
      </c>
      <c r="B196" s="7" t="s">
        <v>16</v>
      </c>
      <c r="C196" s="7" t="s">
        <v>191</v>
      </c>
      <c r="D196" s="7" t="s">
        <v>308</v>
      </c>
      <c r="E196" s="7" t="s">
        <v>193</v>
      </c>
      <c r="F196" s="7" t="s">
        <v>309</v>
      </c>
      <c r="G196" s="7" t="s">
        <v>195</v>
      </c>
      <c r="H196" s="7" t="s">
        <v>195</v>
      </c>
      <c r="I196" s="7" t="s">
        <v>195</v>
      </c>
      <c r="J196" s="7" t="e">
        <f>COUNTIFS([1]Source_Oil_Daily!$C$2:$C$2485,A196,[1]Source_Oil_Daily!$D$2:$D$2485,B196)</f>
        <v>#VALUE!</v>
      </c>
      <c r="K196" s="10" t="e">
        <f>IF(J196=0,"",AVERAGEIFS([1]Source_Oil_Daily!$B$2:$B$2485,[1]Source_Oil_Daily!$C$2:$C$2485,A196,[1]Source_Oil_Daily!$D$2:$D$2485,B196))</f>
        <v>#VALUE!</v>
      </c>
      <c r="L196" s="7" t="s">
        <v>310</v>
      </c>
      <c r="M196" s="7" t="e">
        <f>IF(J196&gt;=55,"Complete quarter ("&amp;J196&amp;" trading days)","PARTIAL quarter - only "&amp;J196&amp;" daily obs (series ends "&amp;TEXT(MAX([1]Source_Oil_Daily!$A$2:$A$2485),"yyyy-mm-dd")&amp;")")</f>
        <v>#VALUE!</v>
      </c>
    </row>
    <row r="197" spans="1:13" x14ac:dyDescent="0.35">
      <c r="A197" s="7">
        <v>2026</v>
      </c>
      <c r="B197" s="7" t="s">
        <v>18</v>
      </c>
      <c r="C197" s="7" t="s">
        <v>191</v>
      </c>
      <c r="D197" s="7" t="s">
        <v>311</v>
      </c>
      <c r="E197" s="7" t="s">
        <v>193</v>
      </c>
      <c r="F197" s="7" t="s">
        <v>312</v>
      </c>
      <c r="G197" s="7" t="s">
        <v>195</v>
      </c>
      <c r="H197" s="7" t="s">
        <v>195</v>
      </c>
      <c r="I197" s="7" t="s">
        <v>195</v>
      </c>
      <c r="J197" s="7" t="e">
        <f>COUNTIFS([1]Source_Oil_Daily!$C$2:$C$2485,A197,[1]Source_Oil_Daily!$D$2:$D$2485,B197)</f>
        <v>#VALUE!</v>
      </c>
      <c r="K197" s="10" t="e">
        <f>IF(J197=0,"",AVERAGEIFS([1]Source_Oil_Daily!$B$2:$B$2485,[1]Source_Oil_Daily!$C$2:$C$2485,A197,[1]Source_Oil_Daily!$D$2:$D$2485,B197))</f>
        <v>#VALUE!</v>
      </c>
      <c r="L197" s="7" t="s">
        <v>313</v>
      </c>
      <c r="M197" s="7" t="e">
        <f>IF(J197&gt;=55,"Complete quarter ("&amp;J197&amp;" trading days)","PARTIAL quarter - only "&amp;J197&amp;" daily obs (series ends "&amp;TEXT(MAX([1]Source_Oil_Daily!$A$2:$A$2485),"yyyy-mm-dd")&amp;")")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11DC1-A1DC-4B34-AFD0-D325E0D862A7}">
  <dimension ref="A1:F21"/>
  <sheetViews>
    <sheetView zoomScale="75" workbookViewId="0">
      <selection activeCell="D9" sqref="D9"/>
    </sheetView>
  </sheetViews>
  <sheetFormatPr defaultRowHeight="14.5" x14ac:dyDescent="0.35"/>
  <cols>
    <col min="1" max="1" width="2.81640625" bestFit="1" customWidth="1"/>
    <col min="2" max="2" width="29.08984375" bestFit="1" customWidth="1"/>
    <col min="3" max="3" width="32.6328125" bestFit="1" customWidth="1"/>
    <col min="4" max="4" width="255.6328125" bestFit="1" customWidth="1"/>
    <col min="5" max="5" width="34" bestFit="1" customWidth="1"/>
    <col min="6" max="6" width="143.81640625" bestFit="1" customWidth="1"/>
  </cols>
  <sheetData>
    <row r="1" spans="1:6" x14ac:dyDescent="0.35">
      <c r="A1" s="6" t="s">
        <v>314</v>
      </c>
      <c r="B1" s="6" t="s">
        <v>315</v>
      </c>
      <c r="C1" s="6" t="s">
        <v>316</v>
      </c>
      <c r="D1" s="6" t="s">
        <v>317</v>
      </c>
      <c r="E1" s="6" t="s">
        <v>318</v>
      </c>
      <c r="F1" s="6" t="s">
        <v>319</v>
      </c>
    </row>
    <row r="2" spans="1:6" x14ac:dyDescent="0.35">
      <c r="A2" s="11">
        <v>1</v>
      </c>
      <c r="B2" s="11" t="s">
        <v>320</v>
      </c>
      <c r="C2" s="11" t="s">
        <v>31</v>
      </c>
      <c r="D2" s="11" t="s">
        <v>321</v>
      </c>
      <c r="E2" s="11" t="s">
        <v>322</v>
      </c>
      <c r="F2" s="11" t="s">
        <v>323</v>
      </c>
    </row>
    <row r="3" spans="1:6" x14ac:dyDescent="0.35">
      <c r="A3" s="11">
        <v>2</v>
      </c>
      <c r="B3" s="11" t="s">
        <v>320</v>
      </c>
      <c r="C3" s="11" t="s">
        <v>324</v>
      </c>
      <c r="D3" s="11" t="s">
        <v>321</v>
      </c>
      <c r="E3" s="11" t="s">
        <v>322</v>
      </c>
      <c r="F3" s="11" t="s">
        <v>323</v>
      </c>
    </row>
    <row r="4" spans="1:6" x14ac:dyDescent="0.35">
      <c r="A4" s="11">
        <v>3</v>
      </c>
      <c r="B4" s="11" t="s">
        <v>320</v>
      </c>
      <c r="C4" s="11" t="s">
        <v>325</v>
      </c>
      <c r="D4" s="11" t="s">
        <v>321</v>
      </c>
      <c r="E4" s="11" t="s">
        <v>322</v>
      </c>
      <c r="F4" s="11" t="s">
        <v>323</v>
      </c>
    </row>
    <row r="5" spans="1:6" x14ac:dyDescent="0.35">
      <c r="A5" s="11">
        <v>4</v>
      </c>
      <c r="B5" s="11" t="s">
        <v>320</v>
      </c>
      <c r="C5" s="11" t="s">
        <v>326</v>
      </c>
      <c r="D5" s="11" t="s">
        <v>321</v>
      </c>
      <c r="E5" s="11" t="s">
        <v>322</v>
      </c>
      <c r="F5" s="11" t="s">
        <v>323</v>
      </c>
    </row>
    <row r="6" spans="1:6" x14ac:dyDescent="0.35">
      <c r="A6" s="11">
        <v>5</v>
      </c>
      <c r="B6" s="11" t="s">
        <v>320</v>
      </c>
      <c r="C6" s="11" t="s">
        <v>327</v>
      </c>
      <c r="D6" s="11" t="s">
        <v>321</v>
      </c>
      <c r="E6" s="11" t="s">
        <v>322</v>
      </c>
      <c r="F6" s="11" t="s">
        <v>323</v>
      </c>
    </row>
    <row r="7" spans="1:6" x14ac:dyDescent="0.35">
      <c r="A7" s="11">
        <v>6</v>
      </c>
      <c r="B7" s="11" t="s">
        <v>320</v>
      </c>
      <c r="C7" s="11" t="s">
        <v>328</v>
      </c>
      <c r="D7" s="11" t="s">
        <v>321</v>
      </c>
      <c r="E7" s="11" t="s">
        <v>322</v>
      </c>
      <c r="F7" s="11" t="s">
        <v>323</v>
      </c>
    </row>
    <row r="8" spans="1:6" x14ac:dyDescent="0.35">
      <c r="A8" s="11">
        <v>7</v>
      </c>
      <c r="B8" s="11" t="s">
        <v>329</v>
      </c>
      <c r="C8" s="11" t="s">
        <v>31</v>
      </c>
      <c r="D8" s="11" t="s">
        <v>330</v>
      </c>
      <c r="E8" s="11" t="s">
        <v>322</v>
      </c>
      <c r="F8" s="11" t="s">
        <v>323</v>
      </c>
    </row>
    <row r="9" spans="1:6" x14ac:dyDescent="0.35">
      <c r="A9" s="11">
        <v>8</v>
      </c>
      <c r="B9" s="11" t="s">
        <v>329</v>
      </c>
      <c r="C9" s="11" t="s">
        <v>324</v>
      </c>
      <c r="D9" s="11" t="s">
        <v>330</v>
      </c>
      <c r="E9" s="11" t="s">
        <v>322</v>
      </c>
      <c r="F9" s="11" t="s">
        <v>323</v>
      </c>
    </row>
    <row r="10" spans="1:6" x14ac:dyDescent="0.35">
      <c r="A10" s="11">
        <v>9</v>
      </c>
      <c r="B10" s="11" t="s">
        <v>329</v>
      </c>
      <c r="C10" s="11" t="s">
        <v>325</v>
      </c>
      <c r="D10" s="11" t="s">
        <v>330</v>
      </c>
      <c r="E10" s="11" t="s">
        <v>322</v>
      </c>
      <c r="F10" s="11" t="s">
        <v>323</v>
      </c>
    </row>
    <row r="11" spans="1:6" x14ac:dyDescent="0.35">
      <c r="A11" s="11">
        <v>10</v>
      </c>
      <c r="B11" s="11" t="s">
        <v>329</v>
      </c>
      <c r="C11" s="11" t="s">
        <v>326</v>
      </c>
      <c r="D11" s="11" t="s">
        <v>330</v>
      </c>
      <c r="E11" s="11" t="s">
        <v>322</v>
      </c>
      <c r="F11" s="11" t="s">
        <v>323</v>
      </c>
    </row>
    <row r="12" spans="1:6" x14ac:dyDescent="0.35">
      <c r="A12" s="11">
        <v>11</v>
      </c>
      <c r="B12" s="11" t="s">
        <v>329</v>
      </c>
      <c r="C12" s="11" t="s">
        <v>327</v>
      </c>
      <c r="D12" s="11" t="s">
        <v>330</v>
      </c>
      <c r="E12" s="11" t="s">
        <v>322</v>
      </c>
      <c r="F12" s="11" t="s">
        <v>323</v>
      </c>
    </row>
    <row r="13" spans="1:6" x14ac:dyDescent="0.35">
      <c r="A13" s="11">
        <v>12</v>
      </c>
      <c r="B13" s="11" t="s">
        <v>329</v>
      </c>
      <c r="C13" s="11" t="s">
        <v>328</v>
      </c>
      <c r="D13" s="11" t="s">
        <v>330</v>
      </c>
      <c r="E13" s="11" t="s">
        <v>322</v>
      </c>
      <c r="F13" s="11" t="s">
        <v>323</v>
      </c>
    </row>
    <row r="14" spans="1:6" x14ac:dyDescent="0.35">
      <c r="A14" s="11">
        <v>13</v>
      </c>
      <c r="B14" s="11" t="s">
        <v>331</v>
      </c>
      <c r="C14" s="11" t="s">
        <v>332</v>
      </c>
      <c r="D14" s="11" t="s">
        <v>333</v>
      </c>
      <c r="E14" s="11" t="s">
        <v>322</v>
      </c>
      <c r="F14" s="11" t="s">
        <v>334</v>
      </c>
    </row>
    <row r="15" spans="1:6" x14ac:dyDescent="0.35">
      <c r="A15" s="11">
        <v>15</v>
      </c>
      <c r="B15" s="11" t="s">
        <v>335</v>
      </c>
      <c r="C15" s="11" t="s">
        <v>336</v>
      </c>
      <c r="D15" s="11" t="s">
        <v>337</v>
      </c>
      <c r="E15" s="11" t="s">
        <v>338</v>
      </c>
      <c r="F15" s="11" t="s">
        <v>339</v>
      </c>
    </row>
    <row r="16" spans="1:6" x14ac:dyDescent="0.35">
      <c r="A16" s="11">
        <v>18</v>
      </c>
      <c r="B16" s="11" t="s">
        <v>340</v>
      </c>
      <c r="C16" s="11" t="s">
        <v>31</v>
      </c>
      <c r="D16" s="11" t="s">
        <v>341</v>
      </c>
      <c r="E16" s="11" t="s">
        <v>342</v>
      </c>
      <c r="F16" s="11" t="s">
        <v>343</v>
      </c>
    </row>
    <row r="17" spans="1:6" x14ac:dyDescent="0.35">
      <c r="A17" s="11">
        <v>19</v>
      </c>
      <c r="B17" s="11" t="s">
        <v>340</v>
      </c>
      <c r="C17" s="11" t="s">
        <v>324</v>
      </c>
      <c r="D17" s="11" t="s">
        <v>344</v>
      </c>
      <c r="E17" s="11" t="s">
        <v>345</v>
      </c>
      <c r="F17" s="11" t="s">
        <v>346</v>
      </c>
    </row>
    <row r="18" spans="1:6" x14ac:dyDescent="0.35">
      <c r="A18" s="11">
        <v>20</v>
      </c>
      <c r="B18" s="11" t="s">
        <v>340</v>
      </c>
      <c r="C18" s="11" t="s">
        <v>347</v>
      </c>
      <c r="D18" s="11" t="s">
        <v>348</v>
      </c>
      <c r="E18" s="11" t="s">
        <v>345</v>
      </c>
      <c r="F18" s="11" t="s">
        <v>349</v>
      </c>
    </row>
    <row r="19" spans="1:6" x14ac:dyDescent="0.35">
      <c r="A19" s="11">
        <v>21</v>
      </c>
      <c r="B19" s="11" t="s">
        <v>350</v>
      </c>
      <c r="C19" s="11" t="s">
        <v>328</v>
      </c>
      <c r="D19" s="11" t="s">
        <v>351</v>
      </c>
      <c r="E19" s="11" t="s">
        <v>352</v>
      </c>
      <c r="F19" s="11" t="s">
        <v>353</v>
      </c>
    </row>
    <row r="20" spans="1:6" x14ac:dyDescent="0.35">
      <c r="A20" s="11">
        <v>22</v>
      </c>
      <c r="B20" s="11" t="s">
        <v>354</v>
      </c>
      <c r="C20" s="11" t="s">
        <v>355</v>
      </c>
      <c r="D20" s="11" t="s">
        <v>356</v>
      </c>
      <c r="E20" s="11" t="s">
        <v>357</v>
      </c>
      <c r="F20" s="11" t="s">
        <v>358</v>
      </c>
    </row>
    <row r="21" spans="1:6" x14ac:dyDescent="0.35">
      <c r="A21" s="11">
        <v>23</v>
      </c>
      <c r="B21" s="11" t="s">
        <v>359</v>
      </c>
      <c r="C21" s="11" t="s">
        <v>360</v>
      </c>
      <c r="D21" s="11" t="s">
        <v>361</v>
      </c>
      <c r="E21" s="11" t="s">
        <v>322</v>
      </c>
      <c r="F21" s="1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Final_Quarterly_Data</vt:lpstr>
      <vt:lpstr>Calculation Audit</vt:lpstr>
      <vt:lpstr>Data 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Raj</cp:lastModifiedBy>
  <dcterms:created xsi:type="dcterms:W3CDTF">2026-10-28T10:36:43Z</dcterms:created>
  <dcterms:modified xsi:type="dcterms:W3CDTF">2026-10-28T16:30:02Z</dcterms:modified>
</cp:coreProperties>
</file>