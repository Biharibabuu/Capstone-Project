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P\Assignment\"/>
    </mc:Choice>
  </mc:AlternateContent>
  <xr:revisionPtr revIDLastSave="0" documentId="13_ncr:1_{A8775C21-7463-497C-87AF-A23F0C3E54C4}" xr6:coauthVersionLast="47" xr6:coauthVersionMax="47" xr10:uidLastSave="{00000000-0000-0000-0000-000000000000}"/>
  <bookViews>
    <workbookView xWindow="-110" yWindow="-110" windowWidth="19420" windowHeight="10300" xr2:uid="{6AC9AE60-6621-443E-9075-9E4D8CE54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C3" i="1"/>
  <c r="C2" i="1"/>
</calcChain>
</file>

<file path=xl/sharedStrings.xml><?xml version="1.0" encoding="utf-8"?>
<sst xmlns="http://schemas.openxmlformats.org/spreadsheetml/2006/main" count="47" uniqueCount="13">
  <si>
    <t>Year</t>
  </si>
  <si>
    <t>Quarter (Calendar)</t>
  </si>
  <si>
    <t>PAT Margin</t>
  </si>
  <si>
    <t>EBITDA Margin</t>
  </si>
  <si>
    <t>USD INR (Quarterly Mean)</t>
  </si>
  <si>
    <t>CPI inflation (Quarterly Mean)</t>
  </si>
  <si>
    <t>WPI inflation (Quarterly Mean)</t>
  </si>
  <si>
    <t>Oil benchmark(DAILY) (Quarterly Mean)</t>
  </si>
  <si>
    <t>Q1</t>
  </si>
  <si>
    <t>Q2</t>
  </si>
  <si>
    <t>Q3</t>
  </si>
  <si>
    <t>Q4</t>
  </si>
  <si>
    <t>Oil benchmark(MONTHLY) (Quarterly 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</si>
</sst>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&quot;%&quot;\ ;[Red]\(0.00&quot;%&quot;\);\-"/>
    <numFmt numFmtId="165" formatCode="[$$-1009]#,##0.00"/>
    <numFmt numFmtId="166" formatCode="[$₹-439]#,##0.00"/>
    <numFmt numFmtId="168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vertical="top" wrapText="1"/>
    </xf>
    <xf numFmtId="164" fontId="2" fillId="0" borderId="1" xfId="0" applyNumberFormat="1" applyFont="1" applyBorder="1"/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/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Border="1"/>
    <xf numFmtId="166" fontId="0" fillId="0" borderId="0" xfId="0" applyNumberFormat="1"/>
    <xf numFmtId="168" fontId="1" fillId="2" borderId="1" xfId="0" applyNumberFormat="1" applyFont="1" applyFill="1" applyBorder="1" applyAlignment="1">
      <alignment horizontal="center" vertical="center" wrapText="1"/>
    </xf>
    <xf numFmtId="168" fontId="2" fillId="0" borderId="1" xfId="0" applyNumberFormat="1" applyFont="1" applyBorder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1EB5-1797-4A45-88A5-EFA95A0A92A1}">
  <dimension ref="A1:I39"/>
  <sheetViews>
    <sheetView tabSelected="1" workbookViewId="0">
      <selection activeCell="G35" sqref="G35"/>
    </sheetView>
  </sheetViews>
  <sheetFormatPr defaultRowHeight="14.5" x14ac:dyDescent="0.35"/>
  <cols>
    <col min="1" max="1" width="8" customWidth="1"/>
    <col min="2" max="2" width="12" customWidth="1"/>
    <col min="3" max="4" width="14" style="7" customWidth="1"/>
    <col min="5" max="5" width="16" style="13" customWidth="1"/>
    <col min="6" max="7" width="16" style="7" customWidth="1"/>
    <col min="8" max="8" width="18" style="10" customWidth="1"/>
    <col min="9" max="9" width="18" style="16" customWidth="1"/>
  </cols>
  <sheetData>
    <row r="1" spans="1:9" ht="48" customHeight="1" x14ac:dyDescent="0.35">
      <c r="A1" s="1" t="s">
        <v>0</v>
      </c>
      <c r="B1" s="1" t="s">
        <v>1</v>
      </c>
      <c r="C1" s="4" t="s">
        <v>2</v>
      </c>
      <c r="D1" s="4" t="s">
        <v>3</v>
      </c>
      <c r="E1" s="11" t="s">
        <v>4</v>
      </c>
      <c r="F1" s="4" t="s">
        <v>5</v>
      </c>
      <c r="G1" s="4" t="s">
        <v>6</v>
      </c>
      <c r="H1" s="8" t="s">
        <v>7</v>
      </c>
      <c r="I1" s="14" t="s">
        <v>12</v>
      </c>
    </row>
    <row r="2" spans="1:9" x14ac:dyDescent="0.35">
      <c r="A2" s="2">
        <v>2017</v>
      </c>
      <c r="B2" s="3" t="s">
        <v>8</v>
      </c>
      <c r="C2" s="5">
        <f>MEDIAN(C4:C7)</f>
        <v>11.379633999999999</v>
      </c>
      <c r="D2" s="5">
        <f>MEDIAN(D4:D7)</f>
        <v>15.000185</v>
      </c>
      <c r="E2" s="12">
        <v>66.468333333333305</v>
      </c>
      <c r="F2" s="6">
        <v>3.57</v>
      </c>
      <c r="G2" s="6">
        <v>4.96</v>
      </c>
      <c r="H2" s="9">
        <v>53.689531250000002</v>
      </c>
      <c r="I2" s="15">
        <v>53.706666666666699</v>
      </c>
    </row>
    <row r="3" spans="1:9" x14ac:dyDescent="0.35">
      <c r="A3" s="2">
        <v>2017</v>
      </c>
      <c r="B3" s="3" t="s">
        <v>9</v>
      </c>
      <c r="C3" s="5">
        <f>MEDIAN(C4:C7)</f>
        <v>11.379633999999999</v>
      </c>
      <c r="D3" s="5">
        <f>MEDIAN(D4:D7)</f>
        <v>15.000185</v>
      </c>
      <c r="E3" s="12">
        <v>64.444999999999993</v>
      </c>
      <c r="F3" s="6">
        <v>2.21</v>
      </c>
      <c r="G3" s="6">
        <v>2.33666666666667</v>
      </c>
      <c r="H3" s="9">
        <v>49.762500000000003</v>
      </c>
      <c r="I3" s="15">
        <v>49.273333333333298</v>
      </c>
    </row>
    <row r="4" spans="1:9" x14ac:dyDescent="0.35">
      <c r="A4" s="2">
        <v>2017</v>
      </c>
      <c r="B4" s="3" t="s">
        <v>10</v>
      </c>
      <c r="C4" s="6">
        <v>9.0818499999999993</v>
      </c>
      <c r="D4" s="6">
        <v>10.478135999999999</v>
      </c>
      <c r="E4" s="12">
        <v>64.456666666666706</v>
      </c>
      <c r="F4" s="6">
        <v>2.9733333333333301</v>
      </c>
      <c r="G4" s="6">
        <v>2.7533333333333299</v>
      </c>
      <c r="H4" s="9">
        <v>52.699076923076902</v>
      </c>
      <c r="I4" s="15">
        <v>54.47</v>
      </c>
    </row>
    <row r="5" spans="1:9" x14ac:dyDescent="0.35">
      <c r="A5" s="2">
        <v>2017</v>
      </c>
      <c r="B5" s="3" t="s">
        <v>11</v>
      </c>
      <c r="C5" s="6">
        <v>14.099746</v>
      </c>
      <c r="D5" s="6">
        <v>19.068881999999999</v>
      </c>
      <c r="E5" s="12">
        <v>64.358766666666696</v>
      </c>
      <c r="F5" s="6">
        <v>4.5566666666666702</v>
      </c>
      <c r="G5" s="6">
        <v>3.76</v>
      </c>
      <c r="H5" s="9">
        <v>61.639841269841298</v>
      </c>
      <c r="I5" s="15">
        <v>64.06</v>
      </c>
    </row>
    <row r="6" spans="1:9" x14ac:dyDescent="0.35">
      <c r="A6" s="2">
        <v>2018</v>
      </c>
      <c r="B6" s="3" t="s">
        <v>8</v>
      </c>
      <c r="C6" s="6">
        <v>10.424458</v>
      </c>
      <c r="D6" s="6">
        <v>13.951083000000001</v>
      </c>
      <c r="E6" s="12">
        <v>64.647099999999995</v>
      </c>
      <c r="F6" s="6">
        <v>4.5966666666666702</v>
      </c>
      <c r="G6" s="6">
        <v>2.8333333333333299</v>
      </c>
      <c r="H6" s="9">
        <v>66.7969841269841</v>
      </c>
      <c r="I6" s="15">
        <v>67.536666666666704</v>
      </c>
    </row>
    <row r="7" spans="1:9" x14ac:dyDescent="0.35">
      <c r="A7" s="2">
        <v>2018</v>
      </c>
      <c r="B7" s="3" t="s">
        <v>9</v>
      </c>
      <c r="C7" s="6">
        <v>12.334809999999999</v>
      </c>
      <c r="D7" s="6">
        <v>16.049287</v>
      </c>
      <c r="E7" s="12">
        <v>67.509200000000007</v>
      </c>
      <c r="F7" s="6">
        <v>4.79</v>
      </c>
      <c r="G7" s="6">
        <v>4.6933333333333298</v>
      </c>
      <c r="H7" s="9">
        <v>73.881031746031795</v>
      </c>
      <c r="I7" s="15">
        <v>75.8066666666667</v>
      </c>
    </row>
    <row r="8" spans="1:9" x14ac:dyDescent="0.35">
      <c r="A8" s="2">
        <v>2018</v>
      </c>
      <c r="B8" s="3" t="s">
        <v>10</v>
      </c>
      <c r="C8" s="6">
        <v>2.0286209999999998</v>
      </c>
      <c r="D8" s="6">
        <v>2.238998</v>
      </c>
      <c r="E8" s="12">
        <v>70.677899999999994</v>
      </c>
      <c r="F8" s="6">
        <v>3.8533333333333299</v>
      </c>
      <c r="G8" s="6">
        <v>5.0366666666666697</v>
      </c>
      <c r="H8" s="9">
        <v>74.303124999999994</v>
      </c>
      <c r="I8" s="15">
        <v>77.209999999999994</v>
      </c>
    </row>
    <row r="9" spans="1:9" x14ac:dyDescent="0.35">
      <c r="A9" s="2">
        <v>2018</v>
      </c>
      <c r="B9" s="3" t="s">
        <v>11</v>
      </c>
      <c r="C9" s="6">
        <v>0.42675200000000002</v>
      </c>
      <c r="D9" s="6">
        <v>-0.17000999999999999</v>
      </c>
      <c r="E9" s="12">
        <v>71.103300000000004</v>
      </c>
      <c r="F9" s="6">
        <v>2.60666666666667</v>
      </c>
      <c r="G9" s="6">
        <v>4.49</v>
      </c>
      <c r="H9" s="9">
        <v>67.571692307692302</v>
      </c>
      <c r="I9" s="15">
        <v>60.926666666666698</v>
      </c>
    </row>
    <row r="10" spans="1:9" x14ac:dyDescent="0.35">
      <c r="A10" s="2">
        <v>2019</v>
      </c>
      <c r="B10" s="3" t="s">
        <v>8</v>
      </c>
      <c r="C10" s="6">
        <v>-10.543203</v>
      </c>
      <c r="D10" s="6">
        <v>-10.825468000000001</v>
      </c>
      <c r="E10" s="12">
        <v>70.326266666666697</v>
      </c>
      <c r="F10" s="6">
        <v>2.4666666666666699</v>
      </c>
      <c r="G10" s="6">
        <v>2.93</v>
      </c>
      <c r="H10" s="9">
        <v>62.900390625</v>
      </c>
      <c r="I10" s="15">
        <v>65.258333333333297</v>
      </c>
    </row>
    <row r="11" spans="1:9" x14ac:dyDescent="0.35">
      <c r="A11" s="2">
        <v>2019</v>
      </c>
      <c r="B11" s="3" t="s">
        <v>9</v>
      </c>
      <c r="C11" s="6">
        <v>2.4113530000000001</v>
      </c>
      <c r="D11" s="6">
        <v>1.4623520000000001</v>
      </c>
      <c r="E11" s="12">
        <v>69.427099999999996</v>
      </c>
      <c r="F11" s="6">
        <v>3.0733333333333301</v>
      </c>
      <c r="G11" s="6">
        <v>2.68333333333333</v>
      </c>
      <c r="H11" s="9">
        <v>69.128606557377097</v>
      </c>
      <c r="I11" s="15">
        <v>68.438333333333304</v>
      </c>
    </row>
    <row r="12" spans="1:9" x14ac:dyDescent="0.35">
      <c r="A12" s="2">
        <v>2019</v>
      </c>
      <c r="B12" s="3" t="s">
        <v>10</v>
      </c>
      <c r="C12" s="6">
        <v>7.4789700000000003</v>
      </c>
      <c r="D12" s="6">
        <v>7.3679880000000004</v>
      </c>
      <c r="E12" s="12">
        <v>70.357500000000002</v>
      </c>
      <c r="F12" s="6">
        <v>3.4733333333333301</v>
      </c>
      <c r="G12" s="6">
        <v>0.89</v>
      </c>
      <c r="H12" s="9">
        <v>62.278692307692303</v>
      </c>
      <c r="I12" s="15">
        <v>61.9866666666667</v>
      </c>
    </row>
    <row r="13" spans="1:9" x14ac:dyDescent="0.35">
      <c r="A13" s="2">
        <v>2019</v>
      </c>
      <c r="B13" s="3" t="s">
        <v>11</v>
      </c>
      <c r="C13" s="6">
        <v>12.743739</v>
      </c>
      <c r="D13" s="6">
        <v>26.313948</v>
      </c>
      <c r="E13" s="12">
        <v>71.347933333333302</v>
      </c>
      <c r="F13" s="6">
        <v>5.8366666666666696</v>
      </c>
      <c r="G13" s="6">
        <v>1.11333333333333</v>
      </c>
      <c r="H13" s="9">
        <v>64.0932307692308</v>
      </c>
      <c r="I13" s="15">
        <v>64.709999999999994</v>
      </c>
    </row>
    <row r="14" spans="1:9" x14ac:dyDescent="0.35">
      <c r="A14" s="2">
        <v>2020</v>
      </c>
      <c r="B14" s="3" t="s">
        <v>8</v>
      </c>
      <c r="C14" s="6">
        <v>-13.147261</v>
      </c>
      <c r="D14" s="6">
        <v>5.3270289999999996</v>
      </c>
      <c r="E14" s="12">
        <v>73.023766666666702</v>
      </c>
      <c r="F14" s="6">
        <v>6.67</v>
      </c>
      <c r="G14" s="6">
        <v>2.06666666666667</v>
      </c>
      <c r="H14" s="9">
        <v>51.634461538461501</v>
      </c>
      <c r="I14" s="15">
        <v>43.81</v>
      </c>
    </row>
    <row r="15" spans="1:9" x14ac:dyDescent="0.35">
      <c r="A15" s="2">
        <v>2020</v>
      </c>
      <c r="B15" s="3" t="s">
        <v>9</v>
      </c>
      <c r="C15" s="6">
        <v>4.9382339999999996</v>
      </c>
      <c r="D15" s="6">
        <v>18.072457</v>
      </c>
      <c r="E15" s="12">
        <v>75.408733333333302</v>
      </c>
      <c r="F15" s="6">
        <v>6.5733333333333297</v>
      </c>
      <c r="G15" s="6">
        <v>-2.25</v>
      </c>
      <c r="H15" s="9">
        <v>29.997540983606601</v>
      </c>
      <c r="I15" s="15">
        <v>32.108333333333299</v>
      </c>
    </row>
    <row r="16" spans="1:9" x14ac:dyDescent="0.35">
      <c r="A16" s="2">
        <v>2020</v>
      </c>
      <c r="B16" s="3" t="s">
        <v>10</v>
      </c>
      <c r="C16" s="6">
        <v>-10.524881000000001</v>
      </c>
      <c r="D16" s="6">
        <v>10.59019</v>
      </c>
      <c r="E16" s="12">
        <v>74.065399999999997</v>
      </c>
      <c r="F16" s="6">
        <v>6.8966666666666701</v>
      </c>
      <c r="G16" s="6">
        <v>0.49333333333333301</v>
      </c>
      <c r="H16" s="9">
        <v>44.351230769230803</v>
      </c>
      <c r="I16" s="15">
        <v>44.158333333333303</v>
      </c>
    </row>
    <row r="17" spans="1:9" x14ac:dyDescent="0.35">
      <c r="A17" s="2">
        <v>2020</v>
      </c>
      <c r="B17" s="3" t="s">
        <v>11</v>
      </c>
      <c r="C17" s="6">
        <v>-371.625249</v>
      </c>
      <c r="D17" s="6">
        <v>-201.39121800000001</v>
      </c>
      <c r="E17" s="12">
        <v>73.738333333333301</v>
      </c>
      <c r="F17" s="6">
        <v>6.3766666666666696</v>
      </c>
      <c r="G17" s="6">
        <v>1.85</v>
      </c>
      <c r="H17" s="9">
        <v>44.972734375000002</v>
      </c>
      <c r="I17" s="15">
        <v>45.381666666666703</v>
      </c>
    </row>
    <row r="18" spans="1:9" x14ac:dyDescent="0.35">
      <c r="A18" s="2">
        <v>2021</v>
      </c>
      <c r="B18" s="3" t="s">
        <v>8</v>
      </c>
      <c r="C18" s="6">
        <v>-43.589440000000003</v>
      </c>
      <c r="D18" s="6">
        <v>-11.214128000000001</v>
      </c>
      <c r="E18" s="12">
        <v>73.177099999999996</v>
      </c>
      <c r="F18" s="6">
        <v>4.87</v>
      </c>
      <c r="G18" s="6">
        <v>5.0766666666666698</v>
      </c>
      <c r="H18" s="9">
        <v>61.305158730158702</v>
      </c>
      <c r="I18" s="15">
        <v>61.506666666666703</v>
      </c>
    </row>
    <row r="19" spans="1:9" x14ac:dyDescent="0.35">
      <c r="A19" s="2">
        <v>2021</v>
      </c>
      <c r="B19" s="3" t="s">
        <v>9</v>
      </c>
      <c r="C19" s="6">
        <v>-12.761371</v>
      </c>
      <c r="D19" s="6">
        <v>12.963488999999999</v>
      </c>
      <c r="E19" s="12">
        <v>73.6779333333333</v>
      </c>
      <c r="F19" s="6">
        <v>5.5966666666666702</v>
      </c>
      <c r="G19" s="6">
        <v>11.973333333333301</v>
      </c>
      <c r="H19" s="9">
        <v>68.262950819672099</v>
      </c>
      <c r="I19" s="15">
        <v>70.888333333333307</v>
      </c>
    </row>
    <row r="20" spans="1:9" x14ac:dyDescent="0.35">
      <c r="A20" s="2">
        <v>2021</v>
      </c>
      <c r="B20" s="3" t="s">
        <v>10</v>
      </c>
      <c r="C20" s="6">
        <v>-18.625398000000001</v>
      </c>
      <c r="D20" s="6">
        <v>10.710853999999999</v>
      </c>
      <c r="E20" s="12">
        <v>73.887533333333295</v>
      </c>
      <c r="F20" s="6">
        <v>5.08</v>
      </c>
      <c r="G20" s="6">
        <v>11.67</v>
      </c>
      <c r="H20" s="9">
        <v>73.256076923076904</v>
      </c>
      <c r="I20" s="15">
        <v>75.4166666666667</v>
      </c>
    </row>
    <row r="21" spans="1:9" x14ac:dyDescent="0.35">
      <c r="A21" s="2">
        <v>2021</v>
      </c>
      <c r="B21" s="3" t="s">
        <v>11</v>
      </c>
      <c r="C21" s="6">
        <v>-105.731859</v>
      </c>
      <c r="D21" s="6">
        <v>-36.666874</v>
      </c>
      <c r="E21" s="12">
        <v>74.794566666666697</v>
      </c>
      <c r="F21" s="6">
        <v>5.0166666666666702</v>
      </c>
      <c r="G21" s="6">
        <v>14.3233333333333</v>
      </c>
      <c r="H21" s="9">
        <v>79.154062499999995</v>
      </c>
      <c r="I21" s="15">
        <v>76.808333333333294</v>
      </c>
    </row>
    <row r="22" spans="1:9" x14ac:dyDescent="0.35">
      <c r="A22" s="2">
        <v>2022</v>
      </c>
      <c r="B22" s="3" t="s">
        <v>8</v>
      </c>
      <c r="C22" s="6">
        <v>-25.682811999999998</v>
      </c>
      <c r="D22" s="6">
        <v>2.7141850000000001</v>
      </c>
      <c r="E22" s="12">
        <v>75.250399999999999</v>
      </c>
      <c r="F22" s="6">
        <v>6.3433333333333302</v>
      </c>
      <c r="G22" s="6">
        <v>13.9133333333333</v>
      </c>
      <c r="H22" s="9">
        <v>102.18761904761899</v>
      </c>
      <c r="I22" s="15">
        <v>102.036666666667</v>
      </c>
    </row>
    <row r="23" spans="1:9" x14ac:dyDescent="0.35">
      <c r="A23" s="2">
        <v>2022</v>
      </c>
      <c r="B23" s="3" t="s">
        <v>9</v>
      </c>
      <c r="C23" s="6">
        <v>1.3819600000000001</v>
      </c>
      <c r="D23" s="6">
        <v>19.07957</v>
      </c>
      <c r="E23" s="12">
        <v>77.680833333333297</v>
      </c>
      <c r="F23" s="6">
        <v>7.28</v>
      </c>
      <c r="G23" s="6">
        <v>16.079999999999998</v>
      </c>
      <c r="H23" s="9">
        <v>113.88833333333299</v>
      </c>
      <c r="I23" s="15">
        <v>117.598333333333</v>
      </c>
    </row>
    <row r="24" spans="1:9" x14ac:dyDescent="0.35">
      <c r="A24" s="2">
        <v>2022</v>
      </c>
      <c r="B24" s="3" t="s">
        <v>10</v>
      </c>
      <c r="C24" s="6">
        <v>-20.943062000000001</v>
      </c>
      <c r="D24" s="6">
        <v>8.0796340000000004</v>
      </c>
      <c r="E24" s="12">
        <v>80.025866666666701</v>
      </c>
      <c r="F24" s="6">
        <v>7.04</v>
      </c>
      <c r="G24" s="6">
        <v>12.366666666666699</v>
      </c>
      <c r="H24" s="9">
        <v>100.79585937500001</v>
      </c>
      <c r="I24" s="15">
        <v>99.478333333333296</v>
      </c>
    </row>
    <row r="25" spans="1:9" x14ac:dyDescent="0.35">
      <c r="A25" s="2">
        <v>2022</v>
      </c>
      <c r="B25" s="3" t="s">
        <v>11</v>
      </c>
      <c r="C25" s="6">
        <v>-8.2878150000000002</v>
      </c>
      <c r="D25" s="6">
        <v>15.729232</v>
      </c>
      <c r="E25" s="12">
        <v>82.316233333333301</v>
      </c>
      <c r="F25" s="6">
        <v>6.1233333333333304</v>
      </c>
      <c r="G25" s="6">
        <v>6.6033333333333299</v>
      </c>
      <c r="H25" s="9">
        <v>88.888968253968301</v>
      </c>
      <c r="I25" s="15">
        <v>86.903333333333293</v>
      </c>
    </row>
    <row r="26" spans="1:9" x14ac:dyDescent="0.35">
      <c r="A26" s="2">
        <v>2023</v>
      </c>
      <c r="B26" s="3" t="s">
        <v>8</v>
      </c>
      <c r="C26" s="6">
        <v>-12.686329000000001</v>
      </c>
      <c r="D26" s="6">
        <v>9.8171110000000006</v>
      </c>
      <c r="E26" s="12">
        <v>82.258766666666702</v>
      </c>
      <c r="F26" s="6">
        <v>6.2066666666666697</v>
      </c>
      <c r="G26" s="6">
        <v>3.3533333333333299</v>
      </c>
      <c r="H26" s="9">
        <v>81.162421875000007</v>
      </c>
      <c r="I26" s="15">
        <v>82.21</v>
      </c>
    </row>
    <row r="27" spans="1:9" x14ac:dyDescent="0.35">
      <c r="A27" s="2">
        <v>2023</v>
      </c>
      <c r="B27" s="3" t="s">
        <v>9</v>
      </c>
      <c r="C27" s="6">
        <v>9.4969190000000001</v>
      </c>
      <c r="D27" s="6">
        <v>24.778098</v>
      </c>
      <c r="E27" s="12">
        <v>82.2</v>
      </c>
      <c r="F27" s="6">
        <v>4.6266666666666696</v>
      </c>
      <c r="G27" s="6">
        <v>-2.86</v>
      </c>
      <c r="H27" s="9">
        <v>78.046333333333294</v>
      </c>
      <c r="I27" s="15">
        <v>76.653333333333293</v>
      </c>
    </row>
    <row r="28" spans="1:9" x14ac:dyDescent="0.35">
      <c r="A28" s="2">
        <v>2023</v>
      </c>
      <c r="B28" s="3" t="s">
        <v>10</v>
      </c>
      <c r="C28" s="6">
        <v>6.4687929999999998</v>
      </c>
      <c r="D28" s="6">
        <v>17.623142000000001</v>
      </c>
      <c r="E28" s="12">
        <v>82.692933333333301</v>
      </c>
      <c r="F28" s="6">
        <v>6.43</v>
      </c>
      <c r="G28" s="6">
        <v>-0.586666666666667</v>
      </c>
      <c r="H28" s="9">
        <v>86.722109375000002</v>
      </c>
      <c r="I28" s="15">
        <v>89.783333333333402</v>
      </c>
    </row>
    <row r="29" spans="1:9" x14ac:dyDescent="0.35">
      <c r="A29" s="2">
        <v>2023</v>
      </c>
      <c r="B29" s="3" t="s">
        <v>11</v>
      </c>
      <c r="C29" s="6">
        <v>18.505282999999999</v>
      </c>
      <c r="D29" s="6">
        <v>29.082052999999998</v>
      </c>
      <c r="E29" s="12">
        <v>83.286666666666704</v>
      </c>
      <c r="F29" s="6">
        <v>5.37</v>
      </c>
      <c r="G29" s="6">
        <v>0.33</v>
      </c>
      <c r="H29" s="9">
        <v>84.328174603174602</v>
      </c>
      <c r="I29" s="15">
        <v>82.236666666666693</v>
      </c>
    </row>
    <row r="30" spans="1:9" x14ac:dyDescent="0.35">
      <c r="A30" s="2">
        <v>2024</v>
      </c>
      <c r="B30" s="3" t="s">
        <v>8</v>
      </c>
      <c r="C30" s="6">
        <v>1.257104</v>
      </c>
      <c r="D30" s="6">
        <v>18.826816999999998</v>
      </c>
      <c r="E30" s="12">
        <v>83.119566666666699</v>
      </c>
      <c r="F30" s="6">
        <v>5.0133333333333301</v>
      </c>
      <c r="G30" s="6">
        <v>0.26333333333333298</v>
      </c>
      <c r="H30" s="9">
        <v>83.072539682539698</v>
      </c>
      <c r="I30" s="15">
        <v>84.75</v>
      </c>
    </row>
    <row r="31" spans="1:9" x14ac:dyDescent="0.35">
      <c r="A31" s="2">
        <v>2024</v>
      </c>
      <c r="B31" s="3" t="s">
        <v>9</v>
      </c>
      <c r="C31" s="6">
        <v>15.414719</v>
      </c>
      <c r="D31" s="6">
        <v>26.707626000000001</v>
      </c>
      <c r="E31" s="12">
        <v>83.430833333333297</v>
      </c>
      <c r="F31" s="6">
        <v>4.9033333333333298</v>
      </c>
      <c r="G31" s="6">
        <v>1.7266666666666699</v>
      </c>
      <c r="H31" s="9">
        <v>84.915967741935503</v>
      </c>
      <c r="I31" s="15">
        <v>84.893333333333302</v>
      </c>
    </row>
    <row r="32" spans="1:9" x14ac:dyDescent="0.35">
      <c r="A32" s="2">
        <v>2024</v>
      </c>
      <c r="B32" s="3" t="s">
        <v>10</v>
      </c>
      <c r="C32" s="6">
        <v>10.624722</v>
      </c>
      <c r="D32" s="6">
        <v>23.279174000000001</v>
      </c>
      <c r="E32" s="12">
        <v>83.8</v>
      </c>
      <c r="F32" s="6">
        <v>4.2466666666666697</v>
      </c>
      <c r="G32" s="6">
        <v>1.61333333333333</v>
      </c>
      <c r="H32" s="9">
        <v>80.306461538461505</v>
      </c>
      <c r="I32" s="15">
        <v>78.11</v>
      </c>
    </row>
    <row r="33" spans="1:9" x14ac:dyDescent="0.35">
      <c r="A33" s="2">
        <v>2024</v>
      </c>
      <c r="B33" s="3" t="s">
        <v>11</v>
      </c>
      <c r="C33" s="6">
        <v>13.932562000000001</v>
      </c>
      <c r="D33" s="6">
        <v>26.588726999999999</v>
      </c>
      <c r="E33" s="12">
        <v>84.728300000000004</v>
      </c>
      <c r="F33" s="6">
        <v>5.6366666666666703</v>
      </c>
      <c r="G33" s="6">
        <v>2.0699999999999998</v>
      </c>
      <c r="H33" s="9">
        <v>74.674765625000006</v>
      </c>
      <c r="I33" s="15">
        <v>73.883333333333297</v>
      </c>
    </row>
    <row r="34" spans="1:9" x14ac:dyDescent="0.35">
      <c r="A34" s="2">
        <v>2025</v>
      </c>
      <c r="B34" s="3" t="s">
        <v>8</v>
      </c>
      <c r="C34" s="6">
        <v>-5.8268899999999997</v>
      </c>
      <c r="D34" s="6">
        <v>10.951347999999999</v>
      </c>
      <c r="E34" s="12">
        <v>86.5304</v>
      </c>
      <c r="F34" s="6">
        <v>3.70333333333333</v>
      </c>
      <c r="G34" s="6">
        <v>1.5433333333333299</v>
      </c>
      <c r="H34" s="9">
        <v>75.709841269841306</v>
      </c>
      <c r="I34" s="15">
        <v>75.856666666666698</v>
      </c>
    </row>
    <row r="35" spans="1:9" x14ac:dyDescent="0.35">
      <c r="A35" s="2">
        <v>2025</v>
      </c>
      <c r="B35" s="3" t="s">
        <v>9</v>
      </c>
      <c r="C35" s="6">
        <v>11.044426</v>
      </c>
      <c r="D35" s="6">
        <v>29.932566999999999</v>
      </c>
      <c r="E35" s="12">
        <v>85.2762666666667</v>
      </c>
      <c r="F35" s="6">
        <v>2.89333333333333</v>
      </c>
      <c r="G35" s="6">
        <v>0</v>
      </c>
      <c r="H35" s="9">
        <v>67.860245901639402</v>
      </c>
      <c r="I35" s="15">
        <v>65.023333333333298</v>
      </c>
    </row>
    <row r="36" spans="1:9" x14ac:dyDescent="0.35">
      <c r="A36" s="2">
        <v>2025</v>
      </c>
      <c r="B36" s="3" t="s">
        <v>10</v>
      </c>
      <c r="C36" s="6">
        <v>13.874142000000001</v>
      </c>
      <c r="D36" s="6">
        <v>26.836403000000001</v>
      </c>
      <c r="E36" s="12">
        <v>88.198366666666701</v>
      </c>
      <c r="F36" s="6">
        <v>1.68</v>
      </c>
      <c r="G36" s="6">
        <v>-0.33</v>
      </c>
      <c r="H36" s="9">
        <v>69.089769230769207</v>
      </c>
      <c r="I36" s="15">
        <v>69.394999999999996</v>
      </c>
    </row>
    <row r="37" spans="1:9" x14ac:dyDescent="0.35">
      <c r="A37" s="2">
        <v>2025</v>
      </c>
      <c r="B37" s="3" t="s">
        <v>11</v>
      </c>
      <c r="C37" s="6">
        <v>10.543854</v>
      </c>
      <c r="D37" s="6">
        <v>26.113005999999999</v>
      </c>
      <c r="E37" s="12">
        <v>89.368366666666702</v>
      </c>
      <c r="F37" s="6">
        <v>0.56666666666666698</v>
      </c>
      <c r="G37" s="6">
        <v>-0.49</v>
      </c>
      <c r="H37" s="9">
        <v>63.692031249999999</v>
      </c>
      <c r="I37" s="15">
        <v>64</v>
      </c>
    </row>
    <row r="38" spans="1:9" x14ac:dyDescent="0.35">
      <c r="A38" s="2">
        <v>2026</v>
      </c>
      <c r="B38" s="3" t="s">
        <v>8</v>
      </c>
      <c r="C38" s="6">
        <v>-14.088158</v>
      </c>
      <c r="D38" s="6">
        <v>18.594148000000001</v>
      </c>
      <c r="E38" s="12">
        <v>92.6</v>
      </c>
      <c r="F38" s="6">
        <v>3.1166666666666698</v>
      </c>
      <c r="G38" s="6">
        <v>2.4500000000000002</v>
      </c>
      <c r="H38" s="9">
        <v>81.040079365079393</v>
      </c>
      <c r="I38" s="15">
        <v>90.171666666666695</v>
      </c>
    </row>
    <row r="39" spans="1:9" x14ac:dyDescent="0.35">
      <c r="A39" s="2">
        <v>2026</v>
      </c>
      <c r="B39" s="3" t="s">
        <v>9</v>
      </c>
      <c r="C39" s="6">
        <v>2.6099290000000002</v>
      </c>
      <c r="D39" s="6">
        <v>27.563171000000001</v>
      </c>
      <c r="E39" s="12">
        <v>94.863766666666706</v>
      </c>
      <c r="F39" s="6">
        <v>3.93</v>
      </c>
      <c r="G39" s="6">
        <v>9.4033333333333307</v>
      </c>
      <c r="H39" s="9">
        <v>103.77057377049201</v>
      </c>
      <c r="I39" s="15">
        <v>95.823333333333295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Raj</dc:creator>
  <cp:lastModifiedBy>Khushi Raj</cp:lastModifiedBy>
  <dcterms:created xsi:type="dcterms:W3CDTF">2026-10-28T11:01:12Z</dcterms:created>
  <dcterms:modified xsi:type="dcterms:W3CDTF">2026-10-28T16:28:03Z</dcterms:modified>
</cp:coreProperties>
</file>